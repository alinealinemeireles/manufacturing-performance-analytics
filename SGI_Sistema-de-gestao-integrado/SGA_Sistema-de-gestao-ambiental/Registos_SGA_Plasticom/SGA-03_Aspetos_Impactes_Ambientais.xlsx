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EF4A99B6-2E79-4258-8E05-06F5824C644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Impactes" sheetId="2" r:id="rId2"/>
    <sheet name="Aspetos_Impactes" sheetId="3" r:id="rId3"/>
    <sheet name="Aspeto_Impacte" sheetId="4" r:id="rId4"/>
    <sheet name="Mod.G.07.00_Matriz" sheetId="5" r:id="rId5"/>
    <sheet name="Resumo_Atividade_3_2" sheetId="6" r:id="rId6"/>
    <sheet name="Analise" sheetId="7" r:id="rId7"/>
    <sheet name="Criterios" sheetId="8" r:id="rId8"/>
    <sheet name="Listas" sheetId="9" r:id="rId9"/>
    <sheet name="Dicionario_Dados" sheetId="10" r:id="rId10"/>
  </sheets>
  <definedNames>
    <definedName name="DataRef">Listas!$A$3</definedName>
    <definedName name="lst_Categoria">Listas!$D$3:$D$11</definedName>
    <definedName name="lst_Condicao">Listas!$F$3:$F$5</definedName>
    <definedName name="lst_DataReferencia">Listas!$A$3:$A$3</definedName>
    <definedName name="lst_F15">Listas!$I$3:$I$7</definedName>
    <definedName name="lst_Fase">Listas!$C$3:$C$8</definedName>
    <definedName name="lst_G">Listas!$K$3:$K$9</definedName>
    <definedName name="lst_Impacte">Listas!$H$3:$H$14</definedName>
    <definedName name="lst_L">Listas!$L$3:$L$4</definedName>
    <definedName name="lst_M15">Listas!$J$3:$J$7</definedName>
    <definedName name="lst_Processo">Listas!$B$3:$B$18</definedName>
    <definedName name="lst_SimNao">Listas!$M$3:$M$4</definedName>
    <definedName name="lst_Temporalidade">Listas!$G$3:$G$5</definedName>
    <definedName name="lst_TipoAspeto">Listas!$E$3:$E$4</definedName>
    <definedName name="_xlnm.Print_Titles" localSheetId="3">Aspeto_Impacte!$1:$1</definedName>
    <definedName name="_xlnm.Print_Titles" localSheetId="2">Aspetos_Impactes!$4:$4</definedName>
    <definedName name="_xlnm.Print_Titles" localSheetId="1">Impactes!$1:$1</definedName>
    <definedName name="_xlnm.Print_Titles" localSheetId="4">'Mod.G.07.00_Matriz'!$5:$6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7" l="1"/>
  <c r="B32" i="7"/>
  <c r="B31" i="7"/>
  <c r="B30" i="7"/>
  <c r="B29" i="7"/>
  <c r="B28" i="7"/>
  <c r="B25" i="7"/>
  <c r="B24" i="7"/>
  <c r="B23" i="7"/>
  <c r="G19" i="7"/>
  <c r="G18" i="7"/>
  <c r="G17" i="7"/>
  <c r="G16" i="7"/>
  <c r="G15" i="7"/>
  <c r="H15" i="7" s="1"/>
  <c r="F15" i="7"/>
  <c r="E15" i="7"/>
  <c r="D15" i="7"/>
  <c r="C15" i="7"/>
  <c r="B15" i="7"/>
  <c r="G14" i="7"/>
  <c r="G13" i="7"/>
  <c r="G12" i="7"/>
  <c r="G11" i="7"/>
  <c r="G10" i="7"/>
  <c r="G9" i="7"/>
  <c r="G8" i="7"/>
  <c r="G7" i="7"/>
  <c r="G6" i="7"/>
  <c r="G5" i="7"/>
  <c r="G4" i="7"/>
  <c r="C28" i="6"/>
  <c r="B28" i="6"/>
  <c r="C27" i="6"/>
  <c r="B27" i="6"/>
  <c r="C26" i="6"/>
  <c r="B26" i="6"/>
  <c r="C23" i="6"/>
  <c r="B23" i="6"/>
  <c r="C20" i="6"/>
  <c r="B20" i="6"/>
  <c r="C19" i="6"/>
  <c r="B19" i="6"/>
  <c r="C18" i="6"/>
  <c r="B18" i="6"/>
  <c r="C17" i="6"/>
  <c r="B17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AG49" i="5"/>
  <c r="AC49" i="5"/>
  <c r="AB49" i="5"/>
  <c r="AA49" i="5"/>
  <c r="Z49" i="5"/>
  <c r="R49" i="5"/>
  <c r="L49" i="5"/>
  <c r="K49" i="5"/>
  <c r="J49" i="5"/>
  <c r="I49" i="5"/>
  <c r="H49" i="5"/>
  <c r="G49" i="5"/>
  <c r="F49" i="5"/>
  <c r="E49" i="5"/>
  <c r="D49" i="5"/>
  <c r="C49" i="5"/>
  <c r="B49" i="5"/>
  <c r="A49" i="5"/>
  <c r="AG48" i="5"/>
  <c r="AC48" i="5"/>
  <c r="AB48" i="5"/>
  <c r="AA48" i="5"/>
  <c r="Z48" i="5"/>
  <c r="W48" i="5"/>
  <c r="L48" i="5"/>
  <c r="K48" i="5"/>
  <c r="J48" i="5"/>
  <c r="I48" i="5"/>
  <c r="H48" i="5"/>
  <c r="G48" i="5"/>
  <c r="F48" i="5"/>
  <c r="E48" i="5"/>
  <c r="D48" i="5"/>
  <c r="C48" i="5"/>
  <c r="B48" i="5"/>
  <c r="O48" i="5" s="1"/>
  <c r="A48" i="5"/>
  <c r="AG47" i="5"/>
  <c r="AC47" i="5"/>
  <c r="AB47" i="5"/>
  <c r="AA47" i="5"/>
  <c r="Z47" i="5"/>
  <c r="V47" i="5"/>
  <c r="T47" i="5"/>
  <c r="N47" i="5"/>
  <c r="L47" i="5"/>
  <c r="K47" i="5"/>
  <c r="J47" i="5"/>
  <c r="I47" i="5"/>
  <c r="H47" i="5"/>
  <c r="G47" i="5"/>
  <c r="F47" i="5"/>
  <c r="E47" i="5"/>
  <c r="D47" i="5"/>
  <c r="C47" i="5"/>
  <c r="B47" i="5"/>
  <c r="R47" i="5" s="1"/>
  <c r="A47" i="5"/>
  <c r="AG46" i="5"/>
  <c r="AC46" i="5"/>
  <c r="AB46" i="5"/>
  <c r="AA46" i="5"/>
  <c r="Z46" i="5"/>
  <c r="X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AG45" i="5"/>
  <c r="AC45" i="5"/>
  <c r="AB45" i="5"/>
  <c r="AA45" i="5"/>
  <c r="Z45" i="5"/>
  <c r="Q45" i="5"/>
  <c r="L45" i="5"/>
  <c r="K45" i="5"/>
  <c r="J45" i="5"/>
  <c r="I45" i="5"/>
  <c r="H45" i="5"/>
  <c r="G45" i="5"/>
  <c r="F45" i="5"/>
  <c r="E45" i="5"/>
  <c r="D45" i="5"/>
  <c r="C45" i="5"/>
  <c r="B45" i="5"/>
  <c r="X45" i="5" s="1"/>
  <c r="A45" i="5"/>
  <c r="AG44" i="5"/>
  <c r="AC44" i="5"/>
  <c r="AB44" i="5"/>
  <c r="AA44" i="5"/>
  <c r="Z44" i="5"/>
  <c r="L44" i="5"/>
  <c r="K44" i="5"/>
  <c r="J44" i="5"/>
  <c r="I44" i="5"/>
  <c r="H44" i="5"/>
  <c r="G44" i="5"/>
  <c r="F44" i="5"/>
  <c r="E44" i="5"/>
  <c r="D44" i="5"/>
  <c r="C44" i="5"/>
  <c r="B44" i="5"/>
  <c r="A44" i="5"/>
  <c r="AG43" i="5"/>
  <c r="AC43" i="5"/>
  <c r="AB43" i="5"/>
  <c r="AA43" i="5"/>
  <c r="Z43" i="5"/>
  <c r="O43" i="5"/>
  <c r="L43" i="5"/>
  <c r="K43" i="5"/>
  <c r="J43" i="5"/>
  <c r="I43" i="5"/>
  <c r="H43" i="5"/>
  <c r="G43" i="5"/>
  <c r="F43" i="5"/>
  <c r="E43" i="5"/>
  <c r="D43" i="5"/>
  <c r="C43" i="5"/>
  <c r="B43" i="5"/>
  <c r="A43" i="5"/>
  <c r="AG42" i="5"/>
  <c r="AC42" i="5"/>
  <c r="AB42" i="5"/>
  <c r="AA42" i="5"/>
  <c r="Z42" i="5"/>
  <c r="O42" i="5"/>
  <c r="L42" i="5"/>
  <c r="K42" i="5"/>
  <c r="J42" i="5"/>
  <c r="I42" i="5"/>
  <c r="H42" i="5"/>
  <c r="G42" i="5"/>
  <c r="F42" i="5"/>
  <c r="E42" i="5"/>
  <c r="D42" i="5"/>
  <c r="C42" i="5"/>
  <c r="B42" i="5"/>
  <c r="A42" i="5"/>
  <c r="AG41" i="5"/>
  <c r="AC41" i="5"/>
  <c r="AB41" i="5"/>
  <c r="AA41" i="5"/>
  <c r="Z41" i="5"/>
  <c r="Q41" i="5"/>
  <c r="L41" i="5"/>
  <c r="K41" i="5"/>
  <c r="J41" i="5"/>
  <c r="I41" i="5"/>
  <c r="H41" i="5"/>
  <c r="G41" i="5"/>
  <c r="F41" i="5"/>
  <c r="E41" i="5"/>
  <c r="D41" i="5"/>
  <c r="C41" i="5"/>
  <c r="B41" i="5"/>
  <c r="X41" i="5" s="1"/>
  <c r="A41" i="5"/>
  <c r="AG40" i="5"/>
  <c r="AC40" i="5"/>
  <c r="AB40" i="5"/>
  <c r="AA40" i="5"/>
  <c r="Z40" i="5"/>
  <c r="W40" i="5"/>
  <c r="U40" i="5"/>
  <c r="R40" i="5"/>
  <c r="M40" i="5"/>
  <c r="L40" i="5"/>
  <c r="K40" i="5"/>
  <c r="J40" i="5"/>
  <c r="I40" i="5"/>
  <c r="H40" i="5"/>
  <c r="G40" i="5"/>
  <c r="F40" i="5"/>
  <c r="E40" i="5"/>
  <c r="D40" i="5"/>
  <c r="C40" i="5"/>
  <c r="B40" i="5"/>
  <c r="O40" i="5" s="1"/>
  <c r="A40" i="5"/>
  <c r="AG39" i="5"/>
  <c r="AC39" i="5"/>
  <c r="AB39" i="5"/>
  <c r="AA39" i="5"/>
  <c r="Z39" i="5"/>
  <c r="L39" i="5"/>
  <c r="K39" i="5"/>
  <c r="J39" i="5"/>
  <c r="I39" i="5"/>
  <c r="H39" i="5"/>
  <c r="G39" i="5"/>
  <c r="F39" i="5"/>
  <c r="E39" i="5"/>
  <c r="D39" i="5"/>
  <c r="C39" i="5"/>
  <c r="B39" i="5"/>
  <c r="T39" i="5" s="1"/>
  <c r="A39" i="5"/>
  <c r="AG38" i="5"/>
  <c r="AC38" i="5"/>
  <c r="AB38" i="5"/>
  <c r="AA38" i="5"/>
  <c r="Z38" i="5"/>
  <c r="U38" i="5"/>
  <c r="T38" i="5"/>
  <c r="O38" i="5"/>
  <c r="L38" i="5"/>
  <c r="K38" i="5"/>
  <c r="J38" i="5"/>
  <c r="I38" i="5"/>
  <c r="H38" i="5"/>
  <c r="G38" i="5"/>
  <c r="F38" i="5"/>
  <c r="E38" i="5"/>
  <c r="D38" i="5"/>
  <c r="C38" i="5"/>
  <c r="B38" i="5"/>
  <c r="A38" i="5"/>
  <c r="AG37" i="5"/>
  <c r="AC37" i="5"/>
  <c r="AB37" i="5"/>
  <c r="AA37" i="5"/>
  <c r="Z37" i="5"/>
  <c r="L37" i="5"/>
  <c r="K37" i="5"/>
  <c r="J37" i="5"/>
  <c r="I37" i="5"/>
  <c r="H37" i="5"/>
  <c r="G37" i="5"/>
  <c r="F37" i="5"/>
  <c r="E37" i="5"/>
  <c r="D37" i="5"/>
  <c r="C37" i="5"/>
  <c r="B37" i="5"/>
  <c r="X37" i="5" s="1"/>
  <c r="A37" i="5"/>
  <c r="AG36" i="5"/>
  <c r="AC36" i="5"/>
  <c r="AB36" i="5"/>
  <c r="AA36" i="5"/>
  <c r="Z36" i="5"/>
  <c r="U36" i="5"/>
  <c r="T36" i="5"/>
  <c r="O36" i="5"/>
  <c r="L36" i="5"/>
  <c r="K36" i="5"/>
  <c r="J36" i="5"/>
  <c r="I36" i="5"/>
  <c r="H36" i="5"/>
  <c r="G36" i="5"/>
  <c r="F36" i="5"/>
  <c r="E36" i="5"/>
  <c r="D36" i="5"/>
  <c r="C36" i="5"/>
  <c r="B36" i="5"/>
  <c r="A36" i="5"/>
  <c r="AG35" i="5"/>
  <c r="AC35" i="5"/>
  <c r="AB35" i="5"/>
  <c r="AA35" i="5"/>
  <c r="Z35" i="5"/>
  <c r="V35" i="5"/>
  <c r="T35" i="5"/>
  <c r="N35" i="5"/>
  <c r="L35" i="5"/>
  <c r="K35" i="5"/>
  <c r="J35" i="5"/>
  <c r="I35" i="5"/>
  <c r="H35" i="5"/>
  <c r="G35" i="5"/>
  <c r="F35" i="5"/>
  <c r="E35" i="5"/>
  <c r="D35" i="5"/>
  <c r="C35" i="5"/>
  <c r="B35" i="5"/>
  <c r="R35" i="5" s="1"/>
  <c r="A35" i="5"/>
  <c r="AG34" i="5"/>
  <c r="AC34" i="5"/>
  <c r="AB34" i="5"/>
  <c r="AA34" i="5"/>
  <c r="Z34" i="5"/>
  <c r="W34" i="5"/>
  <c r="O34" i="5"/>
  <c r="L34" i="5"/>
  <c r="K34" i="5"/>
  <c r="J34" i="5"/>
  <c r="I34" i="5"/>
  <c r="H34" i="5"/>
  <c r="G34" i="5"/>
  <c r="F34" i="5"/>
  <c r="E34" i="5"/>
  <c r="D34" i="5"/>
  <c r="C34" i="5"/>
  <c r="B34" i="5"/>
  <c r="A34" i="5"/>
  <c r="AG33" i="5"/>
  <c r="AC33" i="5"/>
  <c r="AB33" i="5"/>
  <c r="AA33" i="5"/>
  <c r="Z33" i="5"/>
  <c r="L33" i="5"/>
  <c r="K33" i="5"/>
  <c r="J33" i="5"/>
  <c r="I33" i="5"/>
  <c r="H33" i="5"/>
  <c r="G33" i="5"/>
  <c r="F33" i="5"/>
  <c r="E33" i="5"/>
  <c r="D33" i="5"/>
  <c r="C33" i="5"/>
  <c r="B33" i="5"/>
  <c r="N33" i="5" s="1"/>
  <c r="A33" i="5"/>
  <c r="AG32" i="5"/>
  <c r="AC32" i="5"/>
  <c r="AB32" i="5"/>
  <c r="AA32" i="5"/>
  <c r="Z32" i="5"/>
  <c r="X32" i="5"/>
  <c r="W32" i="5"/>
  <c r="S32" i="5"/>
  <c r="Q32" i="5"/>
  <c r="M32" i="5"/>
  <c r="L32" i="5"/>
  <c r="K32" i="5"/>
  <c r="J32" i="5"/>
  <c r="I32" i="5"/>
  <c r="H32" i="5"/>
  <c r="G32" i="5"/>
  <c r="F32" i="5"/>
  <c r="E32" i="5"/>
  <c r="D32" i="5"/>
  <c r="C32" i="5"/>
  <c r="B32" i="5"/>
  <c r="V32" i="5" s="1"/>
  <c r="A32" i="5"/>
  <c r="AG31" i="5"/>
  <c r="AC31" i="5"/>
  <c r="AB31" i="5"/>
  <c r="AA31" i="5"/>
  <c r="Z31" i="5"/>
  <c r="L31" i="5"/>
  <c r="K31" i="5"/>
  <c r="J31" i="5"/>
  <c r="I31" i="5"/>
  <c r="H31" i="5"/>
  <c r="G31" i="5"/>
  <c r="F31" i="5"/>
  <c r="E31" i="5"/>
  <c r="D31" i="5"/>
  <c r="C31" i="5"/>
  <c r="B31" i="5"/>
  <c r="A31" i="5"/>
  <c r="AG30" i="5"/>
  <c r="AC30" i="5"/>
  <c r="AB30" i="5"/>
  <c r="AA30" i="5"/>
  <c r="Z30" i="5"/>
  <c r="L30" i="5"/>
  <c r="K30" i="5"/>
  <c r="J30" i="5"/>
  <c r="I30" i="5"/>
  <c r="H30" i="5"/>
  <c r="G30" i="5"/>
  <c r="F30" i="5"/>
  <c r="E30" i="5"/>
  <c r="D30" i="5"/>
  <c r="C30" i="5"/>
  <c r="B30" i="5"/>
  <c r="U30" i="5" s="1"/>
  <c r="A30" i="5"/>
  <c r="AG29" i="5"/>
  <c r="AC29" i="5"/>
  <c r="AB29" i="5"/>
  <c r="AA29" i="5"/>
  <c r="Z29" i="5"/>
  <c r="R29" i="5"/>
  <c r="L29" i="5"/>
  <c r="K29" i="5"/>
  <c r="J29" i="5"/>
  <c r="I29" i="5"/>
  <c r="H29" i="5"/>
  <c r="G29" i="5"/>
  <c r="F29" i="5"/>
  <c r="E29" i="5"/>
  <c r="D29" i="5"/>
  <c r="C29" i="5"/>
  <c r="B29" i="5"/>
  <c r="X29" i="5" s="1"/>
  <c r="A29" i="5"/>
  <c r="AG28" i="5"/>
  <c r="AC28" i="5"/>
  <c r="AB28" i="5"/>
  <c r="AA28" i="5"/>
  <c r="Z28" i="5"/>
  <c r="O28" i="5"/>
  <c r="L28" i="5"/>
  <c r="K28" i="5"/>
  <c r="J28" i="5"/>
  <c r="I28" i="5"/>
  <c r="H28" i="5"/>
  <c r="G28" i="5"/>
  <c r="F28" i="5"/>
  <c r="E28" i="5"/>
  <c r="D28" i="5"/>
  <c r="C28" i="5"/>
  <c r="B28" i="5"/>
  <c r="A28" i="5"/>
  <c r="AG27" i="5"/>
  <c r="AC27" i="5"/>
  <c r="AB27" i="5"/>
  <c r="AA27" i="5"/>
  <c r="Z27" i="5"/>
  <c r="N27" i="5"/>
  <c r="L27" i="5"/>
  <c r="K27" i="5"/>
  <c r="J27" i="5"/>
  <c r="I27" i="5"/>
  <c r="H27" i="5"/>
  <c r="G27" i="5"/>
  <c r="F27" i="5"/>
  <c r="E27" i="5"/>
  <c r="D27" i="5"/>
  <c r="C27" i="5"/>
  <c r="B27" i="5"/>
  <c r="A27" i="5"/>
  <c r="AG26" i="5"/>
  <c r="AC26" i="5"/>
  <c r="AB26" i="5"/>
  <c r="AA26" i="5"/>
  <c r="Z26" i="5"/>
  <c r="U26" i="5"/>
  <c r="R26" i="5"/>
  <c r="M26" i="5"/>
  <c r="L26" i="5"/>
  <c r="K26" i="5"/>
  <c r="J26" i="5"/>
  <c r="I26" i="5"/>
  <c r="H26" i="5"/>
  <c r="G26" i="5"/>
  <c r="F26" i="5"/>
  <c r="E26" i="5"/>
  <c r="D26" i="5"/>
  <c r="C26" i="5"/>
  <c r="B26" i="5"/>
  <c r="W26" i="5" s="1"/>
  <c r="A26" i="5"/>
  <c r="AG25" i="5"/>
  <c r="AC25" i="5"/>
  <c r="AB25" i="5"/>
  <c r="AA25" i="5"/>
  <c r="Z25" i="5"/>
  <c r="R25" i="5"/>
  <c r="L25" i="5"/>
  <c r="K25" i="5"/>
  <c r="J25" i="5"/>
  <c r="I25" i="5"/>
  <c r="H25" i="5"/>
  <c r="G25" i="5"/>
  <c r="F25" i="5"/>
  <c r="E25" i="5"/>
  <c r="D25" i="5"/>
  <c r="C25" i="5"/>
  <c r="B25" i="5"/>
  <c r="X25" i="5" s="1"/>
  <c r="A25" i="5"/>
  <c r="AG24" i="5"/>
  <c r="AC24" i="5"/>
  <c r="AB24" i="5"/>
  <c r="AA24" i="5"/>
  <c r="Z24" i="5"/>
  <c r="L24" i="5"/>
  <c r="K24" i="5"/>
  <c r="J24" i="5"/>
  <c r="I24" i="5"/>
  <c r="H24" i="5"/>
  <c r="G24" i="5"/>
  <c r="F24" i="5"/>
  <c r="E24" i="5"/>
  <c r="D24" i="5"/>
  <c r="C24" i="5"/>
  <c r="B24" i="5"/>
  <c r="A24" i="5"/>
  <c r="AG23" i="5"/>
  <c r="AC23" i="5"/>
  <c r="AB23" i="5"/>
  <c r="AA23" i="5"/>
  <c r="Z23" i="5"/>
  <c r="U23" i="5"/>
  <c r="T23" i="5"/>
  <c r="O23" i="5"/>
  <c r="L23" i="5"/>
  <c r="K23" i="5"/>
  <c r="J23" i="5"/>
  <c r="I23" i="5"/>
  <c r="H23" i="5"/>
  <c r="G23" i="5"/>
  <c r="F23" i="5"/>
  <c r="E23" i="5"/>
  <c r="D23" i="5"/>
  <c r="C23" i="5"/>
  <c r="B23" i="5"/>
  <c r="A23" i="5"/>
  <c r="AG22" i="5"/>
  <c r="AC22" i="5"/>
  <c r="AB22" i="5"/>
  <c r="AA22" i="5"/>
  <c r="Z22" i="5"/>
  <c r="L22" i="5"/>
  <c r="K22" i="5"/>
  <c r="J22" i="5"/>
  <c r="I22" i="5"/>
  <c r="H22" i="5"/>
  <c r="G22" i="5"/>
  <c r="F22" i="5"/>
  <c r="E22" i="5"/>
  <c r="D22" i="5"/>
  <c r="C22" i="5"/>
  <c r="B22" i="5"/>
  <c r="A22" i="5"/>
  <c r="AG21" i="5"/>
  <c r="AC21" i="5"/>
  <c r="AB21" i="5"/>
  <c r="AA21" i="5"/>
  <c r="Z21" i="5"/>
  <c r="W21" i="5"/>
  <c r="U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AG20" i="5"/>
  <c r="AC20" i="5"/>
  <c r="AB20" i="5"/>
  <c r="AA20" i="5"/>
  <c r="Z20" i="5"/>
  <c r="V20" i="5"/>
  <c r="L20" i="5"/>
  <c r="K20" i="5"/>
  <c r="J20" i="5"/>
  <c r="I20" i="5"/>
  <c r="H20" i="5"/>
  <c r="G20" i="5"/>
  <c r="F20" i="5"/>
  <c r="E20" i="5"/>
  <c r="D20" i="5"/>
  <c r="C20" i="5"/>
  <c r="B20" i="5"/>
  <c r="N20" i="5" s="1"/>
  <c r="A20" i="5"/>
  <c r="AG19" i="5"/>
  <c r="AC19" i="5"/>
  <c r="AB19" i="5"/>
  <c r="AA19" i="5"/>
  <c r="Z19" i="5"/>
  <c r="U19" i="5"/>
  <c r="T19" i="5"/>
  <c r="O19" i="5"/>
  <c r="L19" i="5"/>
  <c r="K19" i="5"/>
  <c r="J19" i="5"/>
  <c r="I19" i="5"/>
  <c r="H19" i="5"/>
  <c r="G19" i="5"/>
  <c r="F19" i="5"/>
  <c r="E19" i="5"/>
  <c r="D19" i="5"/>
  <c r="C19" i="5"/>
  <c r="B19" i="5"/>
  <c r="A19" i="5"/>
  <c r="AG18" i="5"/>
  <c r="AC18" i="5"/>
  <c r="AB18" i="5"/>
  <c r="AA18" i="5"/>
  <c r="Z18" i="5"/>
  <c r="L18" i="5"/>
  <c r="K18" i="5"/>
  <c r="J18" i="5"/>
  <c r="I18" i="5"/>
  <c r="H18" i="5"/>
  <c r="G18" i="5"/>
  <c r="F18" i="5"/>
  <c r="E18" i="5"/>
  <c r="D18" i="5"/>
  <c r="C18" i="5"/>
  <c r="B18" i="5"/>
  <c r="A18" i="5"/>
  <c r="AG17" i="5"/>
  <c r="AC17" i="5"/>
  <c r="AB17" i="5"/>
  <c r="AA17" i="5"/>
  <c r="Z17" i="5"/>
  <c r="W17" i="5"/>
  <c r="O17" i="5"/>
  <c r="L17" i="5"/>
  <c r="K17" i="5"/>
  <c r="J17" i="5"/>
  <c r="I17" i="5"/>
  <c r="H17" i="5"/>
  <c r="G17" i="5"/>
  <c r="F17" i="5"/>
  <c r="E17" i="5"/>
  <c r="D17" i="5"/>
  <c r="C17" i="5"/>
  <c r="B17" i="5"/>
  <c r="A17" i="5"/>
  <c r="AG16" i="5"/>
  <c r="AC16" i="5"/>
  <c r="AB16" i="5"/>
  <c r="AA16" i="5"/>
  <c r="Z16" i="5"/>
  <c r="L16" i="5"/>
  <c r="K16" i="5"/>
  <c r="J16" i="5"/>
  <c r="I16" i="5"/>
  <c r="H16" i="5"/>
  <c r="G16" i="5"/>
  <c r="F16" i="5"/>
  <c r="E16" i="5"/>
  <c r="D16" i="5"/>
  <c r="C16" i="5"/>
  <c r="B16" i="5"/>
  <c r="V16" i="5" s="1"/>
  <c r="A16" i="5"/>
  <c r="AG15" i="5"/>
  <c r="AC15" i="5"/>
  <c r="AB15" i="5"/>
  <c r="AA15" i="5"/>
  <c r="Z15" i="5"/>
  <c r="X15" i="5"/>
  <c r="W15" i="5"/>
  <c r="U15" i="5"/>
  <c r="S15" i="5"/>
  <c r="Q15" i="5"/>
  <c r="P15" i="5"/>
  <c r="M15" i="5"/>
  <c r="L15" i="5"/>
  <c r="K15" i="5"/>
  <c r="J15" i="5"/>
  <c r="I15" i="5"/>
  <c r="H15" i="5"/>
  <c r="G15" i="5"/>
  <c r="F15" i="5"/>
  <c r="E15" i="5"/>
  <c r="D15" i="5"/>
  <c r="C15" i="5"/>
  <c r="B15" i="5"/>
  <c r="V15" i="5" s="1"/>
  <c r="A15" i="5"/>
  <c r="AG14" i="5"/>
  <c r="AC14" i="5"/>
  <c r="AB14" i="5"/>
  <c r="AA14" i="5"/>
  <c r="Z14" i="5"/>
  <c r="V14" i="5"/>
  <c r="N14" i="5"/>
  <c r="L14" i="5"/>
  <c r="K14" i="5"/>
  <c r="J14" i="5"/>
  <c r="I14" i="5"/>
  <c r="H14" i="5"/>
  <c r="G14" i="5"/>
  <c r="F14" i="5"/>
  <c r="E14" i="5"/>
  <c r="D14" i="5"/>
  <c r="C14" i="5"/>
  <c r="B14" i="5"/>
  <c r="T14" i="5" s="1"/>
  <c r="A14" i="5"/>
  <c r="AG13" i="5"/>
  <c r="AC13" i="5"/>
  <c r="AB13" i="5"/>
  <c r="AA13" i="5"/>
  <c r="Z13" i="5"/>
  <c r="U13" i="5"/>
  <c r="S13" i="5"/>
  <c r="Q13" i="5"/>
  <c r="M13" i="5"/>
  <c r="L13" i="5"/>
  <c r="K13" i="5"/>
  <c r="J13" i="5"/>
  <c r="I13" i="5"/>
  <c r="H13" i="5"/>
  <c r="G13" i="5"/>
  <c r="F13" i="5"/>
  <c r="E13" i="5"/>
  <c r="D13" i="5"/>
  <c r="C13" i="5"/>
  <c r="B13" i="5"/>
  <c r="X13" i="5" s="1"/>
  <c r="A13" i="5"/>
  <c r="AG12" i="5"/>
  <c r="AD12" i="5"/>
  <c r="AC12" i="5"/>
  <c r="AB12" i="5"/>
  <c r="AA12" i="5"/>
  <c r="Z12" i="5"/>
  <c r="L12" i="5"/>
  <c r="K12" i="5"/>
  <c r="J12" i="5"/>
  <c r="I12" i="5"/>
  <c r="H12" i="5"/>
  <c r="G12" i="5"/>
  <c r="F12" i="5"/>
  <c r="E12" i="5"/>
  <c r="D12" i="5"/>
  <c r="C12" i="5"/>
  <c r="B12" i="5"/>
  <c r="A12" i="5"/>
  <c r="AG11" i="5"/>
  <c r="AC11" i="5"/>
  <c r="AB11" i="5"/>
  <c r="AA11" i="5"/>
  <c r="Z11" i="5"/>
  <c r="X11" i="5"/>
  <c r="T11" i="5"/>
  <c r="S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AG10" i="5"/>
  <c r="AC10" i="5"/>
  <c r="AB10" i="5"/>
  <c r="AA10" i="5"/>
  <c r="Z10" i="5"/>
  <c r="L10" i="5"/>
  <c r="K10" i="5"/>
  <c r="J10" i="5"/>
  <c r="I10" i="5"/>
  <c r="H10" i="5"/>
  <c r="G10" i="5"/>
  <c r="F10" i="5"/>
  <c r="E10" i="5"/>
  <c r="D10" i="5"/>
  <c r="C10" i="5"/>
  <c r="B10" i="5"/>
  <c r="A10" i="5"/>
  <c r="AG9" i="5"/>
  <c r="AC9" i="5"/>
  <c r="AB9" i="5"/>
  <c r="AA9" i="5"/>
  <c r="Z9" i="5"/>
  <c r="W9" i="5"/>
  <c r="V9" i="5"/>
  <c r="O9" i="5"/>
  <c r="L9" i="5"/>
  <c r="K9" i="5"/>
  <c r="J9" i="5"/>
  <c r="I9" i="5"/>
  <c r="H9" i="5"/>
  <c r="G9" i="5"/>
  <c r="F9" i="5"/>
  <c r="E9" i="5"/>
  <c r="D9" i="5"/>
  <c r="C9" i="5"/>
  <c r="B9" i="5"/>
  <c r="A9" i="5"/>
  <c r="AG8" i="5"/>
  <c r="AD8" i="5"/>
  <c r="AC8" i="5"/>
  <c r="AB8" i="5"/>
  <c r="AA8" i="5"/>
  <c r="Z8" i="5"/>
  <c r="L8" i="5"/>
  <c r="K8" i="5"/>
  <c r="J8" i="5"/>
  <c r="I8" i="5"/>
  <c r="H8" i="5"/>
  <c r="G8" i="5"/>
  <c r="F8" i="5"/>
  <c r="E8" i="5"/>
  <c r="D8" i="5"/>
  <c r="C8" i="5"/>
  <c r="B8" i="5"/>
  <c r="A8" i="5"/>
  <c r="AG7" i="5"/>
  <c r="AC7" i="5"/>
  <c r="AB7" i="5"/>
  <c r="AA7" i="5"/>
  <c r="Z7" i="5"/>
  <c r="X7" i="5"/>
  <c r="W7" i="5"/>
  <c r="U7" i="5"/>
  <c r="S7" i="5"/>
  <c r="Q7" i="5"/>
  <c r="P7" i="5"/>
  <c r="M7" i="5"/>
  <c r="L7" i="5"/>
  <c r="K7" i="5"/>
  <c r="J7" i="5"/>
  <c r="I7" i="5"/>
  <c r="H7" i="5"/>
  <c r="G7" i="5"/>
  <c r="F7" i="5"/>
  <c r="E7" i="5"/>
  <c r="D7" i="5"/>
  <c r="C7" i="5"/>
  <c r="B7" i="5"/>
  <c r="V7" i="5" s="1"/>
  <c r="A7" i="5"/>
  <c r="D82" i="4"/>
  <c r="D81" i="4"/>
  <c r="D80" i="4"/>
  <c r="D79" i="4"/>
  <c r="D78" i="4"/>
  <c r="F77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F54" i="4"/>
  <c r="D54" i="4"/>
  <c r="F53" i="4"/>
  <c r="D53" i="4"/>
  <c r="D52" i="4"/>
  <c r="F51" i="4"/>
  <c r="D51" i="4"/>
  <c r="D50" i="4"/>
  <c r="D49" i="4"/>
  <c r="D48" i="4"/>
  <c r="F47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F21" i="4"/>
  <c r="D21" i="4"/>
  <c r="D20" i="4"/>
  <c r="F19" i="4"/>
  <c r="D19" i="4"/>
  <c r="D18" i="4"/>
  <c r="D17" i="4"/>
  <c r="D16" i="4"/>
  <c r="D15" i="4"/>
  <c r="D14" i="4"/>
  <c r="D13" i="4"/>
  <c r="D12" i="4"/>
  <c r="F11" i="4"/>
  <c r="D11" i="4"/>
  <c r="D10" i="4"/>
  <c r="D9" i="4"/>
  <c r="D8" i="4"/>
  <c r="D7" i="4"/>
  <c r="D6" i="4"/>
  <c r="F5" i="4"/>
  <c r="D5" i="4"/>
  <c r="D4" i="4"/>
  <c r="D3" i="4"/>
  <c r="D2" i="4"/>
  <c r="AL47" i="3"/>
  <c r="S47" i="3"/>
  <c r="T47" i="3" s="1"/>
  <c r="AE49" i="5" s="1"/>
  <c r="R47" i="3"/>
  <c r="Y49" i="5" s="1"/>
  <c r="L47" i="3"/>
  <c r="AL46" i="3"/>
  <c r="U46" i="3"/>
  <c r="S46" i="3"/>
  <c r="R46" i="3"/>
  <c r="Y48" i="5" s="1"/>
  <c r="L46" i="3"/>
  <c r="AL45" i="3"/>
  <c r="U45" i="3"/>
  <c r="S45" i="3"/>
  <c r="R45" i="3"/>
  <c r="Y47" i="5" s="1"/>
  <c r="L45" i="3"/>
  <c r="AL44" i="3"/>
  <c r="S44" i="3"/>
  <c r="R44" i="3"/>
  <c r="Y46" i="5" s="1"/>
  <c r="L44" i="3"/>
  <c r="AL43" i="3"/>
  <c r="U43" i="3"/>
  <c r="T43" i="3"/>
  <c r="W43" i="3" s="1"/>
  <c r="S43" i="3"/>
  <c r="F71" i="4" s="1"/>
  <c r="R43" i="3"/>
  <c r="Y45" i="5" s="1"/>
  <c r="L43" i="3"/>
  <c r="AL42" i="3"/>
  <c r="S42" i="3"/>
  <c r="R42" i="3"/>
  <c r="Y44" i="5" s="1"/>
  <c r="L42" i="3"/>
  <c r="AL41" i="3"/>
  <c r="S41" i="3"/>
  <c r="U41" i="3" s="1"/>
  <c r="R41" i="3"/>
  <c r="Y43" i="5" s="1"/>
  <c r="L41" i="3"/>
  <c r="AL40" i="3"/>
  <c r="S40" i="3"/>
  <c r="F65" i="4" s="1"/>
  <c r="R40" i="3"/>
  <c r="Y42" i="5" s="1"/>
  <c r="L40" i="3"/>
  <c r="AL39" i="3"/>
  <c r="T39" i="3"/>
  <c r="S39" i="3"/>
  <c r="U39" i="3" s="1"/>
  <c r="R39" i="3"/>
  <c r="Y41" i="5" s="1"/>
  <c r="L39" i="3"/>
  <c r="AL38" i="3"/>
  <c r="S38" i="3"/>
  <c r="R38" i="3"/>
  <c r="Y40" i="5" s="1"/>
  <c r="L38" i="3"/>
  <c r="AL37" i="3"/>
  <c r="S37" i="3"/>
  <c r="R37" i="3"/>
  <c r="Y39" i="5" s="1"/>
  <c r="L37" i="3"/>
  <c r="AL36" i="3"/>
  <c r="S36" i="3"/>
  <c r="R36" i="3"/>
  <c r="Y38" i="5" s="1"/>
  <c r="L36" i="3"/>
  <c r="AL35" i="3"/>
  <c r="S35" i="3"/>
  <c r="R35" i="3"/>
  <c r="Y37" i="5" s="1"/>
  <c r="L35" i="3"/>
  <c r="AL34" i="3"/>
  <c r="U34" i="3"/>
  <c r="T34" i="3"/>
  <c r="E53" i="4" s="1"/>
  <c r="S34" i="3"/>
  <c r="AD36" i="5" s="1"/>
  <c r="R34" i="3"/>
  <c r="Y36" i="5" s="1"/>
  <c r="L34" i="3"/>
  <c r="AL33" i="3"/>
  <c r="S33" i="3"/>
  <c r="U33" i="3" s="1"/>
  <c r="R33" i="3"/>
  <c r="Y35" i="5" s="1"/>
  <c r="L33" i="3"/>
  <c r="AL32" i="3"/>
  <c r="S32" i="3"/>
  <c r="T32" i="3" s="1"/>
  <c r="R32" i="3"/>
  <c r="Y34" i="5" s="1"/>
  <c r="L32" i="3"/>
  <c r="AL31" i="3"/>
  <c r="S31" i="3"/>
  <c r="U31" i="3" s="1"/>
  <c r="R31" i="3"/>
  <c r="Y33" i="5" s="1"/>
  <c r="L31" i="3"/>
  <c r="AL30" i="3"/>
  <c r="U30" i="3"/>
  <c r="T30" i="3"/>
  <c r="S30" i="3"/>
  <c r="R30" i="3"/>
  <c r="Y32" i="5" s="1"/>
  <c r="L30" i="3"/>
  <c r="AL29" i="3"/>
  <c r="S29" i="3"/>
  <c r="U29" i="3" s="1"/>
  <c r="R29" i="3"/>
  <c r="Y31" i="5" s="1"/>
  <c r="L29" i="3"/>
  <c r="AL28" i="3"/>
  <c r="S28" i="3"/>
  <c r="R28" i="3"/>
  <c r="Y30" i="5" s="1"/>
  <c r="L28" i="3"/>
  <c r="AL27" i="3"/>
  <c r="U27" i="3"/>
  <c r="S27" i="3"/>
  <c r="T27" i="3" s="1"/>
  <c r="AE29" i="5" s="1"/>
  <c r="R27" i="3"/>
  <c r="Y29" i="5" s="1"/>
  <c r="L27" i="3"/>
  <c r="AL26" i="3"/>
  <c r="S26" i="3"/>
  <c r="AD28" i="5" s="1"/>
  <c r="R26" i="3"/>
  <c r="Y28" i="5" s="1"/>
  <c r="L26" i="3"/>
  <c r="AL25" i="3"/>
  <c r="S25" i="3"/>
  <c r="R25" i="3"/>
  <c r="Y27" i="5" s="1"/>
  <c r="L25" i="3"/>
  <c r="AL24" i="3"/>
  <c r="S24" i="3"/>
  <c r="R24" i="3"/>
  <c r="Y26" i="5" s="1"/>
  <c r="L24" i="3"/>
  <c r="AL23" i="3"/>
  <c r="T23" i="3"/>
  <c r="S23" i="3"/>
  <c r="AD25" i="5" s="1"/>
  <c r="R23" i="3"/>
  <c r="Y25" i="5" s="1"/>
  <c r="L23" i="3"/>
  <c r="AL22" i="3"/>
  <c r="U22" i="3"/>
  <c r="T22" i="3"/>
  <c r="W22" i="3" s="1"/>
  <c r="S22" i="3"/>
  <c r="R22" i="3"/>
  <c r="Y24" i="5" s="1"/>
  <c r="L22" i="3"/>
  <c r="AL21" i="3"/>
  <c r="S21" i="3"/>
  <c r="R21" i="3"/>
  <c r="Y23" i="5" s="1"/>
  <c r="L21" i="3"/>
  <c r="AL20" i="3"/>
  <c r="S20" i="3"/>
  <c r="R20" i="3"/>
  <c r="Y22" i="5" s="1"/>
  <c r="L20" i="3"/>
  <c r="AL19" i="3"/>
  <c r="T19" i="3"/>
  <c r="S19" i="3"/>
  <c r="R19" i="3"/>
  <c r="Y21" i="5" s="1"/>
  <c r="L19" i="3"/>
  <c r="AL18" i="3"/>
  <c r="S18" i="3"/>
  <c r="R18" i="3"/>
  <c r="L18" i="3"/>
  <c r="B14" i="6" s="1"/>
  <c r="AL17" i="3"/>
  <c r="S17" i="3"/>
  <c r="AD19" i="5" s="1"/>
  <c r="R17" i="3"/>
  <c r="Y19" i="5" s="1"/>
  <c r="L17" i="3"/>
  <c r="AL16" i="3"/>
  <c r="S16" i="3"/>
  <c r="R16" i="3"/>
  <c r="Y18" i="5" s="1"/>
  <c r="L16" i="3"/>
  <c r="AL15" i="3"/>
  <c r="T15" i="3"/>
  <c r="S15" i="3"/>
  <c r="AD17" i="5" s="1"/>
  <c r="R15" i="3"/>
  <c r="Y17" i="5" s="1"/>
  <c r="L15" i="3"/>
  <c r="AL14" i="3"/>
  <c r="S14" i="3"/>
  <c r="R14" i="3"/>
  <c r="Y16" i="5" s="1"/>
  <c r="L14" i="3"/>
  <c r="AL13" i="3"/>
  <c r="U13" i="3"/>
  <c r="T13" i="3"/>
  <c r="E19" i="4" s="1"/>
  <c r="S13" i="3"/>
  <c r="AD15" i="5" s="1"/>
  <c r="R13" i="3"/>
  <c r="Y15" i="5" s="1"/>
  <c r="L13" i="3"/>
  <c r="AL12" i="3"/>
  <c r="S12" i="3"/>
  <c r="R12" i="3"/>
  <c r="Y14" i="5" s="1"/>
  <c r="L12" i="3"/>
  <c r="AL11" i="3"/>
  <c r="S11" i="3"/>
  <c r="R11" i="3"/>
  <c r="Y13" i="5" s="1"/>
  <c r="L11" i="3"/>
  <c r="AL10" i="3"/>
  <c r="T10" i="3"/>
  <c r="S10" i="3"/>
  <c r="R10" i="3"/>
  <c r="Y12" i="5" s="1"/>
  <c r="L10" i="3"/>
  <c r="AL9" i="3"/>
  <c r="U9" i="3"/>
  <c r="T9" i="3"/>
  <c r="E12" i="4" s="1"/>
  <c r="S9" i="3"/>
  <c r="R9" i="3"/>
  <c r="L9" i="3"/>
  <c r="C14" i="6" s="1"/>
  <c r="AL8" i="3"/>
  <c r="S8" i="3"/>
  <c r="R8" i="3"/>
  <c r="Y10" i="5" s="1"/>
  <c r="L8" i="3"/>
  <c r="AL7" i="3"/>
  <c r="S7" i="3"/>
  <c r="R7" i="3"/>
  <c r="Y9" i="5" s="1"/>
  <c r="L7" i="3"/>
  <c r="AL6" i="3"/>
  <c r="U6" i="3"/>
  <c r="T6" i="3"/>
  <c r="S6" i="3"/>
  <c r="F4" i="4" s="1"/>
  <c r="R6" i="3"/>
  <c r="Y8" i="5" s="1"/>
  <c r="L6" i="3"/>
  <c r="AL5" i="3"/>
  <c r="S5" i="3"/>
  <c r="R5" i="3"/>
  <c r="Y7" i="5" s="1"/>
  <c r="L5" i="3"/>
  <c r="D13" i="2"/>
  <c r="D12" i="2"/>
  <c r="D11" i="2"/>
  <c r="D10" i="2"/>
  <c r="D9" i="2"/>
  <c r="D8" i="2"/>
  <c r="D7" i="2"/>
  <c r="D6" i="2"/>
  <c r="D5" i="2"/>
  <c r="D4" i="2"/>
  <c r="D3" i="2"/>
  <c r="D2" i="2"/>
  <c r="E51" i="4" l="1"/>
  <c r="E50" i="4"/>
  <c r="W32" i="3"/>
  <c r="AD27" i="5"/>
  <c r="T25" i="3"/>
  <c r="X10" i="5"/>
  <c r="P10" i="5"/>
  <c r="V10" i="5"/>
  <c r="U10" i="5"/>
  <c r="W18" i="5"/>
  <c r="P18" i="5"/>
  <c r="X18" i="5"/>
  <c r="O30" i="5"/>
  <c r="V37" i="5"/>
  <c r="W44" i="5"/>
  <c r="M44" i="5"/>
  <c r="U44" i="5"/>
  <c r="R44" i="5"/>
  <c r="AD7" i="5"/>
  <c r="U5" i="3"/>
  <c r="T17" i="3"/>
  <c r="U25" i="3"/>
  <c r="T31" i="3"/>
  <c r="T40" i="3"/>
  <c r="E66" i="4" s="1"/>
  <c r="F74" i="4"/>
  <c r="T44" i="3"/>
  <c r="U47" i="3"/>
  <c r="V28" i="5"/>
  <c r="X28" i="5"/>
  <c r="S28" i="5"/>
  <c r="M28" i="5"/>
  <c r="W28" i="5"/>
  <c r="Q28" i="5"/>
  <c r="P28" i="5"/>
  <c r="V42" i="5"/>
  <c r="X42" i="5"/>
  <c r="S42" i="5"/>
  <c r="M42" i="5"/>
  <c r="W42" i="5"/>
  <c r="Q42" i="5"/>
  <c r="P42" i="5"/>
  <c r="V46" i="5"/>
  <c r="W46" i="5"/>
  <c r="Q46" i="5"/>
  <c r="U46" i="5"/>
  <c r="P46" i="5"/>
  <c r="O46" i="5"/>
  <c r="AD23" i="5"/>
  <c r="U21" i="3"/>
  <c r="U28" i="3"/>
  <c r="F45" i="4"/>
  <c r="T16" i="5"/>
  <c r="W22" i="5"/>
  <c r="P22" i="5"/>
  <c r="R30" i="5"/>
  <c r="W30" i="5"/>
  <c r="Q30" i="5"/>
  <c r="V33" i="5"/>
  <c r="AD20" i="5"/>
  <c r="T18" i="3"/>
  <c r="W18" i="3" s="1"/>
  <c r="B25" i="6" s="1"/>
  <c r="T26" i="3"/>
  <c r="V28" i="3"/>
  <c r="AD40" i="5"/>
  <c r="U38" i="3"/>
  <c r="F63" i="4"/>
  <c r="F61" i="4"/>
  <c r="W47" i="3"/>
  <c r="V12" i="5"/>
  <c r="R12" i="5"/>
  <c r="T28" i="5"/>
  <c r="V30" i="5"/>
  <c r="V41" i="5"/>
  <c r="T42" i="5"/>
  <c r="S46" i="5"/>
  <c r="X22" i="5"/>
  <c r="V46" i="3"/>
  <c r="T7" i="3"/>
  <c r="W7" i="3" s="1"/>
  <c r="T21" i="3"/>
  <c r="T28" i="3"/>
  <c r="AE30" i="5" s="1"/>
  <c r="T5" i="3"/>
  <c r="F20" i="4"/>
  <c r="U14" i="3"/>
  <c r="U17" i="3"/>
  <c r="AD44" i="5"/>
  <c r="T42" i="3"/>
  <c r="E70" i="4" s="1"/>
  <c r="F69" i="4"/>
  <c r="AD48" i="5"/>
  <c r="F78" i="4"/>
  <c r="F62" i="4"/>
  <c r="V5" i="3"/>
  <c r="F14" i="4"/>
  <c r="F13" i="4"/>
  <c r="U10" i="3"/>
  <c r="T14" i="3"/>
  <c r="W14" i="3" s="1"/>
  <c r="AI14" i="3" s="1"/>
  <c r="U18" i="3"/>
  <c r="AD21" i="5"/>
  <c r="F29" i="4"/>
  <c r="U26" i="3"/>
  <c r="T38" i="3"/>
  <c r="U42" i="3"/>
  <c r="T46" i="3"/>
  <c r="F3" i="4"/>
  <c r="F37" i="4"/>
  <c r="F70" i="4"/>
  <c r="F79" i="4"/>
  <c r="E82" i="4"/>
  <c r="U9" i="5"/>
  <c r="M9" i="5"/>
  <c r="R9" i="5"/>
  <c r="Q9" i="5"/>
  <c r="Q10" i="5"/>
  <c r="V11" i="5"/>
  <c r="W11" i="5"/>
  <c r="Q11" i="5"/>
  <c r="P11" i="5"/>
  <c r="U11" i="5"/>
  <c r="O11" i="5"/>
  <c r="AE11" i="5"/>
  <c r="R16" i="5"/>
  <c r="X17" i="5"/>
  <c r="U17" i="5"/>
  <c r="M17" i="5"/>
  <c r="S17" i="5"/>
  <c r="Q17" i="5"/>
  <c r="T18" i="5"/>
  <c r="V19" i="5"/>
  <c r="X19" i="5"/>
  <c r="S19" i="5"/>
  <c r="M19" i="5"/>
  <c r="Q19" i="5"/>
  <c r="W19" i="5"/>
  <c r="P19" i="5"/>
  <c r="X21" i="5"/>
  <c r="S21" i="5"/>
  <c r="Q21" i="5"/>
  <c r="O21" i="5"/>
  <c r="T22" i="5"/>
  <c r="V23" i="5"/>
  <c r="X23" i="5"/>
  <c r="S23" i="5"/>
  <c r="M23" i="5"/>
  <c r="W23" i="5"/>
  <c r="Q23" i="5"/>
  <c r="P23" i="5"/>
  <c r="U28" i="5"/>
  <c r="M30" i="5"/>
  <c r="R33" i="5"/>
  <c r="X34" i="5"/>
  <c r="U34" i="5"/>
  <c r="M34" i="5"/>
  <c r="S34" i="5"/>
  <c r="Q34" i="5"/>
  <c r="X36" i="5"/>
  <c r="S36" i="5"/>
  <c r="M36" i="5"/>
  <c r="W36" i="5"/>
  <c r="Q36" i="5"/>
  <c r="P36" i="5"/>
  <c r="Q37" i="5"/>
  <c r="V38" i="5"/>
  <c r="X38" i="5"/>
  <c r="S38" i="5"/>
  <c r="M38" i="5"/>
  <c r="W38" i="5"/>
  <c r="Q38" i="5"/>
  <c r="P38" i="5"/>
  <c r="U42" i="5"/>
  <c r="O44" i="5"/>
  <c r="T46" i="5"/>
  <c r="V48" i="5"/>
  <c r="U48" i="5"/>
  <c r="M48" i="5"/>
  <c r="S48" i="5"/>
  <c r="Q48" i="5"/>
  <c r="O26" i="5"/>
  <c r="V26" i="5"/>
  <c r="W29" i="5"/>
  <c r="O32" i="5"/>
  <c r="T32" i="5"/>
  <c r="V45" i="5"/>
  <c r="G20" i="7"/>
  <c r="R14" i="5"/>
  <c r="O7" i="5"/>
  <c r="T7" i="5"/>
  <c r="O13" i="5"/>
  <c r="W13" i="5"/>
  <c r="O15" i="5"/>
  <c r="T15" i="5"/>
  <c r="W25" i="5"/>
  <c r="Q26" i="5"/>
  <c r="P32" i="5"/>
  <c r="U32" i="5"/>
  <c r="AF9" i="5"/>
  <c r="AI7" i="3"/>
  <c r="AD38" i="5"/>
  <c r="U36" i="3"/>
  <c r="F57" i="4"/>
  <c r="V36" i="3"/>
  <c r="F58" i="4"/>
  <c r="T36" i="3"/>
  <c r="V44" i="3"/>
  <c r="V24" i="5"/>
  <c r="R24" i="5"/>
  <c r="W24" i="5"/>
  <c r="Q24" i="5"/>
  <c r="M24" i="5"/>
  <c r="U24" i="5"/>
  <c r="P24" i="5"/>
  <c r="T24" i="5"/>
  <c r="O24" i="5"/>
  <c r="N24" i="5"/>
  <c r="X24" i="5"/>
  <c r="E5" i="4"/>
  <c r="W6" i="3"/>
  <c r="AE8" i="5"/>
  <c r="E4" i="4"/>
  <c r="AD14" i="5"/>
  <c r="F17" i="4"/>
  <c r="U12" i="3"/>
  <c r="F18" i="4"/>
  <c r="T12" i="3"/>
  <c r="E23" i="4"/>
  <c r="AE17" i="5"/>
  <c r="W15" i="3"/>
  <c r="E22" i="4"/>
  <c r="AE21" i="5"/>
  <c r="E29" i="4"/>
  <c r="W19" i="3"/>
  <c r="E30" i="4"/>
  <c r="AE25" i="5"/>
  <c r="E37" i="4"/>
  <c r="W23" i="3"/>
  <c r="E38" i="4"/>
  <c r="V30" i="3"/>
  <c r="F60" i="4"/>
  <c r="T37" i="3"/>
  <c r="AD39" i="5"/>
  <c r="F59" i="4"/>
  <c r="V37" i="3"/>
  <c r="U37" i="3"/>
  <c r="E18" i="7"/>
  <c r="D18" i="7"/>
  <c r="V41" i="3"/>
  <c r="AI43" i="3"/>
  <c r="AF45" i="5"/>
  <c r="AD10" i="5"/>
  <c r="F9" i="4"/>
  <c r="U8" i="3"/>
  <c r="F10" i="4"/>
  <c r="T8" i="3"/>
  <c r="C4" i="7" s="1"/>
  <c r="F24" i="4"/>
  <c r="AD18" i="5"/>
  <c r="V16" i="3"/>
  <c r="F25" i="4"/>
  <c r="U16" i="3"/>
  <c r="T16" i="3"/>
  <c r="V17" i="3"/>
  <c r="F32" i="4"/>
  <c r="AD22" i="5"/>
  <c r="V20" i="3"/>
  <c r="U20" i="3"/>
  <c r="F31" i="4"/>
  <c r="T20" i="3"/>
  <c r="V21" i="3"/>
  <c r="V29" i="3"/>
  <c r="AF34" i="5"/>
  <c r="AI32" i="3"/>
  <c r="AE40" i="5"/>
  <c r="E63" i="4"/>
  <c r="W38" i="3"/>
  <c r="E61" i="4"/>
  <c r="E62" i="4"/>
  <c r="B4" i="7"/>
  <c r="E7" i="4"/>
  <c r="AE9" i="5"/>
  <c r="E8" i="4"/>
  <c r="E6" i="4"/>
  <c r="E9" i="2" s="1"/>
  <c r="C24" i="7"/>
  <c r="AE12" i="5"/>
  <c r="E13" i="4"/>
  <c r="E14" i="4"/>
  <c r="W10" i="3"/>
  <c r="AE41" i="5"/>
  <c r="E64" i="4"/>
  <c r="W39" i="3"/>
  <c r="AF49" i="5"/>
  <c r="AI47" i="3"/>
  <c r="U8" i="5"/>
  <c r="Q8" i="5"/>
  <c r="M8" i="5"/>
  <c r="X8" i="5"/>
  <c r="S8" i="5"/>
  <c r="N8" i="5"/>
  <c r="W8" i="5"/>
  <c r="R8" i="5"/>
  <c r="V8" i="5"/>
  <c r="P8" i="5"/>
  <c r="T8" i="5"/>
  <c r="F16" i="4"/>
  <c r="H6" i="7"/>
  <c r="AD13" i="5"/>
  <c r="V11" i="3"/>
  <c r="F15" i="4"/>
  <c r="U11" i="3"/>
  <c r="V12" i="3"/>
  <c r="V13" i="3"/>
  <c r="V22" i="3"/>
  <c r="H10" i="7"/>
  <c r="F40" i="4"/>
  <c r="V24" i="3"/>
  <c r="AD26" i="5"/>
  <c r="U24" i="3"/>
  <c r="F39" i="4"/>
  <c r="T24" i="3"/>
  <c r="V25" i="3"/>
  <c r="V45" i="3"/>
  <c r="H4" i="7"/>
  <c r="F8" i="4"/>
  <c r="F6" i="4"/>
  <c r="V34" i="3"/>
  <c r="V33" i="3"/>
  <c r="V32" i="3"/>
  <c r="AD9" i="5"/>
  <c r="V7" i="3"/>
  <c r="F7" i="4"/>
  <c r="U7" i="3"/>
  <c r="V8" i="3"/>
  <c r="C16" i="6"/>
  <c r="Y11" i="5"/>
  <c r="V9" i="3"/>
  <c r="T11" i="3"/>
  <c r="AF24" i="5"/>
  <c r="AI22" i="3"/>
  <c r="AD37" i="5"/>
  <c r="F56" i="4"/>
  <c r="V35" i="3"/>
  <c r="U35" i="3"/>
  <c r="F55" i="4"/>
  <c r="T35" i="3"/>
  <c r="O8" i="5"/>
  <c r="AF16" i="5"/>
  <c r="S24" i="5"/>
  <c r="V6" i="3"/>
  <c r="C21" i="6"/>
  <c r="AD11" i="5"/>
  <c r="F12" i="4"/>
  <c r="W9" i="3"/>
  <c r="V10" i="3"/>
  <c r="W13" i="3"/>
  <c r="V14" i="3"/>
  <c r="U15" i="3"/>
  <c r="B16" i="6"/>
  <c r="Y20" i="5"/>
  <c r="V18" i="3"/>
  <c r="U19" i="3"/>
  <c r="W21" i="3"/>
  <c r="U23" i="3"/>
  <c r="W25" i="3"/>
  <c r="V26" i="3"/>
  <c r="W27" i="3"/>
  <c r="W28" i="3"/>
  <c r="V31" i="3"/>
  <c r="AD33" i="5"/>
  <c r="AD34" i="5"/>
  <c r="U32" i="3"/>
  <c r="F52" i="4"/>
  <c r="T33" i="3"/>
  <c r="AE36" i="5"/>
  <c r="W34" i="3"/>
  <c r="V40" i="3"/>
  <c r="V42" i="3"/>
  <c r="W44" i="3"/>
  <c r="AD49" i="5"/>
  <c r="F80" i="4"/>
  <c r="V47" i="3"/>
  <c r="F2" i="4"/>
  <c r="E20" i="4"/>
  <c r="F23" i="4"/>
  <c r="F26" i="4"/>
  <c r="E33" i="4"/>
  <c r="F34" i="4"/>
  <c r="E36" i="4"/>
  <c r="F42" i="4"/>
  <c r="E44" i="4"/>
  <c r="F50" i="4"/>
  <c r="F66" i="4"/>
  <c r="E81" i="4"/>
  <c r="F82" i="4"/>
  <c r="X9" i="5"/>
  <c r="T9" i="5"/>
  <c r="P9" i="5"/>
  <c r="N9" i="5"/>
  <c r="S9" i="5"/>
  <c r="M10" i="5"/>
  <c r="R10" i="5"/>
  <c r="T12" i="5"/>
  <c r="W14" i="5"/>
  <c r="S14" i="5"/>
  <c r="O14" i="5"/>
  <c r="U14" i="5"/>
  <c r="Q14" i="5"/>
  <c r="M14" i="5"/>
  <c r="P14" i="5"/>
  <c r="X14" i="5"/>
  <c r="N16" i="5"/>
  <c r="W27" i="5"/>
  <c r="S27" i="5"/>
  <c r="O27" i="5"/>
  <c r="X27" i="5"/>
  <c r="R27" i="5"/>
  <c r="M27" i="5"/>
  <c r="V27" i="5"/>
  <c r="Q27" i="5"/>
  <c r="U27" i="5"/>
  <c r="P27" i="5"/>
  <c r="T27" i="5"/>
  <c r="AD30" i="5"/>
  <c r="AD35" i="5"/>
  <c r="W31" i="5"/>
  <c r="S31" i="5"/>
  <c r="O31" i="5"/>
  <c r="X31" i="5"/>
  <c r="R31" i="5"/>
  <c r="M31" i="5"/>
  <c r="V31" i="5"/>
  <c r="Q31" i="5"/>
  <c r="U31" i="5"/>
  <c r="P31" i="5"/>
  <c r="T31" i="5"/>
  <c r="C28" i="7"/>
  <c r="C25" i="7"/>
  <c r="F5" i="7"/>
  <c r="B5" i="7"/>
  <c r="E5" i="7"/>
  <c r="D5" i="7"/>
  <c r="C22" i="6"/>
  <c r="C5" i="7"/>
  <c r="E11" i="4"/>
  <c r="V15" i="3"/>
  <c r="H8" i="7"/>
  <c r="B21" i="6"/>
  <c r="F28" i="4"/>
  <c r="V19" i="3"/>
  <c r="AD24" i="5"/>
  <c r="F36" i="4"/>
  <c r="V23" i="3"/>
  <c r="D11" i="7"/>
  <c r="B11" i="7"/>
  <c r="AE27" i="5"/>
  <c r="F44" i="4"/>
  <c r="V27" i="3"/>
  <c r="AD29" i="5"/>
  <c r="T29" i="3"/>
  <c r="F11" i="7" s="1"/>
  <c r="AD31" i="5"/>
  <c r="E12" i="7"/>
  <c r="D12" i="7"/>
  <c r="C12" i="7"/>
  <c r="F12" i="7"/>
  <c r="B12" i="7"/>
  <c r="E47" i="4"/>
  <c r="W30" i="3"/>
  <c r="AE32" i="5"/>
  <c r="C33" i="7"/>
  <c r="F13" i="7"/>
  <c r="B13" i="7"/>
  <c r="E13" i="7"/>
  <c r="D13" i="7"/>
  <c r="AE33" i="5"/>
  <c r="C13" i="7"/>
  <c r="V38" i="3"/>
  <c r="AD45" i="5"/>
  <c r="F72" i="4"/>
  <c r="V43" i="3"/>
  <c r="H14" i="7"/>
  <c r="AD46" i="5"/>
  <c r="U44" i="3"/>
  <c r="F76" i="4"/>
  <c r="T45" i="3"/>
  <c r="C31" i="7" s="1"/>
  <c r="AD47" i="5"/>
  <c r="C32" i="7"/>
  <c r="AE48" i="5"/>
  <c r="E79" i="4"/>
  <c r="W46" i="3"/>
  <c r="F33" i="4"/>
  <c r="F41" i="4"/>
  <c r="F49" i="4"/>
  <c r="E54" i="4"/>
  <c r="F73" i="4"/>
  <c r="E78" i="4"/>
  <c r="F81" i="4"/>
  <c r="W10" i="5"/>
  <c r="S10" i="5"/>
  <c r="O10" i="5"/>
  <c r="N10" i="5"/>
  <c r="T10" i="5"/>
  <c r="N12" i="5"/>
  <c r="U16" i="5"/>
  <c r="Q16" i="5"/>
  <c r="M16" i="5"/>
  <c r="W16" i="5"/>
  <c r="S16" i="5"/>
  <c r="O16" i="5"/>
  <c r="P16" i="5"/>
  <c r="X16" i="5"/>
  <c r="U39" i="5"/>
  <c r="Q39" i="5"/>
  <c r="M39" i="5"/>
  <c r="X39" i="5"/>
  <c r="S39" i="5"/>
  <c r="N39" i="5"/>
  <c r="W39" i="5"/>
  <c r="R39" i="5"/>
  <c r="V39" i="5"/>
  <c r="P39" i="5"/>
  <c r="O39" i="5"/>
  <c r="D7" i="7"/>
  <c r="C7" i="7"/>
  <c r="F7" i="7"/>
  <c r="B7" i="7"/>
  <c r="E7" i="7"/>
  <c r="AE16" i="5"/>
  <c r="E8" i="7"/>
  <c r="D8" i="7"/>
  <c r="B22" i="6"/>
  <c r="E27" i="4"/>
  <c r="F9" i="7"/>
  <c r="B9" i="7"/>
  <c r="E9" i="7"/>
  <c r="D9" i="7"/>
  <c r="C9" i="7"/>
  <c r="E35" i="4"/>
  <c r="AE24" i="5"/>
  <c r="E43" i="4"/>
  <c r="W26" i="3"/>
  <c r="AE28" i="5"/>
  <c r="AD41" i="5"/>
  <c r="F64" i="4"/>
  <c r="V39" i="3"/>
  <c r="AD42" i="5"/>
  <c r="H18" i="7"/>
  <c r="U40" i="3"/>
  <c r="H16" i="7"/>
  <c r="F68" i="4"/>
  <c r="T41" i="3"/>
  <c r="AD43" i="5"/>
  <c r="AE44" i="5"/>
  <c r="W42" i="3"/>
  <c r="B14" i="7"/>
  <c r="AE45" i="5"/>
  <c r="E71" i="4"/>
  <c r="AE46" i="5"/>
  <c r="E75" i="4"/>
  <c r="E21" i="4"/>
  <c r="F22" i="4"/>
  <c r="F27" i="4"/>
  <c r="F30" i="4"/>
  <c r="F35" i="4"/>
  <c r="F38" i="4"/>
  <c r="F43" i="4"/>
  <c r="E45" i="4"/>
  <c r="F46" i="4"/>
  <c r="E48" i="4"/>
  <c r="F67" i="4"/>
  <c r="E69" i="4"/>
  <c r="E72" i="4"/>
  <c r="F75" i="4"/>
  <c r="E80" i="4"/>
  <c r="U12" i="5"/>
  <c r="Q12" i="5"/>
  <c r="M12" i="5"/>
  <c r="W12" i="5"/>
  <c r="S12" i="5"/>
  <c r="O12" i="5"/>
  <c r="P12" i="5"/>
  <c r="X12" i="5"/>
  <c r="AE15" i="5"/>
  <c r="AD16" i="5"/>
  <c r="U20" i="5"/>
  <c r="Q20" i="5"/>
  <c r="M20" i="5"/>
  <c r="X20" i="5"/>
  <c r="T20" i="5"/>
  <c r="P20" i="5"/>
  <c r="W20" i="5"/>
  <c r="S20" i="5"/>
  <c r="O20" i="5"/>
  <c r="R20" i="5"/>
  <c r="N31" i="5"/>
  <c r="AE34" i="5"/>
  <c r="N13" i="5"/>
  <c r="R13" i="5"/>
  <c r="V13" i="5"/>
  <c r="N17" i="5"/>
  <c r="R17" i="5"/>
  <c r="V17" i="5"/>
  <c r="M18" i="5"/>
  <c r="Q18" i="5"/>
  <c r="U18" i="5"/>
  <c r="N21" i="5"/>
  <c r="R21" i="5"/>
  <c r="V21" i="5"/>
  <c r="M22" i="5"/>
  <c r="Q22" i="5"/>
  <c r="U22" i="5"/>
  <c r="N25" i="5"/>
  <c r="S25" i="5"/>
  <c r="N29" i="5"/>
  <c r="S29" i="5"/>
  <c r="U33" i="5"/>
  <c r="Q33" i="5"/>
  <c r="M33" i="5"/>
  <c r="W33" i="5"/>
  <c r="S33" i="5"/>
  <c r="O33" i="5"/>
  <c r="P33" i="5"/>
  <c r="X33" i="5"/>
  <c r="U43" i="5"/>
  <c r="Q43" i="5"/>
  <c r="M43" i="5"/>
  <c r="X43" i="5"/>
  <c r="S43" i="5"/>
  <c r="N43" i="5"/>
  <c r="W43" i="5"/>
  <c r="R43" i="5"/>
  <c r="V43" i="5"/>
  <c r="P43" i="5"/>
  <c r="T43" i="5"/>
  <c r="H11" i="7"/>
  <c r="N18" i="5"/>
  <c r="R18" i="5"/>
  <c r="V18" i="5"/>
  <c r="N22" i="5"/>
  <c r="R22" i="5"/>
  <c r="V22" i="5"/>
  <c r="U25" i="5"/>
  <c r="Q25" i="5"/>
  <c r="M25" i="5"/>
  <c r="O25" i="5"/>
  <c r="T25" i="5"/>
  <c r="U29" i="5"/>
  <c r="Q29" i="5"/>
  <c r="M29" i="5"/>
  <c r="O29" i="5"/>
  <c r="T29" i="5"/>
  <c r="H19" i="7"/>
  <c r="H12" i="7"/>
  <c r="AD32" i="5"/>
  <c r="F48" i="4"/>
  <c r="N7" i="5"/>
  <c r="R7" i="5"/>
  <c r="N11" i="5"/>
  <c r="R11" i="5"/>
  <c r="P13" i="5"/>
  <c r="T13" i="5"/>
  <c r="N15" i="5"/>
  <c r="R15" i="5"/>
  <c r="P17" i="5"/>
  <c r="T17" i="5"/>
  <c r="O18" i="5"/>
  <c r="S18" i="5"/>
  <c r="N19" i="5"/>
  <c r="R19" i="5"/>
  <c r="P21" i="5"/>
  <c r="T21" i="5"/>
  <c r="O22" i="5"/>
  <c r="S22" i="5"/>
  <c r="N23" i="5"/>
  <c r="R23" i="5"/>
  <c r="P25" i="5"/>
  <c r="V25" i="5"/>
  <c r="X26" i="5"/>
  <c r="T26" i="5"/>
  <c r="P26" i="5"/>
  <c r="N26" i="5"/>
  <c r="S26" i="5"/>
  <c r="P29" i="5"/>
  <c r="V29" i="5"/>
  <c r="X30" i="5"/>
  <c r="T30" i="5"/>
  <c r="P30" i="5"/>
  <c r="N30" i="5"/>
  <c r="S30" i="5"/>
  <c r="T33" i="5"/>
  <c r="W35" i="5"/>
  <c r="S35" i="5"/>
  <c r="O35" i="5"/>
  <c r="U35" i="5"/>
  <c r="Q35" i="5"/>
  <c r="M35" i="5"/>
  <c r="P35" i="5"/>
  <c r="X35" i="5"/>
  <c r="U49" i="5"/>
  <c r="Q49" i="5"/>
  <c r="M49" i="5"/>
  <c r="X49" i="5"/>
  <c r="T49" i="5"/>
  <c r="P49" i="5"/>
  <c r="W49" i="5"/>
  <c r="S49" i="5"/>
  <c r="O49" i="5"/>
  <c r="N49" i="5"/>
  <c r="V49" i="5"/>
  <c r="N34" i="5"/>
  <c r="R34" i="5"/>
  <c r="V34" i="5"/>
  <c r="M37" i="5"/>
  <c r="R37" i="5"/>
  <c r="X40" i="5"/>
  <c r="T40" i="5"/>
  <c r="P40" i="5"/>
  <c r="N40" i="5"/>
  <c r="S40" i="5"/>
  <c r="M41" i="5"/>
  <c r="R41" i="5"/>
  <c r="X44" i="5"/>
  <c r="T44" i="5"/>
  <c r="P44" i="5"/>
  <c r="N44" i="5"/>
  <c r="S44" i="5"/>
  <c r="M45" i="5"/>
  <c r="R45" i="5"/>
  <c r="H5" i="7"/>
  <c r="H13" i="7"/>
  <c r="W37" i="5"/>
  <c r="S37" i="5"/>
  <c r="O37" i="5"/>
  <c r="N37" i="5"/>
  <c r="T37" i="5"/>
  <c r="W41" i="5"/>
  <c r="S41" i="5"/>
  <c r="O41" i="5"/>
  <c r="N41" i="5"/>
  <c r="T41" i="5"/>
  <c r="W45" i="5"/>
  <c r="S45" i="5"/>
  <c r="O45" i="5"/>
  <c r="N45" i="5"/>
  <c r="T45" i="5"/>
  <c r="H7" i="7"/>
  <c r="N28" i="5"/>
  <c r="R28" i="5"/>
  <c r="N32" i="5"/>
  <c r="R32" i="5"/>
  <c r="P34" i="5"/>
  <c r="T34" i="5"/>
  <c r="N36" i="5"/>
  <c r="R36" i="5"/>
  <c r="V36" i="5"/>
  <c r="P37" i="5"/>
  <c r="U37" i="5"/>
  <c r="Q40" i="5"/>
  <c r="V40" i="5"/>
  <c r="P41" i="5"/>
  <c r="U41" i="5"/>
  <c r="Q44" i="5"/>
  <c r="V44" i="5"/>
  <c r="P45" i="5"/>
  <c r="U45" i="5"/>
  <c r="W47" i="5"/>
  <c r="S47" i="5"/>
  <c r="O47" i="5"/>
  <c r="U47" i="5"/>
  <c r="Q47" i="5"/>
  <c r="M47" i="5"/>
  <c r="P47" i="5"/>
  <c r="X47" i="5"/>
  <c r="H9" i="7"/>
  <c r="H17" i="7"/>
  <c r="N38" i="5"/>
  <c r="R38" i="5"/>
  <c r="N42" i="5"/>
  <c r="R42" i="5"/>
  <c r="N46" i="5"/>
  <c r="R46" i="5"/>
  <c r="P48" i="5"/>
  <c r="T48" i="5"/>
  <c r="X48" i="5"/>
  <c r="N48" i="5"/>
  <c r="R48" i="5"/>
  <c r="C23" i="7" l="1"/>
  <c r="W5" i="3"/>
  <c r="AE7" i="5"/>
  <c r="E2" i="4"/>
  <c r="D14" i="7"/>
  <c r="F14" i="7"/>
  <c r="B8" i="7"/>
  <c r="E3" i="4"/>
  <c r="E17" i="7"/>
  <c r="F8" i="7"/>
  <c r="AI18" i="3"/>
  <c r="D4" i="7"/>
  <c r="E65" i="4"/>
  <c r="B18" i="7"/>
  <c r="E49" i="4"/>
  <c r="W31" i="3"/>
  <c r="C14" i="7"/>
  <c r="AE20" i="5"/>
  <c r="C8" i="7"/>
  <c r="E11" i="7"/>
  <c r="C17" i="7"/>
  <c r="B17" i="7"/>
  <c r="AF20" i="5"/>
  <c r="W40" i="3"/>
  <c r="AF42" i="5" s="1"/>
  <c r="F18" i="7"/>
  <c r="AE23" i="5"/>
  <c r="E34" i="4"/>
  <c r="E73" i="4"/>
  <c r="E74" i="4"/>
  <c r="E14" i="7"/>
  <c r="D17" i="7"/>
  <c r="F17" i="7"/>
  <c r="E28" i="4"/>
  <c r="AE42" i="5"/>
  <c r="C18" i="7"/>
  <c r="W17" i="3"/>
  <c r="E26" i="4"/>
  <c r="AE19" i="5"/>
  <c r="E41" i="4"/>
  <c r="E42" i="4"/>
  <c r="C6" i="7"/>
  <c r="F6" i="7"/>
  <c r="B6" i="7"/>
  <c r="E6" i="7"/>
  <c r="D6" i="7"/>
  <c r="E15" i="4"/>
  <c r="E16" i="4"/>
  <c r="AE13" i="5"/>
  <c r="W11" i="3"/>
  <c r="AF41" i="5"/>
  <c r="AI39" i="3"/>
  <c r="AF25" i="5"/>
  <c r="AI23" i="3"/>
  <c r="AF21" i="5"/>
  <c r="AI19" i="3"/>
  <c r="C29" i="7"/>
  <c r="E16" i="7"/>
  <c r="D16" i="7"/>
  <c r="C16" i="7"/>
  <c r="B16" i="7"/>
  <c r="AE43" i="5"/>
  <c r="E67" i="4"/>
  <c r="F16" i="7"/>
  <c r="W41" i="3"/>
  <c r="E68" i="4"/>
  <c r="AF48" i="5"/>
  <c r="AI46" i="3"/>
  <c r="AF27" i="5"/>
  <c r="AI25" i="3"/>
  <c r="AE37" i="5"/>
  <c r="E55" i="4"/>
  <c r="E56" i="4"/>
  <c r="W35" i="3"/>
  <c r="C10" i="7"/>
  <c r="F10" i="7"/>
  <c r="B10" i="7"/>
  <c r="E10" i="7"/>
  <c r="D10" i="7"/>
  <c r="E39" i="4"/>
  <c r="AE26" i="5"/>
  <c r="E40" i="4"/>
  <c r="E10" i="2" s="1"/>
  <c r="W24" i="3"/>
  <c r="F4" i="7"/>
  <c r="E4" i="7"/>
  <c r="AF17" i="5"/>
  <c r="AI15" i="3"/>
  <c r="AE38" i="5"/>
  <c r="W36" i="3"/>
  <c r="E57" i="4"/>
  <c r="E58" i="4"/>
  <c r="AF44" i="5"/>
  <c r="AI42" i="3"/>
  <c r="AE47" i="5"/>
  <c r="E77" i="4"/>
  <c r="E76" i="4"/>
  <c r="E12" i="2" s="1"/>
  <c r="W45" i="3"/>
  <c r="AF36" i="5"/>
  <c r="AI34" i="3"/>
  <c r="AF30" i="5"/>
  <c r="AI28" i="3"/>
  <c r="AF15" i="5"/>
  <c r="AI13" i="3"/>
  <c r="AE18" i="5"/>
  <c r="E24" i="4"/>
  <c r="E25" i="4"/>
  <c r="W16" i="3"/>
  <c r="AI40" i="3"/>
  <c r="AF8" i="5"/>
  <c r="AI6" i="3"/>
  <c r="E6" i="2"/>
  <c r="D19" i="7"/>
  <c r="C19" i="7"/>
  <c r="F19" i="7"/>
  <c r="B19" i="7"/>
  <c r="E19" i="7"/>
  <c r="AE35" i="5"/>
  <c r="E52" i="4"/>
  <c r="W33" i="3"/>
  <c r="C25" i="6"/>
  <c r="AF11" i="5"/>
  <c r="AI9" i="3"/>
  <c r="AF40" i="5"/>
  <c r="AI38" i="3"/>
  <c r="AE10" i="5"/>
  <c r="E9" i="4"/>
  <c r="W8" i="3"/>
  <c r="E10" i="4"/>
  <c r="AE39" i="5"/>
  <c r="E59" i="4"/>
  <c r="E7" i="2" s="1"/>
  <c r="W37" i="3"/>
  <c r="E60" i="4"/>
  <c r="AF28" i="5"/>
  <c r="AI26" i="3"/>
  <c r="AF32" i="5"/>
  <c r="AI30" i="3"/>
  <c r="AE31" i="5"/>
  <c r="E46" i="4"/>
  <c r="W29" i="3"/>
  <c r="C11" i="7"/>
  <c r="AF46" i="5"/>
  <c r="AI44" i="3"/>
  <c r="AI27" i="3"/>
  <c r="AF29" i="5"/>
  <c r="AF23" i="5"/>
  <c r="AI21" i="3"/>
  <c r="AF12" i="5"/>
  <c r="AI10" i="3"/>
  <c r="C30" i="7"/>
  <c r="AE22" i="5"/>
  <c r="E31" i="4"/>
  <c r="E3" i="2" s="1"/>
  <c r="E32" i="4"/>
  <c r="W20" i="3"/>
  <c r="AE14" i="5"/>
  <c r="E17" i="4"/>
  <c r="W12" i="3"/>
  <c r="E18" i="4"/>
  <c r="E4" i="2"/>
  <c r="E5" i="2" l="1"/>
  <c r="B20" i="7"/>
  <c r="AF19" i="5"/>
  <c r="AI17" i="3"/>
  <c r="AI31" i="3"/>
  <c r="AF33" i="5"/>
  <c r="D20" i="7"/>
  <c r="AI5" i="3"/>
  <c r="AF7" i="5"/>
  <c r="C20" i="7"/>
  <c r="AF39" i="5"/>
  <c r="AI37" i="3"/>
  <c r="E20" i="7"/>
  <c r="E8" i="2"/>
  <c r="AF18" i="5"/>
  <c r="AI16" i="3"/>
  <c r="F20" i="7"/>
  <c r="AI29" i="3"/>
  <c r="AF31" i="5"/>
  <c r="AI8" i="3"/>
  <c r="AF10" i="5"/>
  <c r="AI33" i="3"/>
  <c r="AF35" i="5"/>
  <c r="AF37" i="5"/>
  <c r="AI35" i="3"/>
  <c r="AF22" i="5"/>
  <c r="AI20" i="3"/>
  <c r="AF14" i="5"/>
  <c r="AI12" i="3"/>
  <c r="E11" i="2"/>
  <c r="E13" i="2"/>
  <c r="AF43" i="5"/>
  <c r="AI41" i="3"/>
  <c r="AF13" i="5"/>
  <c r="AI11" i="3"/>
  <c r="E2" i="2"/>
  <c r="AF47" i="5"/>
  <c r="AI45" i="3"/>
  <c r="AF38" i="5"/>
  <c r="AI36" i="3"/>
  <c r="AF26" i="5"/>
  <c r="AI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do impacte.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Categoria de impacte ambiental (Mod.G.07.00; IMP-08 acrescentado para microplásticos/ecossistemas — ISO 14001:2026).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Adverso ou Benéfico.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N.º de aspetos associados.
[calculado]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N.º de aspetos significativos associados.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do aspeto.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Código do processo.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Área / atividade (coluna 'Área / Atividade' do Mod.G.07.00).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Atividade ou tarefa que origina o aspeto.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Fase do ciclo de vida (Aquisição, Design e Conceção, Produção, Distribuição, Uso, Fim de Vida).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Categoria do aspeto (PR.G.01.01 §5.2).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 que é emitido, consumido, descarregado ou derramado (causa).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Direto (controlo da Plasticom) ou Indireto (apenas influência).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Normal (rotina), Anormal (arranque, paragem, manutenção, picos — 'Especial' no PR.G.01.01) ou Emergência.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Presente, Passado (passivo) ou Futuro (planeado/potencial).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Impacte principal (lista do Mod.G.07.00 + microplásticos).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Nome do impacte principal.
[calculado]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Outros impactes (IDs separados por ';'). Também na tabela longa tbl_aspeto_impacte.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Frequência 1 (rara) a 5 (contínua).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Magnitude 1 (vestigial) a 5 (massiva).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Gravidade 1 (inerte) a 5 (tóxica/crítica); -1/-2 para aspetos benéficos.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Cumprimento legal: 1 conforme; 2 não conforme / falta medição ou licença.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Convenção do enunciado da Atividade 3.2: (+) adverso, (-) benéfico (derivado do sinal de G).
[calculado]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Índice de Risco Ambiental = (F + M) × G × L.
[calculado]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Regra do Mod.G.07.00 / PR.G.01.01 (inclui regra de ouro L=2 → AAS).
[calculado]</t>
        </r>
      </text>
    </comment>
    <comment ref="U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Porque recebeu a classificação.
[calculado]</t>
        </r>
      </text>
    </comment>
    <comment ref="V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Posição do aspeto por IRA (1 = maior).
[calculado]</t>
        </r>
      </text>
    </comment>
    <comment ref="W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SIM se AAS ou Moderado (enunciado).
[calculado]</t>
        </r>
      </text>
    </comment>
    <comment ref="X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Controlo operacional ou ação a implementar.</t>
        </r>
      </text>
    </comment>
    <comment ref="Y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Controlo operacional já existente.</t>
        </r>
      </text>
    </comment>
    <comment ref="Z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Evidência de magnitude: quantidade anual (ano civil de 2026) quando medida.</t>
        </r>
      </text>
    </comment>
    <comment ref="AA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Unidade da quantidade anual.</t>
        </r>
      </text>
    </comment>
    <comment ref="AB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Origem da informação usada na avaliação.</t>
        </r>
      </text>
    </comment>
    <comment ref="AC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Justificação dos valores de F, M, G e L (rastreabilidade para auditoria).</t>
        </r>
      </text>
    </comment>
    <comment ref="AD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Obrigação de conformidade relacionada.</t>
        </r>
      </text>
    </comment>
    <comment ref="AE4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Risco/oportunidade relacionado.</t>
        </r>
      </text>
    </comment>
    <comment ref="AF4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Objetivo ambiental relacionado.</t>
        </r>
      </text>
    </comment>
    <comment ref="AG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Ação no Plano de Ações de Melhoria.</t>
        </r>
      </text>
    </comment>
    <comment ref="AH4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Parâmetro do plano de monitorização.</t>
        </r>
      </text>
    </comment>
    <comment ref="AI4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Controlo automático: aspetos que exigem gestão têm medida, ação e monitorização.
[calculado]</t>
        </r>
      </text>
    </comment>
    <comment ref="AJ4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Aspeto escolhido para a Atividade 3.2.</t>
        </r>
      </text>
    </comment>
    <comment ref="AK4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Data da avaliação.</t>
        </r>
      </text>
    </comment>
    <comment ref="AL4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Revisão anual (ou antes: mudança, acidente, nova legislação).
[calculado]</t>
        </r>
      </text>
    </comment>
    <comment ref="AM4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Quem avaliou.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Aspeto.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Impacte.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Sim = impacte principal.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Nome do impacte.
[calculado]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Classificação do aspeto (para análise por impacte).
[calculado]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IRA do aspeto.
[calculado]</t>
        </r>
      </text>
    </comment>
  </commentList>
</comments>
</file>

<file path=xl/sharedStrings.xml><?xml version="1.0" encoding="utf-8"?>
<sst xmlns="http://schemas.openxmlformats.org/spreadsheetml/2006/main" count="1925" uniqueCount="769">
  <si>
    <t>RG-SGA-03 — Matriz de Identificação e Avaliação de Aspetos e Impactes Ambientais (Mod.G.07.00)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</si>
  <si>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</si>
  <si>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</si>
  <si>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</si>
  <si>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RG-SGA-03</t>
  </si>
  <si>
    <t>Título</t>
  </si>
  <si>
    <t>Matriz de Identificação e Avaliação de Aspetos e Impactes Ambientais (Mod.G.07.00)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</si>
  <si>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</si>
  <si>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</si>
  <si>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</si>
  <si>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</si>
  <si>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</si>
  <si>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</si>
  <si>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</si>
  <si>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</si>
  <si>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</si>
  <si>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</si>
  <si>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</si>
  <si>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</si>
  <si>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</si>
  <si>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</si>
  <si>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</si>
  <si>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Identificar, para todas as atividades da Plasticom e em todas as fases do ciclo de vida, os aspetos ambientais (causa) e os impactes (efeito), e avaliar a significância pelo IRA = (F + M) × G × L segundo o PR.G.01.01. Ponto de partida: folha 03_Aspectos_Impactes do Plasticom_SGA_ISO14001_2026_ESG_com_Dupla_Materialidade.xlsx, revista e alargada.</t>
  </si>
  <si>
    <t>Atividades do curso</t>
  </si>
  <si>
    <t>Atividade 3.2 — Identificação e Avaliação de Aspetos e Impactes Ambientais (aspetos selecionados: AA-005 e AA-014).</t>
  </si>
  <si>
    <t>Requisitos ISO 14001:2026</t>
  </si>
  <si>
    <t>6.1.2 Aspetos ambientais (perspetiva de ciclo de vida; situações de emergência distinguidas das anormais — ISO 14001:2026); 6.1.5; 8.1; 8.2</t>
  </si>
  <si>
    <t>ESTRUTURA DO FICHEIRO</t>
  </si>
  <si>
    <t>Impactes</t>
  </si>
  <si>
    <t>Catálogo de impactes ambientais (dimensão).</t>
  </si>
  <si>
    <t>Aspetos_Impactes</t>
  </si>
  <si>
    <t>Registo de aspetos e impactes (1 linha por aspeto) com avaliação IRA e gestão.</t>
  </si>
  <si>
    <t>Aspeto_Impacte</t>
  </si>
  <si>
    <t>Relação N:N aspeto × impacte (formato longo, para análise e para os 'X' da matriz Mod.G.07.00).</t>
  </si>
  <si>
    <t>Mod.G.07.00_Matriz</t>
  </si>
  <si>
    <t>Matriz no formato do modelo do curso (Mod.G.07.00), com 'X' calculados a partir das tabelas. Para impressão; editar em Aspetos_Impactes.</t>
  </si>
  <si>
    <t>Resumo_Atividade_3_2</t>
  </si>
  <si>
    <t>Ficha dos 2 aspetos selecionados para a Atividade 3.2 (campos do enunciado, calculados).</t>
  </si>
  <si>
    <t>Analise</t>
  </si>
  <si>
    <t>Distribuição dos aspetos por classificação, processo, condição e fase (calculado).</t>
  </si>
  <si>
    <t>Criterios</t>
  </si>
  <si>
    <t>Critérios F, M, G, L e tabela de significância (PR.G.01.01).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</si>
  <si>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</si>
  <si>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</si>
  <si>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</si>
  <si>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</si>
  <si>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</si>
  <si>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</si>
  <si>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</si>
  <si>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</si>
  <si>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</si>
  <si>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</si>
  <si>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</si>
  <si>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</si>
  <si>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</si>
  <si>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</si>
  <si>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</si>
  <si>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</si>
  <si>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</si>
  <si>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</si>
  <si>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RG-SGA-04 Requisitos legais</t>
  </si>
  <si>
    <t>ID_Legal liga o aspeto à obrigação de conformidade.</t>
  </si>
  <si>
    <t>RG-SGA-05 Objetivos</t>
  </si>
  <si>
    <t>ID_Objetivo liga aspetos significativos a objetivos.</t>
  </si>
  <si>
    <t>RG-SGA-06 PAM</t>
  </si>
  <si>
    <t>ID_PAM liga a ação de controlo/melhoria.</t>
  </si>
  <si>
    <t>RG-SGA-13 Monitorização</t>
  </si>
  <si>
    <t>ID_Monitorizacao liga ao plano de medição (MED-xx). Quantidade_Anual vem dos dados de monitorização ano civil de 2026.</t>
  </si>
  <si>
    <t>ID_Impacte</t>
  </si>
  <si>
    <t>Impacte</t>
  </si>
  <si>
    <t>Natureza</t>
  </si>
  <si>
    <t>N_Aspetos</t>
  </si>
  <si>
    <t>N_AAS</t>
  </si>
  <si>
    <t>IMP-01</t>
  </si>
  <si>
    <t>Esgotamento de Recursos Naturais / Recursos</t>
  </si>
  <si>
    <t>Adverso</t>
  </si>
  <si>
    <t>IMP-02</t>
  </si>
  <si>
    <t>Contaminação do Solo e/ou Recursos Hídricos</t>
  </si>
  <si>
    <t>IMP-03</t>
  </si>
  <si>
    <t>Poluição do Ar</t>
  </si>
  <si>
    <t>IMP-04</t>
  </si>
  <si>
    <t>Mudanças Climáticas</t>
  </si>
  <si>
    <t>IMP-05</t>
  </si>
  <si>
    <t>Incomodidade da Vizinhança</t>
  </si>
  <si>
    <t>IMP-06</t>
  </si>
  <si>
    <t>Perturbação da Fauna / Flora / Paisagem</t>
  </si>
  <si>
    <t>IMP-07</t>
  </si>
  <si>
    <t>Redução da vida útil de aterros e passivos ambientais</t>
  </si>
  <si>
    <t>IMP-08</t>
  </si>
  <si>
    <t>Degradação da saúde dos ecossistemas aquáticos (microplásticos)</t>
  </si>
  <si>
    <t>IMP-09</t>
  </si>
  <si>
    <t>Promoção da Eficiência Hídrica e Circularidade (valorização interna de resíduos/águas)</t>
  </si>
  <si>
    <t>Benéfico</t>
  </si>
  <si>
    <t>IMP-10</t>
  </si>
  <si>
    <t>Otimização do Consumo de Matérias-Primas (poupança ou geração de novos recursos)</t>
  </si>
  <si>
    <t>IMP-11</t>
  </si>
  <si>
    <t>Extensão do ciclo de vida de materiais (conversão de resíduos em subprodutos)</t>
  </si>
  <si>
    <t>IMP-12</t>
  </si>
  <si>
    <t>Minimização da Pressão Ecológica (materiais recicláveis ou de origem sustentável)</t>
  </si>
  <si>
    <t>MATRIZ DE AVALIAÇÃO DE ASPETOS E IMPACTES AMBIENTAIS — PLASTICOM (registo de dados)</t>
  </si>
  <si>
    <t>IRA = (F + M) × G × L · AAS se IRA ≥ 40 ou L = 2 · Moderado 20-39 · Não significativo 0-19 · Oportunidade tática -1 a -14 · AAS benéfico ≤ -15 · Filtrar Selecionado_Atv_3_2 = Sim</t>
  </si>
  <si>
    <t>ID_Aspeto</t>
  </si>
  <si>
    <t>Processo</t>
  </si>
  <si>
    <t>Area_Atividade</t>
  </si>
  <si>
    <t>Atividade</t>
  </si>
  <si>
    <t>Fase_Ciclo_Vida</t>
  </si>
  <si>
    <t>Categoria_Aspeto</t>
  </si>
  <si>
    <t>Descricao_Aspeto</t>
  </si>
  <si>
    <t>Tipo_Aspeto</t>
  </si>
  <si>
    <t>Condicao_Operacao</t>
  </si>
  <si>
    <t>Temporalidade</t>
  </si>
  <si>
    <t>ID_Impacte_Principal</t>
  </si>
  <si>
    <t>Impacte_Principal</t>
  </si>
  <si>
    <t>IDs_Impactes_Secundarios</t>
  </si>
  <si>
    <t>F</t>
  </si>
  <si>
    <t>M</t>
  </si>
  <si>
    <t>G</t>
  </si>
  <si>
    <t>L</t>
  </si>
  <si>
    <t>Tipo_Efeito</t>
  </si>
  <si>
    <t>IRA</t>
  </si>
  <si>
    <t>Classificacao</t>
  </si>
  <si>
    <t>Motivo_Classificacao</t>
  </si>
  <si>
    <t>Ranking_IRA</t>
  </si>
  <si>
    <t>Acao_Plano_Melhoria</t>
  </si>
  <si>
    <t>Medidas_Controlo_Acao</t>
  </si>
  <si>
    <t>Controlo_Existente</t>
  </si>
  <si>
    <t>Quantidade_Anual</t>
  </si>
  <si>
    <t>Unidade_Quantidade</t>
  </si>
  <si>
    <t>Fonte_Dado</t>
  </si>
  <si>
    <t>Justificacao_Criterios</t>
  </si>
  <si>
    <t>ID_Legal</t>
  </si>
  <si>
    <t>ID_RO</t>
  </si>
  <si>
    <t>ID_Objetivo</t>
  </si>
  <si>
    <t>ID_PAM</t>
  </si>
  <si>
    <t>ID_Monitorizacao</t>
  </si>
  <si>
    <t>Verificacao_Gestao</t>
  </si>
  <si>
    <t>Selecionado_Atv_3_2</t>
  </si>
  <si>
    <t>Data_Avaliacao</t>
  </si>
  <si>
    <t>Proxima_Revisao</t>
  </si>
  <si>
    <t>Avaliador</t>
  </si>
  <si>
    <t>AA-001</t>
  </si>
  <si>
    <t>CMP</t>
  </si>
  <si>
    <t>Compras e fornecedores</t>
  </si>
  <si>
    <t>Aquisição de polímeros (PP, HDPE, PET)</t>
  </si>
  <si>
    <t>Aquisição</t>
  </si>
  <si>
    <t>Consumo de recursos</t>
  </si>
  <si>
    <t>Consumo de polímeros virgens de origem fóssil</t>
  </si>
  <si>
    <t>Indireto</t>
  </si>
  <si>
    <t>Normal</t>
  </si>
  <si>
    <t>Presente</t>
  </si>
  <si>
    <t>Critérios de compra com conteúdo reciclado certificado; lightweighting.</t>
  </si>
  <si>
    <t>Especificação técnica de compra.</t>
  </si>
  <si>
    <t>t/ano</t>
  </si>
  <si>
    <t>Inventário de matérias-primas (12 meses)</t>
  </si>
  <si>
    <t>F5 contínuo; M5 maior fluxo de matéria da fábrica; G2 material inerte mas não renovável.</t>
  </si>
  <si>
    <t>RO-05</t>
  </si>
  <si>
    <t>OBJ-02</t>
  </si>
  <si>
    <t>PAM-26-16</t>
  </si>
  <si>
    <t>MED-05</t>
  </si>
  <si>
    <t>Não</t>
  </si>
  <si>
    <t>Gestor do SGA + responsável do setor</t>
  </si>
  <si>
    <t>AA-002</t>
  </si>
  <si>
    <t>Transporte de matérias-primas pelos fornecedores</t>
  </si>
  <si>
    <t>Emissões atmosféricas</t>
  </si>
  <si>
    <t>Emissões de gases de escape (CO2, NOx, partículas) no transporte rodoviário e marítimo de resinas</t>
  </si>
  <si>
    <t>Preferir fornecedores ibéricos e cargas completas.</t>
  </si>
  <si>
    <t>—</t>
  </si>
  <si>
    <t>Guias de remessa; origem dos fornecedores</t>
  </si>
  <si>
    <t>F4 entregas diárias; M4 ≈ 810 t/ano transportadas; G3 poluente convencional.</t>
  </si>
  <si>
    <t>AA-003</t>
  </si>
  <si>
    <t>REC</t>
  </si>
  <si>
    <t>Receção e silos</t>
  </si>
  <si>
    <t>Descarga de big bags e transferência pneumática para silos</t>
  </si>
  <si>
    <t>Produção</t>
  </si>
  <si>
    <t>Perdas de granulado</t>
  </si>
  <si>
    <t>Perda de granulado de plástico para o pavimento e a rede de águas pluviais</t>
  </si>
  <si>
    <t>Direto</t>
  </si>
  <si>
    <t>IMP-02; IMP-06</t>
  </si>
  <si>
    <t>Operation Clean Sweep: filtros nas sarjetas, tabuleiros de descarga, aspiração, inspeção semanal.</t>
  </si>
  <si>
    <t>Varrimento diário.</t>
  </si>
  <si>
    <t>kg/ano recolhidos</t>
  </si>
  <si>
    <t>Pesagem do granulado recolhido</t>
  </si>
  <si>
    <t>F4 diário; M3 perdas de kg/mês; G4 microplásticos persistentes e nocivos para a fauna aquática.</t>
  </si>
  <si>
    <t>LEG-10</t>
  </si>
  <si>
    <t>RO-07</t>
  </si>
  <si>
    <t>OBJ-06</t>
  </si>
  <si>
    <t>PAM-26-11</t>
  </si>
  <si>
    <t>MED-09</t>
  </si>
  <si>
    <t>AA-004</t>
  </si>
  <si>
    <t>Desembalagem de matérias-primas</t>
  </si>
  <si>
    <t>Resíduos</t>
  </si>
  <si>
    <t>Geração de resíduos de embalagem de matérias-primas (big bags, sacos, paletes, cartão)</t>
  </si>
  <si>
    <t>Segregação por fluxo; big bags retornáveis com fornecedor.</t>
  </si>
  <si>
    <t>Contentores identificados no parque de resíduos.</t>
  </si>
  <si>
    <t>Pesagens por código LER</t>
  </si>
  <si>
    <t>F4 diário; M3; G2 resíduos não perigosos recicláveis.</t>
  </si>
  <si>
    <t>LEG-01</t>
  </si>
  <si>
    <t>MED-04</t>
  </si>
  <si>
    <t>AA-005</t>
  </si>
  <si>
    <t>ARQ</t>
  </si>
  <si>
    <t>Armazém de químicos</t>
  </si>
  <si>
    <t>Armazenagem de tintas, solventes e óleos</t>
  </si>
  <si>
    <t>Contaminação do solo</t>
  </si>
  <si>
    <t>Derrame acidental de tintas, solventes ou óleos (rutura de embalagem, queda na movimentação)</t>
  </si>
  <si>
    <t>Emergência</t>
  </si>
  <si>
    <t>Futuro</t>
  </si>
  <si>
    <t>Bacias de retenção, kits de derrame completos e selados, IT-SGA-01, simulacro semestral.</t>
  </si>
  <si>
    <t>Kits de derrame; FDS; parte dos bidões em bacia.</t>
  </si>
  <si>
    <t>Inventário do armazém (≈ 1,5 m³ de líquidos perigosos)</t>
  </si>
  <si>
    <t>F1 emergência improvável; M3 até 200 L; G5 solventes com H336/H225 e tintas com H411.</t>
  </si>
  <si>
    <t>LEG-06</t>
  </si>
  <si>
    <t>RO-10</t>
  </si>
  <si>
    <t>PAM-26-05</t>
  </si>
  <si>
    <t>MED-10</t>
  </si>
  <si>
    <t>Sim</t>
  </si>
  <si>
    <t>AA-006</t>
  </si>
  <si>
    <t>Manuseamento e trasfega de solventes</t>
  </si>
  <si>
    <t>Evaporação de COV de recipientes abertos ou mal fechados</t>
  </si>
  <si>
    <t>Anormal</t>
  </si>
  <si>
    <t>Recipientes fechados, dispensadores de segurança, regra 'tampa fechada'.</t>
  </si>
  <si>
    <t>Instrução verbal.</t>
  </si>
  <si>
    <t>Ronda ambiental</t>
  </si>
  <si>
    <t>F3 semanal; M2 pequenas quantidades; G5 COV sem tratamento.</t>
  </si>
  <si>
    <t>OBJ-03</t>
  </si>
  <si>
    <t>PAM-26-08</t>
  </si>
  <si>
    <t>MED-06</t>
  </si>
  <si>
    <t>AA-007</t>
  </si>
  <si>
    <t>INJ</t>
  </si>
  <si>
    <t>Injeção de tampas</t>
  </si>
  <si>
    <t>Moldação por injeção (IM-001 a IM-009)</t>
  </si>
  <si>
    <t>Consumo de energia elétrica (aquecimento do canhão, hidráulica, extração)</t>
  </si>
  <si>
    <t>Standby nas pausas (Kaizen KZ-01), manutenção de resistências e isolamento do canhão, submedição.</t>
  </si>
  <si>
    <t>Manutenção preventiva.</t>
  </si>
  <si>
    <t>MWh/ano</t>
  </si>
  <si>
    <t>Rateio da fatura por horas de marcha (sem submedição)</t>
  </si>
  <si>
    <t>F5 contínuo; M5 um dos maiores consumos; G3 emissões indiretas convencionais.</t>
  </si>
  <si>
    <t>LEG-08</t>
  </si>
  <si>
    <t>RO-02</t>
  </si>
  <si>
    <t>OBJ-01</t>
  </si>
  <si>
    <t>PAM-26-06</t>
  </si>
  <si>
    <t>MED-01</t>
  </si>
  <si>
    <t>AA-008</t>
  </si>
  <si>
    <t>Geração de scrap plástico (peças rejeitadas, jitos e purgas de arranque)</t>
  </si>
  <si>
    <t>Controlo de processo (DOE IM-002), segregação por cor e reintegração.</t>
  </si>
  <si>
    <t>Moinhos junto às máquinas.</t>
  </si>
  <si>
    <t>Pesagem de scrap</t>
  </si>
  <si>
    <t>F5 contínuo; M3; G3 resíduo não perigoso em grande quantidade.</t>
  </si>
  <si>
    <t>RO-11</t>
  </si>
  <si>
    <t>MED-03</t>
  </si>
  <si>
    <t>AA-009</t>
  </si>
  <si>
    <t>Mudança de óleo hidráulico e fugas em mangueiras</t>
  </si>
  <si>
    <t>Fuga de óleo hidráulico durante manutenção ou por rotura de mangueira</t>
  </si>
  <si>
    <t>Tabuleiros de retenção sob a hidráulica; inspeção de mangueiras.</t>
  </si>
  <si>
    <t>Absorventes na oficina.</t>
  </si>
  <si>
    <t>Registos de manutenção</t>
  </si>
  <si>
    <t>F2 trimestral; M2 litros; G4 óleo usado (resíduo perigoso standard).</t>
  </si>
  <si>
    <t>AA-010</t>
  </si>
  <si>
    <t>SOP</t>
  </si>
  <si>
    <t>Sopro de frascos (ISBM)</t>
  </si>
  <si>
    <t>Moldação por injeção-sopro (ISBM-001 a 010)</t>
  </si>
  <si>
    <t>Consumo de energia elétrica (aquecimento de pré-formas, sopro, hidráulica)</t>
  </si>
  <si>
    <t>Submedição, ajuste de temperaturas de condicionamento, standby nas pausas.</t>
  </si>
  <si>
    <t>F5 contínuo; M5 maior consumo de energia; G3.</t>
  </si>
  <si>
    <t>PAM-26-02</t>
  </si>
  <si>
    <t>AA-011</t>
  </si>
  <si>
    <t>Geração de scrap plástico (frascos rejeitados e purgas)</t>
  </si>
  <si>
    <t>Controlo da espessura de parede (ISBM-003), manutenção de moldes, reintegração.</t>
  </si>
  <si>
    <t>Cartas de controlo.</t>
  </si>
  <si>
    <t>t/ano (todos os processos)</t>
  </si>
  <si>
    <t>F5; M4 maior fluxo de scrap; G3.</t>
  </si>
  <si>
    <t>AA-012</t>
  </si>
  <si>
    <t>Arranque e paragem de máquinas / mudança de molde</t>
  </si>
  <si>
    <t>Purgas e peças de arranque após mudança de molde ou paragem</t>
  </si>
  <si>
    <t>SMED e receitas de arranque validadas.</t>
  </si>
  <si>
    <t>Setup padrão.</t>
  </si>
  <si>
    <t>Registos de setup</t>
  </si>
  <si>
    <t>F4 diário; M3; G3.</t>
  </si>
  <si>
    <t>AA-013</t>
  </si>
  <si>
    <t>Hidráulica envelhecida da ISBM-005</t>
  </si>
  <si>
    <t>Fugas de óleo hidráulico na ISBM-005 (paragens não planeadas 2,3× a média)</t>
  </si>
  <si>
    <t>Plano de manutenção por horas de operação; tabuleiro de retenção.</t>
  </si>
  <si>
    <t>Absorventes.</t>
  </si>
  <si>
    <t>fact_downtime (ISBM-005)</t>
  </si>
  <si>
    <t>F4 semanal; M2; G4 óleo.</t>
  </si>
  <si>
    <t>AA-014</t>
  </si>
  <si>
    <t>SER</t>
  </si>
  <si>
    <t>Serigrafia</t>
  </si>
  <si>
    <t>Limpeza de ecrãs e rodos com solvente</t>
  </si>
  <si>
    <t>Emissão difusa de COV na limpeza de ecrãs e rodos com solvente</t>
  </si>
  <si>
    <t>Dispensadores de segurança, panos pré-dosados, limpeza por necessidade, avaliação de solvente de menor volatilidade.</t>
  </si>
  <si>
    <t>Exaustão localizada; FDS no posto.</t>
  </si>
  <si>
    <t>kg solvente/ano</t>
  </si>
  <si>
    <t>Inventário de solvente (compras - stock)</t>
  </si>
  <si>
    <t>F5 em cada mudança de cor/turno; M3; G5 COV sem tratamento (PR.G.01.01).</t>
  </si>
  <si>
    <t>LEG-04</t>
  </si>
  <si>
    <t>AA-015</t>
  </si>
  <si>
    <t>Impressão serigráfica (SS-001, SS-002)</t>
  </si>
  <si>
    <t>Consumo de tintas de serigrafia</t>
  </si>
  <si>
    <t>Dosagem controlada; recuperação de tinta do ecrã.</t>
  </si>
  <si>
    <t>kg/ano</t>
  </si>
  <si>
    <t>Inventário</t>
  </si>
  <si>
    <t>F5; M3; G4 tintas classificadas.</t>
  </si>
  <si>
    <t>AA-016</t>
  </si>
  <si>
    <t>Limpeza e troca de tintas</t>
  </si>
  <si>
    <t>Resíduos perigosos: tinta residual (08 03 12*), panos/absorventes (15 02 02*) e embalagens contaminadas (15 01 10*)</t>
  </si>
  <si>
    <t>Recipientes fechados e identificados; encaminhamento por operador licenciado; e-GAR.</t>
  </si>
  <si>
    <t>Contentores na área.</t>
  </si>
  <si>
    <t>kg/ano (todos os perigosos)</t>
  </si>
  <si>
    <t>Pesagens e e-GAR</t>
  </si>
  <si>
    <t>F4; M3; G4 resíduos perigosos standard.</t>
  </si>
  <si>
    <t>AA-017</t>
  </si>
  <si>
    <t>Mudança de tinta na linha</t>
  </si>
  <si>
    <t>Derrame de tinta ou solvente na linha de serigrafia</t>
  </si>
  <si>
    <t>Kit de derrame junto à linha; IT-SGA-01.</t>
  </si>
  <si>
    <t>Kit de derrame.</t>
  </si>
  <si>
    <t>Registo de incidentes</t>
  </si>
  <si>
    <t>F1; M2 poucos litros; G5.</t>
  </si>
  <si>
    <t>AA-018</t>
  </si>
  <si>
    <t>HFS</t>
  </si>
  <si>
    <t>Hot foil stamping</t>
  </si>
  <si>
    <t>Decoração por hot foil (HF-001, HF-002)</t>
  </si>
  <si>
    <t>Resíduo de foil (filme de suporte com restos de metalização)</t>
  </si>
  <si>
    <t>Otimizar passo do foil; valorizar filme como plástico.</t>
  </si>
  <si>
    <t>Pesagens</t>
  </si>
  <si>
    <t>F5; M3; G2 não perigoso.</t>
  </si>
  <si>
    <t>AA-019</t>
  </si>
  <si>
    <t>Consumo de energia elétrica (placas aquecidas)</t>
  </si>
  <si>
    <t>Desligar placas nas paragens.</t>
  </si>
  <si>
    <t>Rateio da fatura</t>
  </si>
  <si>
    <t>F5; M2; G3.</t>
  </si>
  <si>
    <t>AA-020</t>
  </si>
  <si>
    <t>MOA</t>
  </si>
  <si>
    <t>Moagem de scrap</t>
  </si>
  <si>
    <t>Moagem e reintegração de rebarbas</t>
  </si>
  <si>
    <t>Reintegração de scrap limpo (regrind) em substituição de polímero novo</t>
  </si>
  <si>
    <t>Segregar por polímero/cor para aumentar a taxa.</t>
  </si>
  <si>
    <t>Pesagem nos moinhos</t>
  </si>
  <si>
    <t>Aspeto benéfico: G -1 circularidade interna (evita compra de matéria-prima).</t>
  </si>
  <si>
    <t>AA-021</t>
  </si>
  <si>
    <t>UTL</t>
  </si>
  <si>
    <t>Utilidades</t>
  </si>
  <si>
    <t>Produção de ar comprimido (CMP-01/02)</t>
  </si>
  <si>
    <t>Consumo de energia dos compressores, agravado por fugas na rede de ar comprimido</t>
  </si>
  <si>
    <t>Caça a fugas por ultrassom; reduzir pressão de 7,5 para 6,8 bar.</t>
  </si>
  <si>
    <t>Manutenção dos compressores.</t>
  </si>
  <si>
    <t>F5; M4; G3.</t>
  </si>
  <si>
    <t>PAM-26-01</t>
  </si>
  <si>
    <t>MED-02</t>
  </si>
  <si>
    <t>AA-022</t>
  </si>
  <si>
    <t>Operação dos compressores novos (2026)</t>
  </si>
  <si>
    <t>Ruído e vibrações</t>
  </si>
  <si>
    <t>Emissão de ruído para o exterior pelos compressores e torre de arrefecimento</t>
  </si>
  <si>
    <t>Avaliação acústica por laboratório acreditado; atenuadores se necessário.</t>
  </si>
  <si>
    <t>Compressores em sala fechada.</t>
  </si>
  <si>
    <t>Última avaliação acústica: 2023 (antes da troca de compressores)</t>
  </si>
  <si>
    <t>L2: falta a medição obrigatória após alteração (RGR) → AAS pela regra de ouro.</t>
  </si>
  <si>
    <t>LEG-05</t>
  </si>
  <si>
    <t>RO-12</t>
  </si>
  <si>
    <t>PAM-26-03</t>
  </si>
  <si>
    <t>MED-07</t>
  </si>
  <si>
    <t>AA-023</t>
  </si>
  <si>
    <t>Torre de arrefecimento TR-01</t>
  </si>
  <si>
    <t>Consumo de água de rede para reposição da torre de arrefecimento (evaporação e purga)</t>
  </si>
  <si>
    <t>Circuito fechado / torre adiabática; controlo da purga por condutividade.</t>
  </si>
  <si>
    <t>Tratamento de água da torre.</t>
  </si>
  <si>
    <t>m³/ano</t>
  </si>
  <si>
    <t>Balanço da fatura de água</t>
  </si>
  <si>
    <t>F5; M4 principal consumo de água; G3.</t>
  </si>
  <si>
    <t>LEG-03</t>
  </si>
  <si>
    <t>RO-04</t>
  </si>
  <si>
    <t>OBJ-05</t>
  </si>
  <si>
    <t>PAM-26-14</t>
  </si>
  <si>
    <t>MED-08</t>
  </si>
  <si>
    <t>AA-024</t>
  </si>
  <si>
    <t>Purga da torre de arrefecimento</t>
  </si>
  <si>
    <t>Efluentes</t>
  </si>
  <si>
    <t>Descarga da purga da torre (com biocida e anti-incrustante) no coletor municipal</t>
  </si>
  <si>
    <t>Dosagem automática; análises; limites do regulamento municipal.</t>
  </si>
  <si>
    <t>Autorização de descarga.</t>
  </si>
  <si>
    <t>Análises semestrais do efluente</t>
  </si>
  <si>
    <t>F4; M3; G4 biocida (H400).</t>
  </si>
  <si>
    <t>MED-11</t>
  </si>
  <si>
    <t>AA-025</t>
  </si>
  <si>
    <t>Chiller CH-01 (R410A)</t>
  </si>
  <si>
    <t>Fugas</t>
  </si>
  <si>
    <t>Fuga de gás fluorado R410A do chiller</t>
  </si>
  <si>
    <t>Passado</t>
  </si>
  <si>
    <t>Controlo de fugas conforme carga em tCO2e; técnico certificado.</t>
  </si>
  <si>
    <t>Registo do equipamento.</t>
  </si>
  <si>
    <t>kg R410A (fuga nov/2025)</t>
  </si>
  <si>
    <t>Relatório do técnico certificado</t>
  </si>
  <si>
    <t>F1; M1; G5 (GWP 2088). Ocorrência passada em nov/2025.</t>
  </si>
  <si>
    <t>LEG-07</t>
  </si>
  <si>
    <t>AA-026</t>
  </si>
  <si>
    <t>MAN</t>
  </si>
  <si>
    <t>Manutenção</t>
  </si>
  <si>
    <t>Manutenção mecânica e elétrica</t>
  </si>
  <si>
    <t>Geração de óleos usados (13 02 05*), lâmpadas (20 01 21*) e sucata metálica</t>
  </si>
  <si>
    <t>Recolha por operadores licenciados; armazenagem em bacia.</t>
  </si>
  <si>
    <t>Bidão de óleo usado em bacia.</t>
  </si>
  <si>
    <t>F2 trimestral; M3; G4.</t>
  </si>
  <si>
    <t>AA-027</t>
  </si>
  <si>
    <t>PRS</t>
  </si>
  <si>
    <t>Parque de resíduos</t>
  </si>
  <si>
    <t>Armazenagem temporária de resíduos</t>
  </si>
  <si>
    <t>Fim de Vida</t>
  </si>
  <si>
    <t>Escorrência de resíduos perigosos armazenados para a rede pluvial em dia de chuva</t>
  </si>
  <si>
    <t>Cobertura e bacia no ponto de resíduos perigosos.</t>
  </si>
  <si>
    <t>Contentores fechados.</t>
  </si>
  <si>
    <t>F2; M2; G4.</t>
  </si>
  <si>
    <t>AA-028</t>
  </si>
  <si>
    <t>Encaminhamento de resíduos</t>
  </si>
  <si>
    <t>Envio de scrap sujo e embalagens para reciclagem por operador licenciado (R3)</t>
  </si>
  <si>
    <t>Aumentar a segregação para subir a taxa de valorização.</t>
  </si>
  <si>
    <t>Contratos com operadores.</t>
  </si>
  <si>
    <t>e-GAR</t>
  </si>
  <si>
    <t>Aspeto benéfico: G -1 (resíduo convertido em matéria-prima secundária).</t>
  </si>
  <si>
    <t>AA-029</t>
  </si>
  <si>
    <t>GER</t>
  </si>
  <si>
    <t>Geral</t>
  </si>
  <si>
    <t>Funcionamento geral da instalação</t>
  </si>
  <si>
    <t>Resíduos indiferenciados (20 03 01) enviados para aterro</t>
  </si>
  <si>
    <t>Reduzir contaminação dos fluxos recicláveis.</t>
  </si>
  <si>
    <t>Ecopontos.</t>
  </si>
  <si>
    <t>Pesagens / e-GAR</t>
  </si>
  <si>
    <t>F5; M3; G2.</t>
  </si>
  <si>
    <t>AA-030</t>
  </si>
  <si>
    <t>Iluminação, AVAC, escritórios</t>
  </si>
  <si>
    <t>Consumo de energia elétrica geral (iluminação, AVAC, armazéns)</t>
  </si>
  <si>
    <t>LED com sensores; horários de AVAC.</t>
  </si>
  <si>
    <t>F5; M3; G3.</t>
  </si>
  <si>
    <t>AA-031</t>
  </si>
  <si>
    <t>Contrato de eletricidade</t>
  </si>
  <si>
    <t>Consumo de eletricidade com garantia de origem renovável (55% do mix)</t>
  </si>
  <si>
    <t>Aumentar a quota renovável no próximo contrato.</t>
  </si>
  <si>
    <t>Contrato 2026.</t>
  </si>
  <si>
    <t>MWh renováveis/ano</t>
  </si>
  <si>
    <t>Rótulo de energia do comercializador</t>
  </si>
  <si>
    <t>Aspeto benéfico: G -1.</t>
  </si>
  <si>
    <t>RO-09</t>
  </si>
  <si>
    <t>AA-032</t>
  </si>
  <si>
    <t>Autoconsumo fotovoltaico previsto (UPAC ≈ 1 MWp)</t>
  </si>
  <si>
    <t>Produção de energia renovável para autoconsumo</t>
  </si>
  <si>
    <t>Estudo de viabilidade e candidatura.</t>
  </si>
  <si>
    <t>MWh/ano (estimativa)</t>
  </si>
  <si>
    <t>Estudo preliminar</t>
  </si>
  <si>
    <t>Aspeto benéfico futuro: G -2 regenerativo/descarbonização.</t>
  </si>
  <si>
    <t>AA-033</t>
  </si>
  <si>
    <t>Ocupação do terreno industrial</t>
  </si>
  <si>
    <t>Ocupação do solo</t>
  </si>
  <si>
    <t>Impermeabilização do solo (≈ 32.000 m² construídos e pavimentados) e escoamento pluvial</t>
  </si>
  <si>
    <t>Áreas verdes com espécies nativas; pavimento permeável em ampliações.</t>
  </si>
  <si>
    <t>m² área impermeabilizada</t>
  </si>
  <si>
    <t>Planta da instalação</t>
  </si>
  <si>
    <t>Aspeto de biodiversidade (ISO 14001:2026): herdado da construção.</t>
  </si>
  <si>
    <t>AA-034</t>
  </si>
  <si>
    <t>Incêndio na instalação</t>
  </si>
  <si>
    <t>Fumos de combustão de plástico e águas de combate contaminadas (incêndio)</t>
  </si>
  <si>
    <t>Deteção, válvula de corte pluvial, simulacro anual, faixa de gestão de combustível.</t>
  </si>
  <si>
    <t>Medidas de autoproteção (SCIE).</t>
  </si>
  <si>
    <t>Plano de emergência</t>
  </si>
  <si>
    <t>F1; M5 grande carga de incêndio; G5.</t>
  </si>
  <si>
    <t>LEG-11</t>
  </si>
  <si>
    <t>RO-08</t>
  </si>
  <si>
    <t>AA-035</t>
  </si>
  <si>
    <t>Uso de instalações sanitárias</t>
  </si>
  <si>
    <t>Águas residuais domésticas descarregadas no coletor municipal</t>
  </si>
  <si>
    <t>Ligação ao coletor.</t>
  </si>
  <si>
    <t>Estimativa (água sanitária)</t>
  </si>
  <si>
    <t>F5; M2; G2.</t>
  </si>
  <si>
    <t>AA-036</t>
  </si>
  <si>
    <t>ADM</t>
  </si>
  <si>
    <t>Administrativos</t>
  </si>
  <si>
    <t>Trabalho de escritório</t>
  </si>
  <si>
    <t>Consumo de papel e toners</t>
  </si>
  <si>
    <t>Documentação digital.</t>
  </si>
  <si>
    <t>Compras</t>
  </si>
  <si>
    <t>F4; M1; G1.</t>
  </si>
  <si>
    <t>AA-037</t>
  </si>
  <si>
    <t>RD</t>
  </si>
  <si>
    <t>R&amp;D</t>
  </si>
  <si>
    <t>Conceção de novas embalagens</t>
  </si>
  <si>
    <t>Design e Conceção</t>
  </si>
  <si>
    <t>Escolha de material, peso e combinação de componentes das embalagens (define impactes a montante e no fim de vida)</t>
  </si>
  <si>
    <t>Checklist Design for Recycling; monomaterial; redução de peso.</t>
  </si>
  <si>
    <t>Dossier de desenvolvimento</t>
  </si>
  <si>
    <t>F4 cada projeto; M5 afeta todo o volume; G3.</t>
  </si>
  <si>
    <t>LEG-09</t>
  </si>
  <si>
    <t>RO-03</t>
  </si>
  <si>
    <t>OBJ-04</t>
  </si>
  <si>
    <t>PAM-26-10</t>
  </si>
  <si>
    <t>AA-038</t>
  </si>
  <si>
    <t>Colocação de embalagens no mercado UE</t>
  </si>
  <si>
    <t>Embalagens colocadas no mercado sem documentação técnica nem declaração UE de conformidade PPWR</t>
  </si>
  <si>
    <t>Dossier técnico por família (OBJ-04).</t>
  </si>
  <si>
    <t>Fichas técnicas.</t>
  </si>
  <si>
    <t>Avaliação de conformidade LEG-09</t>
  </si>
  <si>
    <t>L2: incumprimento do Reg. (UE) 2025/40 desde 12/08/2026 → AAS pela regra de ouro.</t>
  </si>
  <si>
    <t>RO-06</t>
  </si>
  <si>
    <t>MED-12</t>
  </si>
  <si>
    <t>AA-039</t>
  </si>
  <si>
    <t>EXP</t>
  </si>
  <si>
    <t>Expedição</t>
  </si>
  <si>
    <t>Embalagem de produto acabado</t>
  </si>
  <si>
    <t>Distribuição</t>
  </si>
  <si>
    <t>Consumo de cartão, filme estirável e paletes</t>
  </si>
  <si>
    <t>Caixas e paletes retornáveis com clientes ibéricos.</t>
  </si>
  <si>
    <t>F5; M4; G2.</t>
  </si>
  <si>
    <t>AA-040</t>
  </si>
  <si>
    <t>Transporte de produto a clientes</t>
  </si>
  <si>
    <t>Emissões do transporte rodoviário de produto acabado (Península Ibérica e UE)</t>
  </si>
  <si>
    <t>IMP-03; IMP-05</t>
  </si>
  <si>
    <t>Consolidação de cargas; critérios ambientais para transportadores.</t>
  </si>
  <si>
    <t>Guias de transporte</t>
  </si>
  <si>
    <t>AA-041</t>
  </si>
  <si>
    <t>Embalagens de transporte retornáveis (piloto)</t>
  </si>
  <si>
    <t>Reutilização de caixas e paletes com clientes ibéricos</t>
  </si>
  <si>
    <t>Alargar a 3 clientes.</t>
  </si>
  <si>
    <t>Piloto previsto 2027</t>
  </si>
  <si>
    <t>AA-042</t>
  </si>
  <si>
    <t>Uso pelo cliente</t>
  </si>
  <si>
    <t>Enchimento e uso da embalagem pelo cliente e consumidor</t>
  </si>
  <si>
    <t>Uso (Consumidor Final)</t>
  </si>
  <si>
    <t>Restos de produto cosmético/alimentar na embalagem usada</t>
  </si>
  <si>
    <t>Design que facilita o esvaziamento total.</t>
  </si>
  <si>
    <t>AA-043</t>
  </si>
  <si>
    <t>Fim de vida</t>
  </si>
  <si>
    <t>Embalagem pós-consumo</t>
  </si>
  <si>
    <t>Embalagens pós-consumo não recicladas (aterro, incineração ou abandono)</t>
  </si>
  <si>
    <t>IMP-08; IMP-06</t>
  </si>
  <si>
    <t>Design for Recycling; informação ao cliente sobre reciclagem.</t>
  </si>
  <si>
    <t>Taxas de reciclagem de embalagens plásticas (UE)</t>
  </si>
  <si>
    <t>F5; M5 todo o volume vendido; G3.</t>
  </si>
  <si>
    <t>Principal</t>
  </si>
  <si>
    <t>PLASTICOM</t>
  </si>
  <si>
    <t>MATRIZ DE AVALIAÇÃO DE ASPETOS E IMPACTES AMBIENTAIS</t>
  </si>
  <si>
    <t>Mod. G.07.00</t>
  </si>
  <si>
    <t>Plasticom — Unidade 1 (Marinha Grande, Portugal) · NP EN ISO 14001:2026</t>
  </si>
  <si>
    <t>Rev. 01 · 31/12/2026</t>
  </si>
  <si>
    <t>Área / Atividade</t>
  </si>
  <si>
    <t>Ciclo de Vida</t>
  </si>
  <si>
    <t>Aspeto</t>
  </si>
  <si>
    <t>Natureza do aspeto</t>
  </si>
  <si>
    <t>Potenciais Impactes Ambientais</t>
  </si>
  <si>
    <t>Avaliação</t>
  </si>
  <si>
    <t>Gestão</t>
  </si>
  <si>
    <t>ID</t>
  </si>
  <si>
    <t>Descrição do Aspeto Ambiental</t>
  </si>
  <si>
    <t>Tipo de Aspeto</t>
  </si>
  <si>
    <t>Condição de Operação</t>
  </si>
  <si>
    <t>Tipo (+/-)</t>
  </si>
  <si>
    <t>Classificação</t>
  </si>
  <si>
    <t>Ação em Plano de Melhoria</t>
  </si>
  <si>
    <t>Medidas de Controlo / Ação</t>
  </si>
  <si>
    <t>O Responsável pela Avaliação: Gestor(a) do SGA / EHS</t>
  </si>
  <si>
    <t>Data: 20/05/2026 · Aprovado por: Diretor Geral (lista de AAS aprovada — PR.G.01.01 §4)</t>
  </si>
  <si>
    <t>ATIVIDADE 3.2 — IDENTIFICAÇÃO E AVALIAÇÃO DE ASPETOS E IMPACTES (2 aspetos selecionados)</t>
  </si>
  <si>
    <t>Valores calculados a partir de tbl_aspetos. Método: PR.G.01.01 — IRA = (F + M) × G × L.</t>
  </si>
  <si>
    <t>Campo</t>
  </si>
  <si>
    <t>Aspeto 1</t>
  </si>
  <si>
    <t>Aspeto 2</t>
  </si>
  <si>
    <t>ID do aspeto</t>
  </si>
  <si>
    <t>DADOS</t>
  </si>
  <si>
    <t>Área / processo</t>
  </si>
  <si>
    <t>a) Tipo de Aspeto</t>
  </si>
  <si>
    <t>b) Condição de Operação</t>
  </si>
  <si>
    <t>c) Temporalidade</t>
  </si>
  <si>
    <t>Impacte Ambiental (principal)</t>
  </si>
  <si>
    <t>AVALIAÇÃO</t>
  </si>
  <si>
    <t>F — Frequência (1-5)</t>
  </si>
  <si>
    <t>M — Magnitude (1-5)</t>
  </si>
  <si>
    <t>G — Gravidade (1-5)</t>
  </si>
  <si>
    <t>L — Cumprimento Legal (1/2)</t>
  </si>
  <si>
    <t>IRA = (F + M) × G × L</t>
  </si>
  <si>
    <t>Justificação dos critérios</t>
  </si>
  <si>
    <t>GESTÃO</t>
  </si>
  <si>
    <t>Ação em Plano de Melhoria (SIM|NÃO)</t>
  </si>
  <si>
    <t>Ação no PAM</t>
  </si>
  <si>
    <t>Requisito legal</t>
  </si>
  <si>
    <t>Nota metodológica</t>
  </si>
  <si>
    <t>Convenção do sinal conforme o enunciado da Atividade 3.2: (+) adverso e (-) benéfico, coerente com o sinal do IRA (o 'Exemplo Calçado' do Mod.G.07.00 usa a convenção inversa). 'Anormal' corresponde a 'Especial' no PR.G.01.01 (arranque, paragem, manutenção, picos). A ISO 14001:2026 exige distinguir as situações de emergência das anormais.</t>
  </si>
  <si>
    <t>ANÁLISE DA MATRIZ DE ASPETOS (calculada)</t>
  </si>
  <si>
    <t>AAS</t>
  </si>
  <si>
    <t>Moderado</t>
  </si>
  <si>
    <t>Não signif.</t>
  </si>
  <si>
    <t>Op. tática</t>
  </si>
  <si>
    <t>AAS benéfico</t>
  </si>
  <si>
    <t>Total</t>
  </si>
  <si>
    <t>IRA máx.</t>
  </si>
  <si>
    <t>REC — Receção e armazenagem de matérias-primas</t>
  </si>
  <si>
    <t>ARQ — Armazém de produtos químicos (tintas, solventes, óleos)</t>
  </si>
  <si>
    <t>INJ — Injeção de tampas</t>
  </si>
  <si>
    <t>SOP — Sopro de frascos (ISBM)</t>
  </si>
  <si>
    <t>SER — Serigrafia (decoração)</t>
  </si>
  <si>
    <t>HFS — Hot foil stamping (decoração)</t>
  </si>
  <si>
    <t>MOA — Moagem e reintegração de scrap (regrind)</t>
  </si>
  <si>
    <t>UTL — Utilidades (ar comprimido, torre de arrefecimento, chiller, AVAC)</t>
  </si>
  <si>
    <t>MAN — Manutenção (mecânica e elétrica)</t>
  </si>
  <si>
    <t>PRS — Parque de resíduos</t>
  </si>
  <si>
    <t>EXP — Embalagem, armazém de produto acabado e expedição</t>
  </si>
  <si>
    <t>LAB — Laboratório de qualidade</t>
  </si>
  <si>
    <t>RD — Design e desenvolvimento de produto (R&amp;D)</t>
  </si>
  <si>
    <t>CMP — Compras e fornecedores</t>
  </si>
  <si>
    <t>ADM — Administrativos e gestão</t>
  </si>
  <si>
    <t>GER — Geral (toda a instalação)</t>
  </si>
  <si>
    <t>TOTAL</t>
  </si>
  <si>
    <t>Condição de operação</t>
  </si>
  <si>
    <t>N.º aspetos</t>
  </si>
  <si>
    <t>N.º AAS</t>
  </si>
  <si>
    <t>Fase do ciclo de vida</t>
  </si>
  <si>
    <t>CRITÉRIOS DE AVALIAÇÃO DA SIGNIFICÂNCIA — PR.G.01.01</t>
  </si>
  <si>
    <t>F — Frequência</t>
  </si>
  <si>
    <t>Rara</t>
  </si>
  <si>
    <t>Anual ou menos (emergência improvável, manutenção anual)</t>
  </si>
  <si>
    <t>Esporádica</t>
  </si>
  <si>
    <t>Trimestral</t>
  </si>
  <si>
    <t>Intermitente</t>
  </si>
  <si>
    <t>Semanal</t>
  </si>
  <si>
    <t>Frequente</t>
  </si>
  <si>
    <t>Diária, mas não a tempo inteiro</t>
  </si>
  <si>
    <t>Contínua</t>
  </si>
  <si>
    <t>Durante toda a laboração</t>
  </si>
  <si>
    <t>M — Magnitude</t>
  </si>
  <si>
    <t>Vestigial</t>
  </si>
  <si>
    <t>Gramas / mililitros</t>
  </si>
  <si>
    <t>Baixa</t>
  </si>
  <si>
    <t>Pequenos consumos de escritório ou manutenção</t>
  </si>
  <si>
    <t>Média</t>
  </si>
  <si>
    <t>Consumos industriais auxiliares</t>
  </si>
  <si>
    <t>Alta</t>
  </si>
  <si>
    <t>Fluxos principais do processo</t>
  </si>
  <si>
    <t>Massiva</t>
  </si>
  <si>
    <t>Maiores fluxos da fábrica (polímero, eletricidade)</t>
  </si>
  <si>
    <t>G — Gravidade</t>
  </si>
  <si>
    <t>Regenerativo / Descarbonização</t>
  </si>
  <si>
    <t>Gera recursos limpos (ex.: fotovoltaico para autoconsumo)</t>
  </si>
  <si>
    <t>Circularidade interna</t>
  </si>
  <si>
    <t>Evita matéria-prima ou combustível por reutilização (ex.: regrind)</t>
  </si>
  <si>
    <t>Inerte</t>
  </si>
  <si>
    <t>Sem impacto nocivo conhecido</t>
  </si>
  <si>
    <t>Leve</t>
  </si>
  <si>
    <t>Temporário, reversível, não perigoso</t>
  </si>
  <si>
    <t>Moderada</t>
  </si>
  <si>
    <t>Poluente convencional ou resíduo não perigoso em grande quantidade</t>
  </si>
  <si>
    <t>Nociva</t>
  </si>
  <si>
    <t>Substância nociva/irritante; resíduos perigosos standard</t>
  </si>
  <si>
    <t>Tóxica / Crítica</t>
  </si>
  <si>
    <t>Frases H350/H340/H360/H334/H370; COV sem tratamento</t>
  </si>
  <si>
    <t>L — Legal</t>
  </si>
  <si>
    <t>Conforme</t>
  </si>
  <si>
    <t>Cumpre integralmente e existem evidências</t>
  </si>
  <si>
    <t>Não conforme</t>
  </si>
  <si>
    <t>Incumprimento, falta de medição obrigatória ou de licença → AAS automático</t>
  </si>
  <si>
    <t>Significância</t>
  </si>
  <si>
    <t>≥ 40</t>
  </si>
  <si>
    <t>Objetivo de redução, controlo operacional diário, avaliar BAT</t>
  </si>
  <si>
    <t>20 a 39</t>
  </si>
  <si>
    <t>Manter monitorização e controlo; ação em plano</t>
  </si>
  <si>
    <t>0 a 19</t>
  </si>
  <si>
    <t>Não Significativo</t>
  </si>
  <si>
    <t>Gestão corrente</t>
  </si>
  <si>
    <t>-1 a -14</t>
  </si>
  <si>
    <t>Oportunidade Tática</t>
  </si>
  <si>
    <t>Manter a prática e registar poupanças</t>
  </si>
  <si>
    <t>≤ -15</t>
  </si>
  <si>
    <t>AAS Benéfico</t>
  </si>
  <si>
    <t>Aspeto diferenciador; destacar no relatório/Declaração Ambiental</t>
  </si>
  <si>
    <t>Revisão</t>
  </si>
  <si>
    <t>Anual (antes da Revisão pela Gestão); após mudança de processo/produto (6.3), acidente ou emergência, e alteração legal.</t>
  </si>
  <si>
    <t>LISTAS CONTROLADAS (domínios de validação de dados) — editar aqui para alterar opções</t>
  </si>
  <si>
    <t>DataReferencia</t>
  </si>
  <si>
    <t>Fase</t>
  </si>
  <si>
    <t>Categoria</t>
  </si>
  <si>
    <t>TipoAspeto</t>
  </si>
  <si>
    <t>Condicao</t>
  </si>
  <si>
    <t>F15</t>
  </si>
  <si>
    <t>M15</t>
  </si>
  <si>
    <t>SimNao</t>
  </si>
  <si>
    <t>LAB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</si>
  <si>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</si>
  <si>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</si>
  <si>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</si>
  <si>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</si>
  <si>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</si>
  <si>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</si>
  <si>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</si>
  <si>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</si>
  <si>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</si>
  <si>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tbl_impactes</t>
  </si>
  <si>
    <t>Texto</t>
  </si>
  <si>
    <t>Entrada</t>
  </si>
  <si>
    <t>Identificador do impacte.</t>
  </si>
  <si>
    <t>PK</t>
  </si>
  <si>
    <t>Categoria de impacte ambiental (Mod.G.07.00; IMP-08 acrescentado para microplásticos/ecossistemas — ISO 14001:2026).</t>
  </si>
  <si>
    <t>Adverso ou Benéfico.</t>
  </si>
  <si>
    <t>Inteiro</t>
  </si>
  <si>
    <t>Calculado (fórmula)</t>
  </si>
  <si>
    <t>N.º de aspetos associados.</t>
  </si>
  <si>
    <t>N.º de aspetos significativos associados.</t>
  </si>
  <si>
    <t>tbl_aspetos</t>
  </si>
  <si>
    <t>Identificador do aspeto.</t>
  </si>
  <si>
    <t>AA-nnn</t>
  </si>
  <si>
    <t>Código do processo.</t>
  </si>
  <si>
    <t>Lista lst_Processo</t>
  </si>
  <si>
    <t>FK → dim processo</t>
  </si>
  <si>
    <t>Área / atividade (coluna 'Área / Atividade' do Mod.G.07.00).</t>
  </si>
  <si>
    <t>Atividade ou tarefa que origina o aspeto.</t>
  </si>
  <si>
    <t>Fase do ciclo de vida (Aquisição, Design e Conceção, Produção, Distribuição, Uso, Fim de Vida).</t>
  </si>
  <si>
    <t>Lista lst_Fase</t>
  </si>
  <si>
    <t>Categoria do aspeto (PR.G.01.01 §5.2).</t>
  </si>
  <si>
    <t>Lista lst_Categoria</t>
  </si>
  <si>
    <t>O que é emitido, consumido, descarregado ou derramado (causa).</t>
  </si>
  <si>
    <t>Direto (controlo da Plasticom) ou Indireto (apenas influência).</t>
  </si>
  <si>
    <t>Lista lst_TipoAspeto</t>
  </si>
  <si>
    <t>Normal (rotina), Anormal (arranque, paragem, manutenção, picos — 'Especial' no PR.G.01.01) ou Emergência.</t>
  </si>
  <si>
    <t>Lista lst_Condicao</t>
  </si>
  <si>
    <t>Presente, Passado (passivo) ou Futuro (planeado/potencial).</t>
  </si>
  <si>
    <t>Lista lst_Temporalidade</t>
  </si>
  <si>
    <t>Impacte principal (lista do Mod.G.07.00 + microplásticos).</t>
  </si>
  <si>
    <t>Lista lst_Impacte</t>
  </si>
  <si>
    <t>FK → tbl_impactes</t>
  </si>
  <si>
    <t>Nome do impacte principal.</t>
  </si>
  <si>
    <t>Outros impactes (IDs separados por ';'). Também na tabela longa tbl_aspeto_impacte.</t>
  </si>
  <si>
    <t>Frequência 1 (rara) a 5 (contínua).</t>
  </si>
  <si>
    <t>Lista lst_F15</t>
  </si>
  <si>
    <t>Magnitude 1 (vestigial) a 5 (massiva).</t>
  </si>
  <si>
    <t>Lista lst_M15</t>
  </si>
  <si>
    <t>Gravidade 1 (inerte) a 5 (tóxica/crítica); -1/-2 para aspetos benéficos.</t>
  </si>
  <si>
    <t>Lista lst_G</t>
  </si>
  <si>
    <t>Cumprimento legal: 1 conforme; 2 não conforme / falta medição ou licença.</t>
  </si>
  <si>
    <t>Lista lst_L</t>
  </si>
  <si>
    <t>Convenção do enunciado da Atividade 3.2: (+) adverso, (-) benéfico (derivado do sinal de G).</t>
  </si>
  <si>
    <t>Índice de Risco Ambiental = (F + M) × G × L.</t>
  </si>
  <si>
    <t>Regra do Mod.G.07.00 / PR.G.01.01 (inclui regra de ouro L=2 → AAS).</t>
  </si>
  <si>
    <t>Porque recebeu a classificação.</t>
  </si>
  <si>
    <t>Posição do aspeto por IRA (1 = maior).</t>
  </si>
  <si>
    <t>SIM se AAS ou Moderado (enunciado).</t>
  </si>
  <si>
    <t>Controlo operacional ou ação a implementar.</t>
  </si>
  <si>
    <t>Controlo operacional já existente.</t>
  </si>
  <si>
    <t>Decimal</t>
  </si>
  <si>
    <t>Evidência de magnitude: quantidade anual (ano civil de 2026) quando medida.</t>
  </si>
  <si>
    <t>Unidade da quantidade anual.</t>
  </si>
  <si>
    <t>Origem da informação usada na avaliação.</t>
  </si>
  <si>
    <t>Justificação dos valores de F, M, G e L (rastreabilidade para auditoria).</t>
  </si>
  <si>
    <t>Obrigação de conformidade relacionada.</t>
  </si>
  <si>
    <t>FK → RG-SGA-04</t>
  </si>
  <si>
    <t>Risco/oportunidade relacionado.</t>
  </si>
  <si>
    <t>FK → RG-SGA-02</t>
  </si>
  <si>
    <t>Objetivo ambiental relacionado.</t>
  </si>
  <si>
    <t>FK → RG-SGA-05</t>
  </si>
  <si>
    <t>Ação no Plano de Ações de Melhoria.</t>
  </si>
  <si>
    <t>FK → RG-SGA-06</t>
  </si>
  <si>
    <t>Parâmetro do plano de monitorização.</t>
  </si>
  <si>
    <t>FK → RG-SGA-13</t>
  </si>
  <si>
    <t>Controlo automático: aspetos que exigem gestão têm medida, ação e monitorização.</t>
  </si>
  <si>
    <t>Aspeto escolhido para a Atividade 3.2.</t>
  </si>
  <si>
    <t>Lista lst_SimNao</t>
  </si>
  <si>
    <t>Data (aaaa-mm-dd)</t>
  </si>
  <si>
    <t>Data da avaliação.</t>
  </si>
  <si>
    <t>Revisão anual (ou antes: mudança, acidente, nova legislação).</t>
  </si>
  <si>
    <t>Quem avaliou.</t>
  </si>
  <si>
    <t>tbl_aspeto_impacte</t>
  </si>
  <si>
    <t>Aspeto.</t>
  </si>
  <si>
    <t>FK → tbl_aspetos</t>
  </si>
  <si>
    <t>Impacte.</t>
  </si>
  <si>
    <t>Sim = impacte principal.</t>
  </si>
  <si>
    <t>Nome do impacte.</t>
  </si>
  <si>
    <t>Classificação do aspeto (para análise por impacte).</t>
  </si>
  <si>
    <t>IRA do aspeto.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</si>
</sst>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7" fillId="5" borderId="0" xfId="0" applyFont="1" applyFill="1"/>
    <xf numFmtId="0" fontId="0" fillId="5" borderId="0" xfId="0" applyFill="1"/>
    <xf numFmtId="0" fontId="7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0" fillId="0" borderId="2" xfId="0" applyBorder="1"/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textRotation="90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0" xfId="0" applyFill="1"/>
    <xf numFmtId="0" fontId="7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6">
    <dxf>
      <font>
        <b/>
        <sz val="9"/>
        <color rgb="FF3B1F66"/>
        <name val="Arial"/>
      </font>
      <fill>
        <patternFill patternType="solid">
          <fgColor rgb="FFE4D7F5"/>
        </patternFill>
      </fill>
    </dxf>
    <dxf>
      <font>
        <b/>
        <sz val="9"/>
        <color rgb="FF14532D"/>
        <name val="Arial"/>
      </font>
      <fill>
        <patternFill patternType="solid">
          <fgColor rgb="FFCDEBD3"/>
        </patternFill>
      </fill>
    </dxf>
    <dxf>
      <font>
        <b/>
        <sz val="9"/>
        <color rgb="FF7C3E00"/>
        <name val="Arial"/>
      </font>
      <fill>
        <patternFill patternType="solid">
          <fgColor rgb="FFFCE4C4"/>
        </patternFill>
      </fill>
    </dxf>
    <dxf>
      <font>
        <b/>
        <sz val="9"/>
        <color rgb="FF7F1D1D"/>
        <name val="Arial"/>
      </font>
      <fill>
        <patternFill patternType="solid">
          <fgColor rgb="FFF4C7C3"/>
        </patternFill>
      </fill>
    </dxf>
    <dxf>
      <font>
        <b/>
        <sz val="9"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impactes" displayName="tbl_impactes" ref="A1:E13">
  <autoFilter ref="A1:E13" xr:uid="{00000000-0009-0000-0100-000001000000}"/>
  <tableColumns count="5">
    <tableColumn id="1" xr3:uid="{00000000-0010-0000-0000-000001000000}" name="ID_Impacte"/>
    <tableColumn id="2" xr3:uid="{00000000-0010-0000-0000-000002000000}" name="Impacte"/>
    <tableColumn id="3" xr3:uid="{00000000-0010-0000-0000-000003000000}" name="Natureza"/>
    <tableColumn id="4" xr3:uid="{00000000-0010-0000-0000-000004000000}" name="N_Aspetos"/>
    <tableColumn id="5" xr3:uid="{00000000-0010-0000-0000-000005000000}" name="N_A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spetos" displayName="tbl_aspetos" ref="A4:AM47">
  <autoFilter ref="A4:AM47" xr:uid="{00000000-0009-0000-0100-000002000000}"/>
  <tableColumns count="39">
    <tableColumn id="1" xr3:uid="{00000000-0010-0000-0100-000001000000}" name="ID_Aspeto"/>
    <tableColumn id="2" xr3:uid="{00000000-0010-0000-0100-000002000000}" name="Processo"/>
    <tableColumn id="3" xr3:uid="{00000000-0010-0000-0100-000003000000}" name="Area_Atividade"/>
    <tableColumn id="4" xr3:uid="{00000000-0010-0000-0100-000004000000}" name="Atividade"/>
    <tableColumn id="5" xr3:uid="{00000000-0010-0000-0100-000005000000}" name="Fase_Ciclo_Vida"/>
    <tableColumn id="6" xr3:uid="{00000000-0010-0000-0100-000006000000}" name="Categoria_Aspeto"/>
    <tableColumn id="7" xr3:uid="{00000000-0010-0000-0100-000007000000}" name="Descricao_Aspeto"/>
    <tableColumn id="8" xr3:uid="{00000000-0010-0000-0100-000008000000}" name="Tipo_Aspeto"/>
    <tableColumn id="9" xr3:uid="{00000000-0010-0000-0100-000009000000}" name="Condicao_Operacao"/>
    <tableColumn id="10" xr3:uid="{00000000-0010-0000-0100-00000A000000}" name="Temporalidade"/>
    <tableColumn id="11" xr3:uid="{00000000-0010-0000-0100-00000B000000}" name="ID_Impacte_Principal"/>
    <tableColumn id="12" xr3:uid="{00000000-0010-0000-0100-00000C000000}" name="Impacte_Principal"/>
    <tableColumn id="13" xr3:uid="{00000000-0010-0000-0100-00000D000000}" name="IDs_Impactes_Secundarios"/>
    <tableColumn id="14" xr3:uid="{00000000-0010-0000-0100-00000E000000}" name="F"/>
    <tableColumn id="15" xr3:uid="{00000000-0010-0000-0100-00000F000000}" name="M"/>
    <tableColumn id="16" xr3:uid="{00000000-0010-0000-0100-000010000000}" name="G"/>
    <tableColumn id="17" xr3:uid="{00000000-0010-0000-0100-000011000000}" name="L"/>
    <tableColumn id="18" xr3:uid="{00000000-0010-0000-0100-000012000000}" name="Tipo_Efeito"/>
    <tableColumn id="19" xr3:uid="{00000000-0010-0000-0100-000013000000}" name="IRA"/>
    <tableColumn id="20" xr3:uid="{00000000-0010-0000-0100-000014000000}" name="Classificacao"/>
    <tableColumn id="21" xr3:uid="{00000000-0010-0000-0100-000015000000}" name="Motivo_Classificacao"/>
    <tableColumn id="22" xr3:uid="{00000000-0010-0000-0100-000016000000}" name="Ranking_IRA"/>
    <tableColumn id="23" xr3:uid="{00000000-0010-0000-0100-000017000000}" name="Acao_Plano_Melhoria"/>
    <tableColumn id="24" xr3:uid="{00000000-0010-0000-0100-000018000000}" name="Medidas_Controlo_Acao"/>
    <tableColumn id="25" xr3:uid="{00000000-0010-0000-0100-000019000000}" name="Controlo_Existente"/>
    <tableColumn id="26" xr3:uid="{00000000-0010-0000-0100-00001A000000}" name="Quantidade_Anual"/>
    <tableColumn id="27" xr3:uid="{00000000-0010-0000-0100-00001B000000}" name="Unidade_Quantidade"/>
    <tableColumn id="28" xr3:uid="{00000000-0010-0000-0100-00001C000000}" name="Fonte_Dado"/>
    <tableColumn id="29" xr3:uid="{00000000-0010-0000-0100-00001D000000}" name="Justificacao_Criterios"/>
    <tableColumn id="30" xr3:uid="{00000000-0010-0000-0100-00001E000000}" name="ID_Legal"/>
    <tableColumn id="31" xr3:uid="{00000000-0010-0000-0100-00001F000000}" name="ID_RO"/>
    <tableColumn id="32" xr3:uid="{00000000-0010-0000-0100-000020000000}" name="ID_Objetivo"/>
    <tableColumn id="33" xr3:uid="{00000000-0010-0000-0100-000021000000}" name="ID_PAM"/>
    <tableColumn id="34" xr3:uid="{00000000-0010-0000-0100-000022000000}" name="ID_Monitorizacao"/>
    <tableColumn id="35" xr3:uid="{00000000-0010-0000-0100-000023000000}" name="Verificacao_Gestao"/>
    <tableColumn id="36" xr3:uid="{00000000-0010-0000-0100-000024000000}" name="Selecionado_Atv_3_2"/>
    <tableColumn id="37" xr3:uid="{00000000-0010-0000-0100-000025000000}" name="Data_Avaliacao"/>
    <tableColumn id="38" xr3:uid="{00000000-0010-0000-0100-000026000000}" name="Proxima_Revisao"/>
    <tableColumn id="39" xr3:uid="{00000000-0010-0000-0100-000027000000}" name="Avaliado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speto_impacte" displayName="tbl_aspeto_impacte" ref="A1:F82">
  <autoFilter ref="A1:F82" xr:uid="{00000000-0009-0000-0100-000003000000}"/>
  <tableColumns count="6">
    <tableColumn id="1" xr3:uid="{00000000-0010-0000-0200-000001000000}" name="ID_Aspeto"/>
    <tableColumn id="2" xr3:uid="{00000000-0010-0000-0200-000002000000}" name="ID_Impacte"/>
    <tableColumn id="3" xr3:uid="{00000000-0010-0000-0200-000003000000}" name="Principal"/>
    <tableColumn id="4" xr3:uid="{00000000-0010-0000-0200-000004000000}" name="Impacte"/>
    <tableColumn id="5" xr3:uid="{00000000-0010-0000-0200-000005000000}" name="Classificacao"/>
    <tableColumn id="6" xr3:uid="{00000000-0010-0000-0200-000006000000}" name="IR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51">
  <autoFilter ref="A1:I51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3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ht="26.4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29" spans="1:2" x14ac:dyDescent="0.3">
      <c r="A29" s="5" t="s">
        <v>44</v>
      </c>
      <c r="B29" s="6" t="s">
        <v>45</v>
      </c>
    </row>
    <row r="31" spans="1:2" x14ac:dyDescent="0.3">
      <c r="A31" s="3" t="s">
        <v>46</v>
      </c>
      <c r="B31" s="4"/>
    </row>
    <row r="32" spans="1:2" ht="26.4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6" spans="1:2" ht="26.4" x14ac:dyDescent="0.3">
      <c r="A36" s="5" t="s">
        <v>55</v>
      </c>
      <c r="B36" s="6" t="s">
        <v>56</v>
      </c>
    </row>
    <row r="37" spans="1:2" ht="26.4" x14ac:dyDescent="0.3">
      <c r="A37" s="5" t="s">
        <v>57</v>
      </c>
      <c r="B37" s="6" t="s">
        <v>58</v>
      </c>
    </row>
    <row r="39" spans="1:2" x14ac:dyDescent="0.3">
      <c r="A39" s="3" t="s">
        <v>59</v>
      </c>
      <c r="B39" s="4"/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x14ac:dyDescent="0.3">
      <c r="A43" s="5" t="s">
        <v>66</v>
      </c>
      <c r="B43" s="6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3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70" customWidth="1"/>
    <col min="3" max="3" width="12" customWidth="1"/>
    <col min="4" max="4" width="10" customWidth="1"/>
    <col min="5" max="5" width="8" customWidth="1"/>
  </cols>
  <sheetData>
    <row r="1" spans="1:5" ht="26.4" x14ac:dyDescent="0.3">
      <c r="A1" s="8" t="s">
        <v>68</v>
      </c>
      <c r="B1" s="8" t="s">
        <v>69</v>
      </c>
      <c r="C1" s="8" t="s">
        <v>70</v>
      </c>
      <c r="D1" s="9" t="s">
        <v>71</v>
      </c>
      <c r="E1" s="9" t="s">
        <v>72</v>
      </c>
    </row>
    <row r="2" spans="1:5" x14ac:dyDescent="0.3">
      <c r="A2" s="10" t="s">
        <v>73</v>
      </c>
      <c r="B2" s="10" t="s">
        <v>74</v>
      </c>
      <c r="C2" s="10" t="s">
        <v>75</v>
      </c>
      <c r="D2" s="11">
        <f>COUNTIF(tbl_aspeto_impacte[ID_Impacte],A2)</f>
        <v>17</v>
      </c>
      <c r="E2" s="11">
        <f>COUNTIFS(tbl_aspeto_impacte[ID_Impacte],A2,tbl_aspeto_impacte[Classificacao],"ASPETO*")</f>
        <v>1</v>
      </c>
    </row>
    <row r="3" spans="1:5" x14ac:dyDescent="0.3">
      <c r="A3" s="10" t="s">
        <v>76</v>
      </c>
      <c r="B3" s="10" t="s">
        <v>77</v>
      </c>
      <c r="C3" s="10" t="s">
        <v>75</v>
      </c>
      <c r="D3" s="11">
        <f>COUNTIF(tbl_aspeto_impacte[ID_Impacte],A3)</f>
        <v>13</v>
      </c>
      <c r="E3" s="11">
        <f>COUNTIFS(tbl_aspeto_impacte[ID_Impacte],A3,tbl_aspeto_impacte[Classificacao],"ASPETO*")</f>
        <v>0</v>
      </c>
    </row>
    <row r="4" spans="1:5" x14ac:dyDescent="0.3">
      <c r="A4" s="10" t="s">
        <v>78</v>
      </c>
      <c r="B4" s="10" t="s">
        <v>79</v>
      </c>
      <c r="C4" s="10" t="s">
        <v>75</v>
      </c>
      <c r="D4" s="11">
        <f>COUNTIF(tbl_aspeto_impacte[ID_Impacte],A4)</f>
        <v>8</v>
      </c>
      <c r="E4" s="11">
        <f>COUNTIFS(tbl_aspeto_impacte[ID_Impacte],A4,tbl_aspeto_impacte[Classificacao],"ASPETO*")</f>
        <v>1</v>
      </c>
    </row>
    <row r="5" spans="1:5" x14ac:dyDescent="0.3">
      <c r="A5" s="10" t="s">
        <v>80</v>
      </c>
      <c r="B5" s="10" t="s">
        <v>81</v>
      </c>
      <c r="C5" s="10" t="s">
        <v>75</v>
      </c>
      <c r="D5" s="11">
        <f>COUNTIF(tbl_aspeto_impacte[ID_Impacte],A5)</f>
        <v>13</v>
      </c>
      <c r="E5" s="11">
        <f>COUNTIFS(tbl_aspeto_impacte[ID_Impacte],A5,tbl_aspeto_impacte[Classificacao],"ASPETO*")</f>
        <v>2</v>
      </c>
    </row>
    <row r="6" spans="1:5" x14ac:dyDescent="0.3">
      <c r="A6" s="10" t="s">
        <v>82</v>
      </c>
      <c r="B6" s="10" t="s">
        <v>83</v>
      </c>
      <c r="C6" s="10" t="s">
        <v>75</v>
      </c>
      <c r="D6" s="11">
        <f>COUNTIF(tbl_aspeto_impacte[ID_Impacte],A6)</f>
        <v>2</v>
      </c>
      <c r="E6" s="11">
        <f>COUNTIFS(tbl_aspeto_impacte[ID_Impacte],A6,tbl_aspeto_impacte[Classificacao],"ASPETO*")</f>
        <v>1</v>
      </c>
    </row>
    <row r="7" spans="1:5" x14ac:dyDescent="0.3">
      <c r="A7" s="10" t="s">
        <v>84</v>
      </c>
      <c r="B7" s="10" t="s">
        <v>85</v>
      </c>
      <c r="C7" s="10" t="s">
        <v>75</v>
      </c>
      <c r="D7" s="11">
        <f>COUNTIF(tbl_aspeto_impacte[ID_Impacte],A7)</f>
        <v>4</v>
      </c>
      <c r="E7" s="11">
        <f>COUNTIFS(tbl_aspeto_impacte[ID_Impacte],A7,tbl_aspeto_impacte[Classificacao],"ASPETO*")</f>
        <v>0</v>
      </c>
    </row>
    <row r="8" spans="1:5" x14ac:dyDescent="0.3">
      <c r="A8" s="10" t="s">
        <v>86</v>
      </c>
      <c r="B8" s="10" t="s">
        <v>87</v>
      </c>
      <c r="C8" s="10" t="s">
        <v>75</v>
      </c>
      <c r="D8" s="11">
        <f>COUNTIF(tbl_aspeto_impacte[ID_Impacte],A8)</f>
        <v>14</v>
      </c>
      <c r="E8" s="11">
        <f>COUNTIFS(tbl_aspeto_impacte[ID_Impacte],A8,tbl_aspeto_impacte[Classificacao],"ASPETO*")</f>
        <v>1</v>
      </c>
    </row>
    <row r="9" spans="1:5" x14ac:dyDescent="0.3">
      <c r="A9" s="10" t="s">
        <v>88</v>
      </c>
      <c r="B9" s="10" t="s">
        <v>89</v>
      </c>
      <c r="C9" s="10" t="s">
        <v>75</v>
      </c>
      <c r="D9" s="11">
        <f>COUNTIF(tbl_aspeto_impacte[ID_Impacte],A9)</f>
        <v>2</v>
      </c>
      <c r="E9" s="11">
        <f>COUNTIFS(tbl_aspeto_impacte[ID_Impacte],A9,tbl_aspeto_impacte[Classificacao],"ASPETO*")</f>
        <v>0</v>
      </c>
    </row>
    <row r="10" spans="1:5" ht="26.4" x14ac:dyDescent="0.3">
      <c r="A10" s="10" t="s">
        <v>90</v>
      </c>
      <c r="B10" s="10" t="s">
        <v>91</v>
      </c>
      <c r="C10" s="10" t="s">
        <v>92</v>
      </c>
      <c r="D10" s="11">
        <f>COUNTIF(tbl_aspeto_impacte[ID_Impacte],A10)</f>
        <v>1</v>
      </c>
      <c r="E10" s="11">
        <f>COUNTIFS(tbl_aspeto_impacte[ID_Impacte],A10,tbl_aspeto_impacte[Classificacao],"ASPETO*")</f>
        <v>0</v>
      </c>
    </row>
    <row r="11" spans="1:5" ht="26.4" x14ac:dyDescent="0.3">
      <c r="A11" s="10" t="s">
        <v>93</v>
      </c>
      <c r="B11" s="10" t="s">
        <v>94</v>
      </c>
      <c r="C11" s="10" t="s">
        <v>92</v>
      </c>
      <c r="D11" s="11">
        <f>COUNTIF(tbl_aspeto_impacte[ID_Impacte],A11)</f>
        <v>2</v>
      </c>
      <c r="E11" s="11">
        <f>COUNTIFS(tbl_aspeto_impacte[ID_Impacte],A11,tbl_aspeto_impacte[Classificacao],"ASPETO*")</f>
        <v>0</v>
      </c>
    </row>
    <row r="12" spans="1:5" x14ac:dyDescent="0.3">
      <c r="A12" s="10" t="s">
        <v>95</v>
      </c>
      <c r="B12" s="10" t="s">
        <v>96</v>
      </c>
      <c r="C12" s="10" t="s">
        <v>92</v>
      </c>
      <c r="D12" s="11">
        <f>COUNTIF(tbl_aspeto_impacte[ID_Impacte],A12)</f>
        <v>2</v>
      </c>
      <c r="E12" s="11">
        <f>COUNTIFS(tbl_aspeto_impacte[ID_Impacte],A12,tbl_aspeto_impacte[Classificacao],"ASPETO*")</f>
        <v>0</v>
      </c>
    </row>
    <row r="13" spans="1:5" x14ac:dyDescent="0.3">
      <c r="A13" s="10" t="s">
        <v>97</v>
      </c>
      <c r="B13" s="10" t="s">
        <v>98</v>
      </c>
      <c r="C13" s="10" t="s">
        <v>92</v>
      </c>
      <c r="D13" s="11">
        <f>COUNTIF(tbl_aspeto_impacte[ID_Impacte],A13)</f>
        <v>3</v>
      </c>
      <c r="E13" s="11">
        <f>COUNTIFS(tbl_aspeto_impacte[ID_Impacte],A13,tbl_aspeto_impacte[Classificacao],"ASPETO*")</f>
        <v>1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4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8" customWidth="1"/>
    <col min="3" max="3" width="18" customWidth="1"/>
    <col min="4" max="4" width="30" customWidth="1"/>
    <col min="5" max="5" width="15" customWidth="1"/>
    <col min="6" max="6" width="17" customWidth="1"/>
    <col min="7" max="7" width="46" customWidth="1"/>
    <col min="8" max="8" width="9" customWidth="1"/>
    <col min="9" max="11" width="11" customWidth="1"/>
    <col min="12" max="12" width="30" customWidth="1"/>
    <col min="13" max="13" width="15" customWidth="1"/>
    <col min="14" max="17" width="5" customWidth="1"/>
    <col min="18" max="18" width="12" customWidth="1"/>
    <col min="19" max="19" width="6" customWidth="1"/>
    <col min="20" max="20" width="30" customWidth="1"/>
    <col min="21" max="21" width="16" customWidth="1"/>
    <col min="22" max="22" width="8" customWidth="1"/>
    <col min="23" max="23" width="10" customWidth="1"/>
    <col min="24" max="24" width="44" customWidth="1"/>
    <col min="25" max="25" width="26" customWidth="1"/>
    <col min="26" max="26" width="11" customWidth="1"/>
    <col min="27" max="27" width="16" customWidth="1"/>
    <col min="28" max="28" width="26" customWidth="1"/>
    <col min="29" max="29" width="40" customWidth="1"/>
    <col min="30" max="32" width="8" customWidth="1"/>
    <col min="33" max="33" width="10" customWidth="1"/>
    <col min="34" max="34" width="9" customWidth="1"/>
    <col min="35" max="35" width="20" customWidth="1"/>
    <col min="36" max="36" width="10" customWidth="1"/>
    <col min="37" max="38" width="11" customWidth="1"/>
    <col min="39" max="39" width="22" customWidth="1"/>
  </cols>
  <sheetData>
    <row r="1" spans="1:39" ht="17.399999999999999" x14ac:dyDescent="0.3">
      <c r="A1" s="1" t="s">
        <v>99</v>
      </c>
    </row>
    <row r="2" spans="1:39" x14ac:dyDescent="0.3">
      <c r="A2" s="2" t="s">
        <v>100</v>
      </c>
    </row>
    <row r="4" spans="1:39" ht="39.6" x14ac:dyDescent="0.3">
      <c r="A4" s="8" t="s">
        <v>101</v>
      </c>
      <c r="B4" s="8" t="s">
        <v>102</v>
      </c>
      <c r="C4" s="8" t="s">
        <v>103</v>
      </c>
      <c r="D4" s="8" t="s">
        <v>104</v>
      </c>
      <c r="E4" s="8" t="s">
        <v>105</v>
      </c>
      <c r="F4" s="8" t="s">
        <v>106</v>
      </c>
      <c r="G4" s="8" t="s">
        <v>107</v>
      </c>
      <c r="H4" s="8" t="s">
        <v>108</v>
      </c>
      <c r="I4" s="8" t="s">
        <v>109</v>
      </c>
      <c r="J4" s="8" t="s">
        <v>110</v>
      </c>
      <c r="K4" s="8" t="s">
        <v>111</v>
      </c>
      <c r="L4" s="9" t="s">
        <v>112</v>
      </c>
      <c r="M4" s="8" t="s">
        <v>113</v>
      </c>
      <c r="N4" s="8" t="s">
        <v>114</v>
      </c>
      <c r="O4" s="8" t="s">
        <v>115</v>
      </c>
      <c r="P4" s="8" t="s">
        <v>116</v>
      </c>
      <c r="Q4" s="8" t="s">
        <v>117</v>
      </c>
      <c r="R4" s="9" t="s">
        <v>118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8" t="s">
        <v>124</v>
      </c>
      <c r="Y4" s="8" t="s">
        <v>125</v>
      </c>
      <c r="Z4" s="8" t="s">
        <v>126</v>
      </c>
      <c r="AA4" s="8" t="s">
        <v>127</v>
      </c>
      <c r="AB4" s="8" t="s">
        <v>128</v>
      </c>
      <c r="AC4" s="8" t="s">
        <v>129</v>
      </c>
      <c r="AD4" s="8" t="s">
        <v>130</v>
      </c>
      <c r="AE4" s="8" t="s">
        <v>131</v>
      </c>
      <c r="AF4" s="8" t="s">
        <v>132</v>
      </c>
      <c r="AG4" s="8" t="s">
        <v>133</v>
      </c>
      <c r="AH4" s="8" t="s">
        <v>134</v>
      </c>
      <c r="AI4" s="9" t="s">
        <v>135</v>
      </c>
      <c r="AJ4" s="8" t="s">
        <v>136</v>
      </c>
      <c r="AK4" s="8" t="s">
        <v>137</v>
      </c>
      <c r="AL4" s="9" t="s">
        <v>138</v>
      </c>
      <c r="AM4" s="8" t="s">
        <v>139</v>
      </c>
    </row>
    <row r="5" spans="1:39" ht="70.05" customHeight="1" x14ac:dyDescent="0.3">
      <c r="A5" s="10" t="s">
        <v>140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  <c r="J5" s="10" t="s">
        <v>149</v>
      </c>
      <c r="K5" s="10" t="s">
        <v>73</v>
      </c>
      <c r="L5" s="12" t="str">
        <f>IFERROR(INDEX(tbl_impactes[Impacte],MATCH(K5,tbl_impactes[ID_Impacte],0)),"")</f>
        <v>Esgotamento de Recursos Naturais / Recursos</v>
      </c>
      <c r="M5" s="10" t="s">
        <v>80</v>
      </c>
      <c r="N5" s="13">
        <v>5</v>
      </c>
      <c r="O5" s="13">
        <v>5</v>
      </c>
      <c r="P5" s="13">
        <v>2</v>
      </c>
      <c r="Q5" s="13">
        <v>1</v>
      </c>
      <c r="R5" s="12" t="str">
        <f t="shared" ref="R5:R47" si="0">IF(P5="","",IF(P5&lt;0,"(-) Benéfico","(+) Adverso"))</f>
        <v>(+) Adverso</v>
      </c>
      <c r="S5" s="11">
        <f t="shared" ref="S5:S47" si="1">IF(COUNT(N5,O5,P5,Q5)&lt;4,"",(N5+O5)*P5*Q5)</f>
        <v>20</v>
      </c>
      <c r="T5" s="12" t="str">
        <f t="shared" ref="T5:T47" si="2">IF(S5="","",IF(OR(Q5=2,S5&gt;=40),"ASPETO AMBIENTAL SIGNIFICATIVO (AAS)",IF(S5&gt;=20,"Moderado",IF(S5&gt;=0,"Não Significativo",IF(S5&gt;=-14,"Oportunidade Tática","ASPETO AMBIENTAL SIGNIFICATIVO (AAS) BENÉFICO")))))</f>
        <v>Moderado</v>
      </c>
      <c r="U5" s="12" t="str">
        <f t="shared" ref="U5:U47" si="3">IF(S5="","",IF(Q5=2,"Regra de ouro (L=2)",IF(S5&gt;=40,"IRA ≥ 40",IF(S5&gt;=20,"IRA 20-39",IF(S5&gt;=0,"IRA 0-19",IF(S5&gt;=-14,"IRA -1 a -14","IRA ≤ -15"))))))</f>
        <v>IRA 20-39</v>
      </c>
      <c r="V5" s="11">
        <f t="shared" ref="V5:V47" si="4">IF(S5="","",RANK(S5,$S$5:$S$47,0))</f>
        <v>24</v>
      </c>
      <c r="W5" s="12" t="str">
        <f t="shared" ref="W5:W47" si="5">IF(T5="","",IF(OR(T5="ASPETO AMBIENTAL SIGNIFICATIVO (AAS)",T5="Moderado"),"SIM","NÃO"))</f>
        <v>SIM</v>
      </c>
      <c r="X5" s="10" t="s">
        <v>150</v>
      </c>
      <c r="Y5" s="10" t="s">
        <v>151</v>
      </c>
      <c r="Z5" s="14">
        <v>782.9</v>
      </c>
      <c r="AA5" s="10" t="s">
        <v>152</v>
      </c>
      <c r="AB5" s="10" t="s">
        <v>153</v>
      </c>
      <c r="AC5" s="10" t="s">
        <v>154</v>
      </c>
      <c r="AD5" s="10"/>
      <c r="AE5" s="10" t="s">
        <v>155</v>
      </c>
      <c r="AF5" s="10" t="s">
        <v>156</v>
      </c>
      <c r="AG5" s="10" t="s">
        <v>157</v>
      </c>
      <c r="AH5" s="10" t="s">
        <v>158</v>
      </c>
      <c r="AI5" s="12" t="str">
        <f t="shared" ref="AI5:AI47" si="6">IF(W5="SIM",IF(X5="","FALTA medida de controlo",IF(AND(LEFT(T5,6)="ASPETO",Q5=2,AG5=""),"FALTA ação corretiva (L=2)",IF(AND(LEFT(T5,6)="ASPETO",AH5=""),"Sugestão: definir monitorização","OK"))),"OK")</f>
        <v>OK</v>
      </c>
      <c r="AJ5" s="10" t="s">
        <v>159</v>
      </c>
      <c r="AK5" s="15">
        <v>46162</v>
      </c>
      <c r="AL5" s="16">
        <f t="shared" ref="AL5:AL47" si="7">IF(AK5="","",EDATE(AK5,12))</f>
        <v>46527</v>
      </c>
      <c r="AM5" s="10" t="s">
        <v>160</v>
      </c>
    </row>
    <row r="6" spans="1:39" ht="70.05" customHeight="1" x14ac:dyDescent="0.3">
      <c r="A6" s="10" t="s">
        <v>161</v>
      </c>
      <c r="B6" s="10" t="s">
        <v>141</v>
      </c>
      <c r="C6" s="10" t="s">
        <v>142</v>
      </c>
      <c r="D6" s="10" t="s">
        <v>162</v>
      </c>
      <c r="E6" s="10" t="s">
        <v>144</v>
      </c>
      <c r="F6" s="10" t="s">
        <v>163</v>
      </c>
      <c r="G6" s="10" t="s">
        <v>164</v>
      </c>
      <c r="H6" s="10" t="s">
        <v>147</v>
      </c>
      <c r="I6" s="10" t="s">
        <v>148</v>
      </c>
      <c r="J6" s="10" t="s">
        <v>149</v>
      </c>
      <c r="K6" s="10" t="s">
        <v>80</v>
      </c>
      <c r="L6" s="12" t="str">
        <f>IFERROR(INDEX(tbl_impactes[Impacte],MATCH(K6,tbl_impactes[ID_Impacte],0)),"")</f>
        <v>Mudanças Climáticas</v>
      </c>
      <c r="M6" s="10" t="s">
        <v>78</v>
      </c>
      <c r="N6" s="13">
        <v>4</v>
      </c>
      <c r="O6" s="13">
        <v>4</v>
      </c>
      <c r="P6" s="13">
        <v>3</v>
      </c>
      <c r="Q6" s="13">
        <v>1</v>
      </c>
      <c r="R6" s="12" t="str">
        <f t="shared" si="0"/>
        <v>(+) Adverso</v>
      </c>
      <c r="S6" s="11">
        <f t="shared" si="1"/>
        <v>24</v>
      </c>
      <c r="T6" s="12" t="str">
        <f t="shared" si="2"/>
        <v>Moderado</v>
      </c>
      <c r="U6" s="12" t="str">
        <f t="shared" si="3"/>
        <v>IRA 20-39</v>
      </c>
      <c r="V6" s="11">
        <f t="shared" si="4"/>
        <v>18</v>
      </c>
      <c r="W6" s="12" t="str">
        <f t="shared" si="5"/>
        <v>SIM</v>
      </c>
      <c r="X6" s="10" t="s">
        <v>165</v>
      </c>
      <c r="Y6" s="10" t="s">
        <v>166</v>
      </c>
      <c r="Z6" s="14"/>
      <c r="AA6" s="10"/>
      <c r="AB6" s="10" t="s">
        <v>167</v>
      </c>
      <c r="AC6" s="10" t="s">
        <v>168</v>
      </c>
      <c r="AD6" s="10"/>
      <c r="AE6" s="10"/>
      <c r="AF6" s="10"/>
      <c r="AG6" s="10"/>
      <c r="AH6" s="10"/>
      <c r="AI6" s="12" t="str">
        <f t="shared" si="6"/>
        <v>OK</v>
      </c>
      <c r="AJ6" s="10" t="s">
        <v>159</v>
      </c>
      <c r="AK6" s="15">
        <v>46162</v>
      </c>
      <c r="AL6" s="16">
        <f t="shared" si="7"/>
        <v>46527</v>
      </c>
      <c r="AM6" s="10" t="s">
        <v>160</v>
      </c>
    </row>
    <row r="7" spans="1:39" ht="70.05" customHeight="1" x14ac:dyDescent="0.3">
      <c r="A7" s="10" t="s">
        <v>169</v>
      </c>
      <c r="B7" s="10" t="s">
        <v>170</v>
      </c>
      <c r="C7" s="10" t="s">
        <v>171</v>
      </c>
      <c r="D7" s="10" t="s">
        <v>172</v>
      </c>
      <c r="E7" s="10" t="s">
        <v>173</v>
      </c>
      <c r="F7" s="10" t="s">
        <v>174</v>
      </c>
      <c r="G7" s="10" t="s">
        <v>175</v>
      </c>
      <c r="H7" s="10" t="s">
        <v>176</v>
      </c>
      <c r="I7" s="10" t="s">
        <v>148</v>
      </c>
      <c r="J7" s="10" t="s">
        <v>149</v>
      </c>
      <c r="K7" s="10" t="s">
        <v>88</v>
      </c>
      <c r="L7" s="12" t="str">
        <f>IFERROR(INDEX(tbl_impactes[Impacte],MATCH(K7,tbl_impactes[ID_Impacte],0)),"")</f>
        <v>Degradação da saúde dos ecossistemas aquáticos (microplásticos)</v>
      </c>
      <c r="M7" s="10" t="s">
        <v>177</v>
      </c>
      <c r="N7" s="13">
        <v>4</v>
      </c>
      <c r="O7" s="13">
        <v>3</v>
      </c>
      <c r="P7" s="13">
        <v>4</v>
      </c>
      <c r="Q7" s="13">
        <v>1</v>
      </c>
      <c r="R7" s="12" t="str">
        <f t="shared" si="0"/>
        <v>(+) Adverso</v>
      </c>
      <c r="S7" s="11">
        <f t="shared" si="1"/>
        <v>28</v>
      </c>
      <c r="T7" s="12" t="str">
        <f t="shared" si="2"/>
        <v>Moderado</v>
      </c>
      <c r="U7" s="12" t="str">
        <f t="shared" si="3"/>
        <v>IRA 20-39</v>
      </c>
      <c r="V7" s="11">
        <f t="shared" si="4"/>
        <v>9</v>
      </c>
      <c r="W7" s="12" t="str">
        <f t="shared" si="5"/>
        <v>SIM</v>
      </c>
      <c r="X7" s="10" t="s">
        <v>178</v>
      </c>
      <c r="Y7" s="10" t="s">
        <v>179</v>
      </c>
      <c r="Z7" s="14">
        <v>100</v>
      </c>
      <c r="AA7" s="10" t="s">
        <v>180</v>
      </c>
      <c r="AB7" s="10" t="s">
        <v>181</v>
      </c>
      <c r="AC7" s="10" t="s">
        <v>182</v>
      </c>
      <c r="AD7" s="10" t="s">
        <v>183</v>
      </c>
      <c r="AE7" s="10" t="s">
        <v>184</v>
      </c>
      <c r="AF7" s="10" t="s">
        <v>185</v>
      </c>
      <c r="AG7" s="10" t="s">
        <v>186</v>
      </c>
      <c r="AH7" s="10" t="s">
        <v>187</v>
      </c>
      <c r="AI7" s="12" t="str">
        <f t="shared" si="6"/>
        <v>OK</v>
      </c>
      <c r="AJ7" s="10" t="s">
        <v>159</v>
      </c>
      <c r="AK7" s="15">
        <v>46162</v>
      </c>
      <c r="AL7" s="16">
        <f t="shared" si="7"/>
        <v>46527</v>
      </c>
      <c r="AM7" s="10" t="s">
        <v>160</v>
      </c>
    </row>
    <row r="8" spans="1:39" ht="70.05" customHeight="1" x14ac:dyDescent="0.3">
      <c r="A8" s="10" t="s">
        <v>188</v>
      </c>
      <c r="B8" s="10" t="s">
        <v>170</v>
      </c>
      <c r="C8" s="10" t="s">
        <v>171</v>
      </c>
      <c r="D8" s="10" t="s">
        <v>189</v>
      </c>
      <c r="E8" s="10" t="s">
        <v>173</v>
      </c>
      <c r="F8" s="10" t="s">
        <v>190</v>
      </c>
      <c r="G8" s="10" t="s">
        <v>191</v>
      </c>
      <c r="H8" s="10" t="s">
        <v>176</v>
      </c>
      <c r="I8" s="10" t="s">
        <v>148</v>
      </c>
      <c r="J8" s="10" t="s">
        <v>149</v>
      </c>
      <c r="K8" s="10" t="s">
        <v>86</v>
      </c>
      <c r="L8" s="12" t="str">
        <f>IFERROR(INDEX(tbl_impactes[Impacte],MATCH(K8,tbl_impactes[ID_Impacte],0)),"")</f>
        <v>Redução da vida útil de aterros e passivos ambientais</v>
      </c>
      <c r="M8" s="10" t="s">
        <v>73</v>
      </c>
      <c r="N8" s="13">
        <v>4</v>
      </c>
      <c r="O8" s="13">
        <v>3</v>
      </c>
      <c r="P8" s="13">
        <v>2</v>
      </c>
      <c r="Q8" s="13">
        <v>1</v>
      </c>
      <c r="R8" s="12" t="str">
        <f t="shared" si="0"/>
        <v>(+) Adverso</v>
      </c>
      <c r="S8" s="11">
        <f t="shared" si="1"/>
        <v>14</v>
      </c>
      <c r="T8" s="12" t="str">
        <f t="shared" si="2"/>
        <v>Não Significativo</v>
      </c>
      <c r="U8" s="12" t="str">
        <f t="shared" si="3"/>
        <v>IRA 0-19</v>
      </c>
      <c r="V8" s="11">
        <f t="shared" si="4"/>
        <v>34</v>
      </c>
      <c r="W8" s="12" t="str">
        <f t="shared" si="5"/>
        <v>NÃO</v>
      </c>
      <c r="X8" s="10" t="s">
        <v>192</v>
      </c>
      <c r="Y8" s="10" t="s">
        <v>193</v>
      </c>
      <c r="Z8" s="14"/>
      <c r="AA8" s="10"/>
      <c r="AB8" s="10" t="s">
        <v>194</v>
      </c>
      <c r="AC8" s="10" t="s">
        <v>195</v>
      </c>
      <c r="AD8" s="10" t="s">
        <v>196</v>
      </c>
      <c r="AE8" s="10"/>
      <c r="AF8" s="10"/>
      <c r="AG8" s="10"/>
      <c r="AH8" s="10" t="s">
        <v>197</v>
      </c>
      <c r="AI8" s="12" t="str">
        <f t="shared" si="6"/>
        <v>OK</v>
      </c>
      <c r="AJ8" s="10" t="s">
        <v>159</v>
      </c>
      <c r="AK8" s="15">
        <v>46162</v>
      </c>
      <c r="AL8" s="16">
        <f t="shared" si="7"/>
        <v>46527</v>
      </c>
      <c r="AM8" s="10" t="s">
        <v>160</v>
      </c>
    </row>
    <row r="9" spans="1:39" ht="70.05" customHeight="1" x14ac:dyDescent="0.3">
      <c r="A9" s="10" t="s">
        <v>198</v>
      </c>
      <c r="B9" s="10" t="s">
        <v>199</v>
      </c>
      <c r="C9" s="10" t="s">
        <v>200</v>
      </c>
      <c r="D9" s="10" t="s">
        <v>201</v>
      </c>
      <c r="E9" s="10" t="s">
        <v>173</v>
      </c>
      <c r="F9" s="10" t="s">
        <v>202</v>
      </c>
      <c r="G9" s="10" t="s">
        <v>203</v>
      </c>
      <c r="H9" s="10" t="s">
        <v>176</v>
      </c>
      <c r="I9" s="10" t="s">
        <v>204</v>
      </c>
      <c r="J9" s="10" t="s">
        <v>205</v>
      </c>
      <c r="K9" s="10" t="s">
        <v>76</v>
      </c>
      <c r="L9" s="12" t="str">
        <f>IFERROR(INDEX(tbl_impactes[Impacte],MATCH(K9,tbl_impactes[ID_Impacte],0)),"")</f>
        <v>Contaminação do Solo e/ou Recursos Hídricos</v>
      </c>
      <c r="M9" s="10" t="s">
        <v>78</v>
      </c>
      <c r="N9" s="13">
        <v>1</v>
      </c>
      <c r="O9" s="13">
        <v>3</v>
      </c>
      <c r="P9" s="13">
        <v>5</v>
      </c>
      <c r="Q9" s="13">
        <v>1</v>
      </c>
      <c r="R9" s="12" t="str">
        <f t="shared" si="0"/>
        <v>(+) Adverso</v>
      </c>
      <c r="S9" s="11">
        <f t="shared" si="1"/>
        <v>20</v>
      </c>
      <c r="T9" s="12" t="str">
        <f t="shared" si="2"/>
        <v>Moderado</v>
      </c>
      <c r="U9" s="12" t="str">
        <f t="shared" si="3"/>
        <v>IRA 20-39</v>
      </c>
      <c r="V9" s="11">
        <f t="shared" si="4"/>
        <v>24</v>
      </c>
      <c r="W9" s="12" t="str">
        <f t="shared" si="5"/>
        <v>SIM</v>
      </c>
      <c r="X9" s="10" t="s">
        <v>206</v>
      </c>
      <c r="Y9" s="10" t="s">
        <v>207</v>
      </c>
      <c r="Z9" s="14"/>
      <c r="AA9" s="10"/>
      <c r="AB9" s="10" t="s">
        <v>208</v>
      </c>
      <c r="AC9" s="10" t="s">
        <v>209</v>
      </c>
      <c r="AD9" s="10" t="s">
        <v>210</v>
      </c>
      <c r="AE9" s="10" t="s">
        <v>211</v>
      </c>
      <c r="AF9" s="10"/>
      <c r="AG9" s="10" t="s">
        <v>212</v>
      </c>
      <c r="AH9" s="10" t="s">
        <v>213</v>
      </c>
      <c r="AI9" s="12" t="str">
        <f t="shared" si="6"/>
        <v>OK</v>
      </c>
      <c r="AJ9" s="10" t="s">
        <v>214</v>
      </c>
      <c r="AK9" s="15">
        <v>46162</v>
      </c>
      <c r="AL9" s="16">
        <f t="shared" si="7"/>
        <v>46527</v>
      </c>
      <c r="AM9" s="10" t="s">
        <v>160</v>
      </c>
    </row>
    <row r="10" spans="1:39" ht="70.05" customHeight="1" x14ac:dyDescent="0.3">
      <c r="A10" s="10" t="s">
        <v>215</v>
      </c>
      <c r="B10" s="10" t="s">
        <v>199</v>
      </c>
      <c r="C10" s="10" t="s">
        <v>200</v>
      </c>
      <c r="D10" s="10" t="s">
        <v>216</v>
      </c>
      <c r="E10" s="10" t="s">
        <v>173</v>
      </c>
      <c r="F10" s="10" t="s">
        <v>163</v>
      </c>
      <c r="G10" s="10" t="s">
        <v>217</v>
      </c>
      <c r="H10" s="10" t="s">
        <v>176</v>
      </c>
      <c r="I10" s="10" t="s">
        <v>218</v>
      </c>
      <c r="J10" s="10" t="s">
        <v>149</v>
      </c>
      <c r="K10" s="10" t="s">
        <v>78</v>
      </c>
      <c r="L10" s="12" t="str">
        <f>IFERROR(INDEX(tbl_impactes[Impacte],MATCH(K10,tbl_impactes[ID_Impacte],0)),"")</f>
        <v>Poluição do Ar</v>
      </c>
      <c r="M10" s="10" t="s">
        <v>80</v>
      </c>
      <c r="N10" s="13">
        <v>3</v>
      </c>
      <c r="O10" s="13">
        <v>2</v>
      </c>
      <c r="P10" s="13">
        <v>5</v>
      </c>
      <c r="Q10" s="13">
        <v>1</v>
      </c>
      <c r="R10" s="12" t="str">
        <f t="shared" si="0"/>
        <v>(+) Adverso</v>
      </c>
      <c r="S10" s="11">
        <f t="shared" si="1"/>
        <v>25</v>
      </c>
      <c r="T10" s="12" t="str">
        <f t="shared" si="2"/>
        <v>Moderado</v>
      </c>
      <c r="U10" s="12" t="str">
        <f t="shared" si="3"/>
        <v>IRA 20-39</v>
      </c>
      <c r="V10" s="11">
        <f t="shared" si="4"/>
        <v>17</v>
      </c>
      <c r="W10" s="12" t="str">
        <f t="shared" si="5"/>
        <v>SIM</v>
      </c>
      <c r="X10" s="10" t="s">
        <v>219</v>
      </c>
      <c r="Y10" s="10" t="s">
        <v>220</v>
      </c>
      <c r="Z10" s="14"/>
      <c r="AA10" s="10"/>
      <c r="AB10" s="10" t="s">
        <v>221</v>
      </c>
      <c r="AC10" s="10" t="s">
        <v>222</v>
      </c>
      <c r="AD10" s="10" t="s">
        <v>210</v>
      </c>
      <c r="AE10" s="10"/>
      <c r="AF10" s="10" t="s">
        <v>223</v>
      </c>
      <c r="AG10" s="10" t="s">
        <v>224</v>
      </c>
      <c r="AH10" s="10" t="s">
        <v>225</v>
      </c>
      <c r="AI10" s="12" t="str">
        <f t="shared" si="6"/>
        <v>OK</v>
      </c>
      <c r="AJ10" s="10" t="s">
        <v>159</v>
      </c>
      <c r="AK10" s="15">
        <v>46162</v>
      </c>
      <c r="AL10" s="16">
        <f t="shared" si="7"/>
        <v>46527</v>
      </c>
      <c r="AM10" s="10" t="s">
        <v>160</v>
      </c>
    </row>
    <row r="11" spans="1:39" ht="70.05" customHeight="1" x14ac:dyDescent="0.3">
      <c r="A11" s="10" t="s">
        <v>226</v>
      </c>
      <c r="B11" s="10" t="s">
        <v>227</v>
      </c>
      <c r="C11" s="10" t="s">
        <v>228</v>
      </c>
      <c r="D11" s="10" t="s">
        <v>229</v>
      </c>
      <c r="E11" s="10" t="s">
        <v>173</v>
      </c>
      <c r="F11" s="10" t="s">
        <v>145</v>
      </c>
      <c r="G11" s="10" t="s">
        <v>230</v>
      </c>
      <c r="H11" s="10" t="s">
        <v>176</v>
      </c>
      <c r="I11" s="10" t="s">
        <v>148</v>
      </c>
      <c r="J11" s="10" t="s">
        <v>149</v>
      </c>
      <c r="K11" s="10" t="s">
        <v>73</v>
      </c>
      <c r="L11" s="12" t="str">
        <f>IFERROR(INDEX(tbl_impactes[Impacte],MATCH(K11,tbl_impactes[ID_Impacte],0)),"")</f>
        <v>Esgotamento de Recursos Naturais / Recursos</v>
      </c>
      <c r="M11" s="10" t="s">
        <v>80</v>
      </c>
      <c r="N11" s="13">
        <v>5</v>
      </c>
      <c r="O11" s="13">
        <v>5</v>
      </c>
      <c r="P11" s="13">
        <v>3</v>
      </c>
      <c r="Q11" s="13">
        <v>1</v>
      </c>
      <c r="R11" s="12" t="str">
        <f t="shared" si="0"/>
        <v>(+) Adverso</v>
      </c>
      <c r="S11" s="11">
        <f t="shared" si="1"/>
        <v>30</v>
      </c>
      <c r="T11" s="12" t="str">
        <f t="shared" si="2"/>
        <v>Moderado</v>
      </c>
      <c r="U11" s="12" t="str">
        <f t="shared" si="3"/>
        <v>IRA 20-39</v>
      </c>
      <c r="V11" s="11">
        <f t="shared" si="4"/>
        <v>5</v>
      </c>
      <c r="W11" s="12" t="str">
        <f t="shared" si="5"/>
        <v>SIM</v>
      </c>
      <c r="X11" s="10" t="s">
        <v>231</v>
      </c>
      <c r="Y11" s="10" t="s">
        <v>232</v>
      </c>
      <c r="Z11" s="14">
        <v>2186.1</v>
      </c>
      <c r="AA11" s="10" t="s">
        <v>233</v>
      </c>
      <c r="AB11" s="10" t="s">
        <v>234</v>
      </c>
      <c r="AC11" s="10" t="s">
        <v>235</v>
      </c>
      <c r="AD11" s="10" t="s">
        <v>236</v>
      </c>
      <c r="AE11" s="10" t="s">
        <v>237</v>
      </c>
      <c r="AF11" s="10" t="s">
        <v>238</v>
      </c>
      <c r="AG11" s="10" t="s">
        <v>239</v>
      </c>
      <c r="AH11" s="10" t="s">
        <v>240</v>
      </c>
      <c r="AI11" s="12" t="str">
        <f t="shared" si="6"/>
        <v>OK</v>
      </c>
      <c r="AJ11" s="10" t="s">
        <v>159</v>
      </c>
      <c r="AK11" s="15">
        <v>46162</v>
      </c>
      <c r="AL11" s="16">
        <f t="shared" si="7"/>
        <v>46527</v>
      </c>
      <c r="AM11" s="10" t="s">
        <v>160</v>
      </c>
    </row>
    <row r="12" spans="1:39" ht="70.05" customHeight="1" x14ac:dyDescent="0.3">
      <c r="A12" s="10" t="s">
        <v>241</v>
      </c>
      <c r="B12" s="10" t="s">
        <v>227</v>
      </c>
      <c r="C12" s="10" t="s">
        <v>228</v>
      </c>
      <c r="D12" s="10" t="s">
        <v>229</v>
      </c>
      <c r="E12" s="10" t="s">
        <v>173</v>
      </c>
      <c r="F12" s="10" t="s">
        <v>190</v>
      </c>
      <c r="G12" s="10" t="s">
        <v>242</v>
      </c>
      <c r="H12" s="10" t="s">
        <v>176</v>
      </c>
      <c r="I12" s="10" t="s">
        <v>148</v>
      </c>
      <c r="J12" s="10" t="s">
        <v>149</v>
      </c>
      <c r="K12" s="10" t="s">
        <v>73</v>
      </c>
      <c r="L12" s="12" t="str">
        <f>IFERROR(INDEX(tbl_impactes[Impacte],MATCH(K12,tbl_impactes[ID_Impacte],0)),"")</f>
        <v>Esgotamento de Recursos Naturais / Recursos</v>
      </c>
      <c r="M12" s="10" t="s">
        <v>86</v>
      </c>
      <c r="N12" s="13">
        <v>5</v>
      </c>
      <c r="O12" s="13">
        <v>3</v>
      </c>
      <c r="P12" s="13">
        <v>3</v>
      </c>
      <c r="Q12" s="13">
        <v>1</v>
      </c>
      <c r="R12" s="12" t="str">
        <f t="shared" si="0"/>
        <v>(+) Adverso</v>
      </c>
      <c r="S12" s="11">
        <f t="shared" si="1"/>
        <v>24</v>
      </c>
      <c r="T12" s="12" t="str">
        <f t="shared" si="2"/>
        <v>Moderado</v>
      </c>
      <c r="U12" s="12" t="str">
        <f t="shared" si="3"/>
        <v>IRA 20-39</v>
      </c>
      <c r="V12" s="11">
        <f t="shared" si="4"/>
        <v>18</v>
      </c>
      <c r="W12" s="12" t="str">
        <f t="shared" si="5"/>
        <v>SIM</v>
      </c>
      <c r="X12" s="10" t="s">
        <v>243</v>
      </c>
      <c r="Y12" s="10" t="s">
        <v>244</v>
      </c>
      <c r="Z12" s="14"/>
      <c r="AA12" s="10"/>
      <c r="AB12" s="10" t="s">
        <v>245</v>
      </c>
      <c r="AC12" s="10" t="s">
        <v>246</v>
      </c>
      <c r="AD12" s="10" t="s">
        <v>196</v>
      </c>
      <c r="AE12" s="10" t="s">
        <v>247</v>
      </c>
      <c r="AF12" s="10" t="s">
        <v>156</v>
      </c>
      <c r="AG12" s="10"/>
      <c r="AH12" s="10" t="s">
        <v>248</v>
      </c>
      <c r="AI12" s="12" t="str">
        <f t="shared" si="6"/>
        <v>OK</v>
      </c>
      <c r="AJ12" s="10" t="s">
        <v>159</v>
      </c>
      <c r="AK12" s="15">
        <v>46162</v>
      </c>
      <c r="AL12" s="16">
        <f t="shared" si="7"/>
        <v>46527</v>
      </c>
      <c r="AM12" s="10" t="s">
        <v>160</v>
      </c>
    </row>
    <row r="13" spans="1:39" ht="70.05" customHeight="1" x14ac:dyDescent="0.3">
      <c r="A13" s="10" t="s">
        <v>249</v>
      </c>
      <c r="B13" s="10" t="s">
        <v>227</v>
      </c>
      <c r="C13" s="10" t="s">
        <v>228</v>
      </c>
      <c r="D13" s="10" t="s">
        <v>250</v>
      </c>
      <c r="E13" s="10" t="s">
        <v>173</v>
      </c>
      <c r="F13" s="10" t="s">
        <v>202</v>
      </c>
      <c r="G13" s="10" t="s">
        <v>251</v>
      </c>
      <c r="H13" s="10" t="s">
        <v>176</v>
      </c>
      <c r="I13" s="10" t="s">
        <v>218</v>
      </c>
      <c r="J13" s="10" t="s">
        <v>149</v>
      </c>
      <c r="K13" s="10" t="s">
        <v>76</v>
      </c>
      <c r="L13" s="12" t="str">
        <f>IFERROR(INDEX(tbl_impactes[Impacte],MATCH(K13,tbl_impactes[ID_Impacte],0)),"")</f>
        <v>Contaminação do Solo e/ou Recursos Hídricos</v>
      </c>
      <c r="M13" s="10"/>
      <c r="N13" s="13">
        <v>2</v>
      </c>
      <c r="O13" s="13">
        <v>2</v>
      </c>
      <c r="P13" s="13">
        <v>4</v>
      </c>
      <c r="Q13" s="13">
        <v>1</v>
      </c>
      <c r="R13" s="12" t="str">
        <f t="shared" si="0"/>
        <v>(+) Adverso</v>
      </c>
      <c r="S13" s="11">
        <f t="shared" si="1"/>
        <v>16</v>
      </c>
      <c r="T13" s="12" t="str">
        <f t="shared" si="2"/>
        <v>Não Significativo</v>
      </c>
      <c r="U13" s="12" t="str">
        <f t="shared" si="3"/>
        <v>IRA 0-19</v>
      </c>
      <c r="V13" s="11">
        <f t="shared" si="4"/>
        <v>28</v>
      </c>
      <c r="W13" s="12" t="str">
        <f t="shared" si="5"/>
        <v>NÃO</v>
      </c>
      <c r="X13" s="10" t="s">
        <v>252</v>
      </c>
      <c r="Y13" s="10" t="s">
        <v>253</v>
      </c>
      <c r="Z13" s="14"/>
      <c r="AA13" s="10"/>
      <c r="AB13" s="10" t="s">
        <v>254</v>
      </c>
      <c r="AC13" s="10" t="s">
        <v>255</v>
      </c>
      <c r="AD13" s="10" t="s">
        <v>196</v>
      </c>
      <c r="AE13" s="10" t="s">
        <v>211</v>
      </c>
      <c r="AF13" s="10"/>
      <c r="AG13" s="10"/>
      <c r="AH13" s="10"/>
      <c r="AI13" s="12" t="str">
        <f t="shared" si="6"/>
        <v>OK</v>
      </c>
      <c r="AJ13" s="10" t="s">
        <v>159</v>
      </c>
      <c r="AK13" s="15">
        <v>46162</v>
      </c>
      <c r="AL13" s="16">
        <f t="shared" si="7"/>
        <v>46527</v>
      </c>
      <c r="AM13" s="10" t="s">
        <v>160</v>
      </c>
    </row>
    <row r="14" spans="1:39" ht="70.05" customHeight="1" x14ac:dyDescent="0.3">
      <c r="A14" s="10" t="s">
        <v>256</v>
      </c>
      <c r="B14" s="10" t="s">
        <v>257</v>
      </c>
      <c r="C14" s="10" t="s">
        <v>258</v>
      </c>
      <c r="D14" s="10" t="s">
        <v>259</v>
      </c>
      <c r="E14" s="10" t="s">
        <v>173</v>
      </c>
      <c r="F14" s="10" t="s">
        <v>145</v>
      </c>
      <c r="G14" s="10" t="s">
        <v>260</v>
      </c>
      <c r="H14" s="10" t="s">
        <v>176</v>
      </c>
      <c r="I14" s="10" t="s">
        <v>148</v>
      </c>
      <c r="J14" s="10" t="s">
        <v>149</v>
      </c>
      <c r="K14" s="10" t="s">
        <v>73</v>
      </c>
      <c r="L14" s="12" t="str">
        <f>IFERROR(INDEX(tbl_impactes[Impacte],MATCH(K14,tbl_impactes[ID_Impacte],0)),"")</f>
        <v>Esgotamento de Recursos Naturais / Recursos</v>
      </c>
      <c r="M14" s="10" t="s">
        <v>80</v>
      </c>
      <c r="N14" s="13">
        <v>5</v>
      </c>
      <c r="O14" s="13">
        <v>5</v>
      </c>
      <c r="P14" s="13">
        <v>3</v>
      </c>
      <c r="Q14" s="13">
        <v>1</v>
      </c>
      <c r="R14" s="12" t="str">
        <f t="shared" si="0"/>
        <v>(+) Adverso</v>
      </c>
      <c r="S14" s="11">
        <f t="shared" si="1"/>
        <v>30</v>
      </c>
      <c r="T14" s="12" t="str">
        <f t="shared" si="2"/>
        <v>Moderado</v>
      </c>
      <c r="U14" s="12" t="str">
        <f t="shared" si="3"/>
        <v>IRA 20-39</v>
      </c>
      <c r="V14" s="11">
        <f t="shared" si="4"/>
        <v>5</v>
      </c>
      <c r="W14" s="12" t="str">
        <f t="shared" si="5"/>
        <v>SIM</v>
      </c>
      <c r="X14" s="10" t="s">
        <v>261</v>
      </c>
      <c r="Y14" s="10" t="s">
        <v>232</v>
      </c>
      <c r="Z14" s="14">
        <v>3137.2</v>
      </c>
      <c r="AA14" s="10" t="s">
        <v>233</v>
      </c>
      <c r="AB14" s="10" t="s">
        <v>234</v>
      </c>
      <c r="AC14" s="10" t="s">
        <v>262</v>
      </c>
      <c r="AD14" s="10" t="s">
        <v>236</v>
      </c>
      <c r="AE14" s="10" t="s">
        <v>237</v>
      </c>
      <c r="AF14" s="10" t="s">
        <v>238</v>
      </c>
      <c r="AG14" s="10" t="s">
        <v>263</v>
      </c>
      <c r="AH14" s="10" t="s">
        <v>240</v>
      </c>
      <c r="AI14" s="12" t="str">
        <f t="shared" si="6"/>
        <v>OK</v>
      </c>
      <c r="AJ14" s="10" t="s">
        <v>159</v>
      </c>
      <c r="AK14" s="15">
        <v>46162</v>
      </c>
      <c r="AL14" s="16">
        <f t="shared" si="7"/>
        <v>46527</v>
      </c>
      <c r="AM14" s="10" t="s">
        <v>160</v>
      </c>
    </row>
    <row r="15" spans="1:39" ht="70.05" customHeight="1" x14ac:dyDescent="0.3">
      <c r="A15" s="10" t="s">
        <v>264</v>
      </c>
      <c r="B15" s="10" t="s">
        <v>257</v>
      </c>
      <c r="C15" s="10" t="s">
        <v>258</v>
      </c>
      <c r="D15" s="10" t="s">
        <v>259</v>
      </c>
      <c r="E15" s="10" t="s">
        <v>173</v>
      </c>
      <c r="F15" s="10" t="s">
        <v>190</v>
      </c>
      <c r="G15" s="10" t="s">
        <v>265</v>
      </c>
      <c r="H15" s="10" t="s">
        <v>176</v>
      </c>
      <c r="I15" s="10" t="s">
        <v>148</v>
      </c>
      <c r="J15" s="10" t="s">
        <v>149</v>
      </c>
      <c r="K15" s="10" t="s">
        <v>73</v>
      </c>
      <c r="L15" s="12" t="str">
        <f>IFERROR(INDEX(tbl_impactes[Impacte],MATCH(K15,tbl_impactes[ID_Impacte],0)),"")</f>
        <v>Esgotamento de Recursos Naturais / Recursos</v>
      </c>
      <c r="M15" s="10" t="s">
        <v>86</v>
      </c>
      <c r="N15" s="13">
        <v>5</v>
      </c>
      <c r="O15" s="13">
        <v>4</v>
      </c>
      <c r="P15" s="13">
        <v>3</v>
      </c>
      <c r="Q15" s="13">
        <v>1</v>
      </c>
      <c r="R15" s="12" t="str">
        <f t="shared" si="0"/>
        <v>(+) Adverso</v>
      </c>
      <c r="S15" s="11">
        <f t="shared" si="1"/>
        <v>27</v>
      </c>
      <c r="T15" s="12" t="str">
        <f t="shared" si="2"/>
        <v>Moderado</v>
      </c>
      <c r="U15" s="12" t="str">
        <f t="shared" si="3"/>
        <v>IRA 20-39</v>
      </c>
      <c r="V15" s="11">
        <f t="shared" si="4"/>
        <v>12</v>
      </c>
      <c r="W15" s="12" t="str">
        <f t="shared" si="5"/>
        <v>SIM</v>
      </c>
      <c r="X15" s="10" t="s">
        <v>266</v>
      </c>
      <c r="Y15" s="10" t="s">
        <v>267</v>
      </c>
      <c r="Z15" s="14">
        <v>33.6</v>
      </c>
      <c r="AA15" s="10" t="s">
        <v>268</v>
      </c>
      <c r="AB15" s="10" t="s">
        <v>245</v>
      </c>
      <c r="AC15" s="10" t="s">
        <v>269</v>
      </c>
      <c r="AD15" s="10" t="s">
        <v>196</v>
      </c>
      <c r="AE15" s="10" t="s">
        <v>247</v>
      </c>
      <c r="AF15" s="10" t="s">
        <v>156</v>
      </c>
      <c r="AG15" s="10"/>
      <c r="AH15" s="10" t="s">
        <v>248</v>
      </c>
      <c r="AI15" s="12" t="str">
        <f t="shared" si="6"/>
        <v>OK</v>
      </c>
      <c r="AJ15" s="10" t="s">
        <v>159</v>
      </c>
      <c r="AK15" s="15">
        <v>46162</v>
      </c>
      <c r="AL15" s="16">
        <f t="shared" si="7"/>
        <v>46527</v>
      </c>
      <c r="AM15" s="10" t="s">
        <v>160</v>
      </c>
    </row>
    <row r="16" spans="1:39" ht="70.05" customHeight="1" x14ac:dyDescent="0.3">
      <c r="A16" s="10" t="s">
        <v>270</v>
      </c>
      <c r="B16" s="10" t="s">
        <v>257</v>
      </c>
      <c r="C16" s="10" t="s">
        <v>258</v>
      </c>
      <c r="D16" s="10" t="s">
        <v>271</v>
      </c>
      <c r="E16" s="10" t="s">
        <v>173</v>
      </c>
      <c r="F16" s="10" t="s">
        <v>190</v>
      </c>
      <c r="G16" s="10" t="s">
        <v>272</v>
      </c>
      <c r="H16" s="10" t="s">
        <v>176</v>
      </c>
      <c r="I16" s="10" t="s">
        <v>218</v>
      </c>
      <c r="J16" s="10" t="s">
        <v>149</v>
      </c>
      <c r="K16" s="10" t="s">
        <v>73</v>
      </c>
      <c r="L16" s="12" t="str">
        <f>IFERROR(INDEX(tbl_impactes[Impacte],MATCH(K16,tbl_impactes[ID_Impacte],0)),"")</f>
        <v>Esgotamento de Recursos Naturais / Recursos</v>
      </c>
      <c r="M16" s="10" t="s">
        <v>86</v>
      </c>
      <c r="N16" s="13">
        <v>4</v>
      </c>
      <c r="O16" s="13">
        <v>3</v>
      </c>
      <c r="P16" s="13">
        <v>3</v>
      </c>
      <c r="Q16" s="13">
        <v>1</v>
      </c>
      <c r="R16" s="12" t="str">
        <f t="shared" si="0"/>
        <v>(+) Adverso</v>
      </c>
      <c r="S16" s="11">
        <f t="shared" si="1"/>
        <v>21</v>
      </c>
      <c r="T16" s="12" t="str">
        <f t="shared" si="2"/>
        <v>Moderado</v>
      </c>
      <c r="U16" s="12" t="str">
        <f t="shared" si="3"/>
        <v>IRA 20-39</v>
      </c>
      <c r="V16" s="11">
        <f t="shared" si="4"/>
        <v>22</v>
      </c>
      <c r="W16" s="12" t="str">
        <f t="shared" si="5"/>
        <v>SIM</v>
      </c>
      <c r="X16" s="10" t="s">
        <v>273</v>
      </c>
      <c r="Y16" s="10" t="s">
        <v>274</v>
      </c>
      <c r="Z16" s="14"/>
      <c r="AA16" s="10"/>
      <c r="AB16" s="10" t="s">
        <v>275</v>
      </c>
      <c r="AC16" s="10" t="s">
        <v>276</v>
      </c>
      <c r="AD16" s="10"/>
      <c r="AE16" s="10"/>
      <c r="AF16" s="10" t="s">
        <v>156</v>
      </c>
      <c r="AG16" s="10"/>
      <c r="AH16" s="10" t="s">
        <v>248</v>
      </c>
      <c r="AI16" s="12" t="str">
        <f t="shared" si="6"/>
        <v>OK</v>
      </c>
      <c r="AJ16" s="10" t="s">
        <v>159</v>
      </c>
      <c r="AK16" s="15">
        <v>46162</v>
      </c>
      <c r="AL16" s="16">
        <f t="shared" si="7"/>
        <v>46527</v>
      </c>
      <c r="AM16" s="10" t="s">
        <v>160</v>
      </c>
    </row>
    <row r="17" spans="1:39" ht="70.05" customHeight="1" x14ac:dyDescent="0.3">
      <c r="A17" s="10" t="s">
        <v>277</v>
      </c>
      <c r="B17" s="10" t="s">
        <v>257</v>
      </c>
      <c r="C17" s="10" t="s">
        <v>258</v>
      </c>
      <c r="D17" s="10" t="s">
        <v>278</v>
      </c>
      <c r="E17" s="10" t="s">
        <v>173</v>
      </c>
      <c r="F17" s="10" t="s">
        <v>202</v>
      </c>
      <c r="G17" s="10" t="s">
        <v>279</v>
      </c>
      <c r="H17" s="10" t="s">
        <v>176</v>
      </c>
      <c r="I17" s="10" t="s">
        <v>218</v>
      </c>
      <c r="J17" s="10" t="s">
        <v>149</v>
      </c>
      <c r="K17" s="10" t="s">
        <v>76</v>
      </c>
      <c r="L17" s="12" t="str">
        <f>IFERROR(INDEX(tbl_impactes[Impacte],MATCH(K17,tbl_impactes[ID_Impacte],0)),"")</f>
        <v>Contaminação do Solo e/ou Recursos Hídricos</v>
      </c>
      <c r="M17" s="10"/>
      <c r="N17" s="13">
        <v>4</v>
      </c>
      <c r="O17" s="13">
        <v>2</v>
      </c>
      <c r="P17" s="13">
        <v>4</v>
      </c>
      <c r="Q17" s="13">
        <v>1</v>
      </c>
      <c r="R17" s="12" t="str">
        <f t="shared" si="0"/>
        <v>(+) Adverso</v>
      </c>
      <c r="S17" s="11">
        <f t="shared" si="1"/>
        <v>24</v>
      </c>
      <c r="T17" s="12" t="str">
        <f t="shared" si="2"/>
        <v>Moderado</v>
      </c>
      <c r="U17" s="12" t="str">
        <f t="shared" si="3"/>
        <v>IRA 20-39</v>
      </c>
      <c r="V17" s="11">
        <f t="shared" si="4"/>
        <v>18</v>
      </c>
      <c r="W17" s="12" t="str">
        <f t="shared" si="5"/>
        <v>SIM</v>
      </c>
      <c r="X17" s="10" t="s">
        <v>280</v>
      </c>
      <c r="Y17" s="10" t="s">
        <v>281</v>
      </c>
      <c r="Z17" s="14"/>
      <c r="AA17" s="10"/>
      <c r="AB17" s="10" t="s">
        <v>282</v>
      </c>
      <c r="AC17" s="10" t="s">
        <v>283</v>
      </c>
      <c r="AD17" s="10" t="s">
        <v>196</v>
      </c>
      <c r="AE17" s="10" t="s">
        <v>211</v>
      </c>
      <c r="AF17" s="10"/>
      <c r="AG17" s="10"/>
      <c r="AH17" s="10"/>
      <c r="AI17" s="12" t="str">
        <f t="shared" si="6"/>
        <v>OK</v>
      </c>
      <c r="AJ17" s="10" t="s">
        <v>159</v>
      </c>
      <c r="AK17" s="15">
        <v>46162</v>
      </c>
      <c r="AL17" s="16">
        <f t="shared" si="7"/>
        <v>46527</v>
      </c>
      <c r="AM17" s="10" t="s">
        <v>160</v>
      </c>
    </row>
    <row r="18" spans="1:39" ht="70.05" customHeight="1" x14ac:dyDescent="0.3">
      <c r="A18" s="10" t="s">
        <v>284</v>
      </c>
      <c r="B18" s="10" t="s">
        <v>285</v>
      </c>
      <c r="C18" s="10" t="s">
        <v>286</v>
      </c>
      <c r="D18" s="10" t="s">
        <v>287</v>
      </c>
      <c r="E18" s="10" t="s">
        <v>173</v>
      </c>
      <c r="F18" s="10" t="s">
        <v>163</v>
      </c>
      <c r="G18" s="10" t="s">
        <v>288</v>
      </c>
      <c r="H18" s="10" t="s">
        <v>176</v>
      </c>
      <c r="I18" s="10" t="s">
        <v>148</v>
      </c>
      <c r="J18" s="10" t="s">
        <v>149</v>
      </c>
      <c r="K18" s="10" t="s">
        <v>78</v>
      </c>
      <c r="L18" s="12" t="str">
        <f>IFERROR(INDEX(tbl_impactes[Impacte],MATCH(K18,tbl_impactes[ID_Impacte],0)),"")</f>
        <v>Poluição do Ar</v>
      </c>
      <c r="M18" s="10" t="s">
        <v>80</v>
      </c>
      <c r="N18" s="13">
        <v>5</v>
      </c>
      <c r="O18" s="13">
        <v>3</v>
      </c>
      <c r="P18" s="13">
        <v>5</v>
      </c>
      <c r="Q18" s="13">
        <v>1</v>
      </c>
      <c r="R18" s="12" t="str">
        <f t="shared" si="0"/>
        <v>(+) Adverso</v>
      </c>
      <c r="S18" s="11">
        <f t="shared" si="1"/>
        <v>40</v>
      </c>
      <c r="T18" s="12" t="str">
        <f t="shared" si="2"/>
        <v>ASPETO AMBIENTAL SIGNIFICATIVO (AAS)</v>
      </c>
      <c r="U18" s="12" t="str">
        <f t="shared" si="3"/>
        <v>IRA ≥ 40</v>
      </c>
      <c r="V18" s="11">
        <f t="shared" si="4"/>
        <v>2</v>
      </c>
      <c r="W18" s="12" t="str">
        <f t="shared" si="5"/>
        <v>SIM</v>
      </c>
      <c r="X18" s="10" t="s">
        <v>289</v>
      </c>
      <c r="Y18" s="10" t="s">
        <v>290</v>
      </c>
      <c r="Z18" s="14">
        <v>759</v>
      </c>
      <c r="AA18" s="10" t="s">
        <v>291</v>
      </c>
      <c r="AB18" s="10" t="s">
        <v>292</v>
      </c>
      <c r="AC18" s="10" t="s">
        <v>293</v>
      </c>
      <c r="AD18" s="10" t="s">
        <v>294</v>
      </c>
      <c r="AE18" s="10"/>
      <c r="AF18" s="10" t="s">
        <v>223</v>
      </c>
      <c r="AG18" s="10" t="s">
        <v>224</v>
      </c>
      <c r="AH18" s="10" t="s">
        <v>225</v>
      </c>
      <c r="AI18" s="12" t="str">
        <f t="shared" si="6"/>
        <v>OK</v>
      </c>
      <c r="AJ18" s="10" t="s">
        <v>214</v>
      </c>
      <c r="AK18" s="15">
        <v>46162</v>
      </c>
      <c r="AL18" s="16">
        <f t="shared" si="7"/>
        <v>46527</v>
      </c>
      <c r="AM18" s="10" t="s">
        <v>160</v>
      </c>
    </row>
    <row r="19" spans="1:39" ht="70.05" customHeight="1" x14ac:dyDescent="0.3">
      <c r="A19" s="10" t="s">
        <v>295</v>
      </c>
      <c r="B19" s="10" t="s">
        <v>285</v>
      </c>
      <c r="C19" s="10" t="s">
        <v>286</v>
      </c>
      <c r="D19" s="10" t="s">
        <v>296</v>
      </c>
      <c r="E19" s="10" t="s">
        <v>173</v>
      </c>
      <c r="F19" s="10" t="s">
        <v>145</v>
      </c>
      <c r="G19" s="10" t="s">
        <v>297</v>
      </c>
      <c r="H19" s="10" t="s">
        <v>176</v>
      </c>
      <c r="I19" s="10" t="s">
        <v>148</v>
      </c>
      <c r="J19" s="10" t="s">
        <v>149</v>
      </c>
      <c r="K19" s="10" t="s">
        <v>73</v>
      </c>
      <c r="L19" s="12" t="str">
        <f>IFERROR(INDEX(tbl_impactes[Impacte],MATCH(K19,tbl_impactes[ID_Impacte],0)),"")</f>
        <v>Esgotamento de Recursos Naturais / Recursos</v>
      </c>
      <c r="M19" s="10" t="s">
        <v>78</v>
      </c>
      <c r="N19" s="13">
        <v>5</v>
      </c>
      <c r="O19" s="13">
        <v>3</v>
      </c>
      <c r="P19" s="13">
        <v>4</v>
      </c>
      <c r="Q19" s="13">
        <v>1</v>
      </c>
      <c r="R19" s="12" t="str">
        <f t="shared" si="0"/>
        <v>(+) Adverso</v>
      </c>
      <c r="S19" s="11">
        <f t="shared" si="1"/>
        <v>32</v>
      </c>
      <c r="T19" s="12" t="str">
        <f t="shared" si="2"/>
        <v>Moderado</v>
      </c>
      <c r="U19" s="12" t="str">
        <f t="shared" si="3"/>
        <v>IRA 20-39</v>
      </c>
      <c r="V19" s="11">
        <f t="shared" si="4"/>
        <v>3</v>
      </c>
      <c r="W19" s="12" t="str">
        <f t="shared" si="5"/>
        <v>SIM</v>
      </c>
      <c r="X19" s="10" t="s">
        <v>298</v>
      </c>
      <c r="Y19" s="10" t="s">
        <v>166</v>
      </c>
      <c r="Z19" s="14">
        <v>1099</v>
      </c>
      <c r="AA19" s="10" t="s">
        <v>299</v>
      </c>
      <c r="AB19" s="10" t="s">
        <v>300</v>
      </c>
      <c r="AC19" s="10" t="s">
        <v>301</v>
      </c>
      <c r="AD19" s="10" t="s">
        <v>210</v>
      </c>
      <c r="AE19" s="10"/>
      <c r="AF19" s="10" t="s">
        <v>223</v>
      </c>
      <c r="AG19" s="10"/>
      <c r="AH19" s="10" t="s">
        <v>225</v>
      </c>
      <c r="AI19" s="12" t="str">
        <f t="shared" si="6"/>
        <v>OK</v>
      </c>
      <c r="AJ19" s="10" t="s">
        <v>159</v>
      </c>
      <c r="AK19" s="15">
        <v>46162</v>
      </c>
      <c r="AL19" s="16">
        <f t="shared" si="7"/>
        <v>46527</v>
      </c>
      <c r="AM19" s="10" t="s">
        <v>160</v>
      </c>
    </row>
    <row r="20" spans="1:39" ht="70.05" customHeight="1" x14ac:dyDescent="0.3">
      <c r="A20" s="10" t="s">
        <v>302</v>
      </c>
      <c r="B20" s="10" t="s">
        <v>285</v>
      </c>
      <c r="C20" s="10" t="s">
        <v>286</v>
      </c>
      <c r="D20" s="10" t="s">
        <v>303</v>
      </c>
      <c r="E20" s="10" t="s">
        <v>173</v>
      </c>
      <c r="F20" s="10" t="s">
        <v>190</v>
      </c>
      <c r="G20" s="10" t="s">
        <v>304</v>
      </c>
      <c r="H20" s="10" t="s">
        <v>176</v>
      </c>
      <c r="I20" s="10" t="s">
        <v>148</v>
      </c>
      <c r="J20" s="10" t="s">
        <v>149</v>
      </c>
      <c r="K20" s="10" t="s">
        <v>76</v>
      </c>
      <c r="L20" s="12" t="str">
        <f>IFERROR(INDEX(tbl_impactes[Impacte],MATCH(K20,tbl_impactes[ID_Impacte],0)),"")</f>
        <v>Contaminação do Solo e/ou Recursos Hídricos</v>
      </c>
      <c r="M20" s="10" t="s">
        <v>86</v>
      </c>
      <c r="N20" s="13">
        <v>4</v>
      </c>
      <c r="O20" s="13">
        <v>3</v>
      </c>
      <c r="P20" s="13">
        <v>4</v>
      </c>
      <c r="Q20" s="13">
        <v>1</v>
      </c>
      <c r="R20" s="12" t="str">
        <f t="shared" si="0"/>
        <v>(+) Adverso</v>
      </c>
      <c r="S20" s="11">
        <f t="shared" si="1"/>
        <v>28</v>
      </c>
      <c r="T20" s="12" t="str">
        <f t="shared" si="2"/>
        <v>Moderado</v>
      </c>
      <c r="U20" s="12" t="str">
        <f t="shared" si="3"/>
        <v>IRA 20-39</v>
      </c>
      <c r="V20" s="11">
        <f t="shared" si="4"/>
        <v>9</v>
      </c>
      <c r="W20" s="12" t="str">
        <f t="shared" si="5"/>
        <v>SIM</v>
      </c>
      <c r="X20" s="10" t="s">
        <v>305</v>
      </c>
      <c r="Y20" s="10" t="s">
        <v>306</v>
      </c>
      <c r="Z20" s="14">
        <v>2145</v>
      </c>
      <c r="AA20" s="10" t="s">
        <v>307</v>
      </c>
      <c r="AB20" s="10" t="s">
        <v>308</v>
      </c>
      <c r="AC20" s="10" t="s">
        <v>309</v>
      </c>
      <c r="AD20" s="10" t="s">
        <v>196</v>
      </c>
      <c r="AE20" s="10" t="s">
        <v>211</v>
      </c>
      <c r="AF20" s="10"/>
      <c r="AG20" s="10"/>
      <c r="AH20" s="10" t="s">
        <v>197</v>
      </c>
      <c r="AI20" s="12" t="str">
        <f t="shared" si="6"/>
        <v>OK</v>
      </c>
      <c r="AJ20" s="10" t="s">
        <v>159</v>
      </c>
      <c r="AK20" s="15">
        <v>46162</v>
      </c>
      <c r="AL20" s="16">
        <f t="shared" si="7"/>
        <v>46527</v>
      </c>
      <c r="AM20" s="10" t="s">
        <v>160</v>
      </c>
    </row>
    <row r="21" spans="1:39" ht="70.05" customHeight="1" x14ac:dyDescent="0.3">
      <c r="A21" s="10" t="s">
        <v>310</v>
      </c>
      <c r="B21" s="10" t="s">
        <v>285</v>
      </c>
      <c r="C21" s="10" t="s">
        <v>286</v>
      </c>
      <c r="D21" s="10" t="s">
        <v>311</v>
      </c>
      <c r="E21" s="10" t="s">
        <v>173</v>
      </c>
      <c r="F21" s="10" t="s">
        <v>202</v>
      </c>
      <c r="G21" s="10" t="s">
        <v>312</v>
      </c>
      <c r="H21" s="10" t="s">
        <v>176</v>
      </c>
      <c r="I21" s="10" t="s">
        <v>204</v>
      </c>
      <c r="J21" s="10" t="s">
        <v>205</v>
      </c>
      <c r="K21" s="10" t="s">
        <v>76</v>
      </c>
      <c r="L21" s="12" t="str">
        <f>IFERROR(INDEX(tbl_impactes[Impacte],MATCH(K21,tbl_impactes[ID_Impacte],0)),"")</f>
        <v>Contaminação do Solo e/ou Recursos Hídricos</v>
      </c>
      <c r="M21" s="10" t="s">
        <v>78</v>
      </c>
      <c r="N21" s="13">
        <v>1</v>
      </c>
      <c r="O21" s="13">
        <v>2</v>
      </c>
      <c r="P21" s="13">
        <v>5</v>
      </c>
      <c r="Q21" s="13">
        <v>1</v>
      </c>
      <c r="R21" s="12" t="str">
        <f t="shared" si="0"/>
        <v>(+) Adverso</v>
      </c>
      <c r="S21" s="11">
        <f t="shared" si="1"/>
        <v>15</v>
      </c>
      <c r="T21" s="12" t="str">
        <f t="shared" si="2"/>
        <v>Não Significativo</v>
      </c>
      <c r="U21" s="12" t="str">
        <f t="shared" si="3"/>
        <v>IRA 0-19</v>
      </c>
      <c r="V21" s="11">
        <f t="shared" si="4"/>
        <v>33</v>
      </c>
      <c r="W21" s="12" t="str">
        <f t="shared" si="5"/>
        <v>NÃO</v>
      </c>
      <c r="X21" s="10" t="s">
        <v>313</v>
      </c>
      <c r="Y21" s="10" t="s">
        <v>314</v>
      </c>
      <c r="Z21" s="14"/>
      <c r="AA21" s="10"/>
      <c r="AB21" s="10" t="s">
        <v>315</v>
      </c>
      <c r="AC21" s="10" t="s">
        <v>316</v>
      </c>
      <c r="AD21" s="10" t="s">
        <v>210</v>
      </c>
      <c r="AE21" s="10" t="s">
        <v>211</v>
      </c>
      <c r="AF21" s="10"/>
      <c r="AG21" s="10" t="s">
        <v>212</v>
      </c>
      <c r="AH21" s="10"/>
      <c r="AI21" s="12" t="str">
        <f t="shared" si="6"/>
        <v>OK</v>
      </c>
      <c r="AJ21" s="10" t="s">
        <v>159</v>
      </c>
      <c r="AK21" s="15">
        <v>46162</v>
      </c>
      <c r="AL21" s="16">
        <f t="shared" si="7"/>
        <v>46527</v>
      </c>
      <c r="AM21" s="10" t="s">
        <v>160</v>
      </c>
    </row>
    <row r="22" spans="1:39" ht="70.05" customHeight="1" x14ac:dyDescent="0.3">
      <c r="A22" s="10" t="s">
        <v>317</v>
      </c>
      <c r="B22" s="10" t="s">
        <v>318</v>
      </c>
      <c r="C22" s="10" t="s">
        <v>319</v>
      </c>
      <c r="D22" s="10" t="s">
        <v>320</v>
      </c>
      <c r="E22" s="10" t="s">
        <v>173</v>
      </c>
      <c r="F22" s="10" t="s">
        <v>190</v>
      </c>
      <c r="G22" s="10" t="s">
        <v>321</v>
      </c>
      <c r="H22" s="10" t="s">
        <v>176</v>
      </c>
      <c r="I22" s="10" t="s">
        <v>148</v>
      </c>
      <c r="J22" s="10" t="s">
        <v>149</v>
      </c>
      <c r="K22" s="10" t="s">
        <v>86</v>
      </c>
      <c r="L22" s="12" t="str">
        <f>IFERROR(INDEX(tbl_impactes[Impacte],MATCH(K22,tbl_impactes[ID_Impacte],0)),"")</f>
        <v>Redução da vida útil de aterros e passivos ambientais</v>
      </c>
      <c r="M22" s="10" t="s">
        <v>73</v>
      </c>
      <c r="N22" s="13">
        <v>5</v>
      </c>
      <c r="O22" s="13">
        <v>3</v>
      </c>
      <c r="P22" s="13">
        <v>2</v>
      </c>
      <c r="Q22" s="13">
        <v>1</v>
      </c>
      <c r="R22" s="12" t="str">
        <f t="shared" si="0"/>
        <v>(+) Adverso</v>
      </c>
      <c r="S22" s="11">
        <f t="shared" si="1"/>
        <v>16</v>
      </c>
      <c r="T22" s="12" t="str">
        <f t="shared" si="2"/>
        <v>Não Significativo</v>
      </c>
      <c r="U22" s="12" t="str">
        <f t="shared" si="3"/>
        <v>IRA 0-19</v>
      </c>
      <c r="V22" s="11">
        <f t="shared" si="4"/>
        <v>28</v>
      </c>
      <c r="W22" s="12" t="str">
        <f t="shared" si="5"/>
        <v>NÃO</v>
      </c>
      <c r="X22" s="10" t="s">
        <v>322</v>
      </c>
      <c r="Y22" s="10" t="s">
        <v>166</v>
      </c>
      <c r="Z22" s="14"/>
      <c r="AA22" s="10"/>
      <c r="AB22" s="10" t="s">
        <v>323</v>
      </c>
      <c r="AC22" s="10" t="s">
        <v>324</v>
      </c>
      <c r="AD22" s="10" t="s">
        <v>196</v>
      </c>
      <c r="AE22" s="10"/>
      <c r="AF22" s="10"/>
      <c r="AG22" s="10"/>
      <c r="AH22" s="10" t="s">
        <v>197</v>
      </c>
      <c r="AI22" s="12" t="str">
        <f t="shared" si="6"/>
        <v>OK</v>
      </c>
      <c r="AJ22" s="10" t="s">
        <v>159</v>
      </c>
      <c r="AK22" s="15">
        <v>46162</v>
      </c>
      <c r="AL22" s="16">
        <f t="shared" si="7"/>
        <v>46527</v>
      </c>
      <c r="AM22" s="10" t="s">
        <v>160</v>
      </c>
    </row>
    <row r="23" spans="1:39" ht="70.05" customHeight="1" x14ac:dyDescent="0.3">
      <c r="A23" s="10" t="s">
        <v>325</v>
      </c>
      <c r="B23" s="10" t="s">
        <v>318</v>
      </c>
      <c r="C23" s="10" t="s">
        <v>319</v>
      </c>
      <c r="D23" s="10" t="s">
        <v>320</v>
      </c>
      <c r="E23" s="10" t="s">
        <v>173</v>
      </c>
      <c r="F23" s="10" t="s">
        <v>145</v>
      </c>
      <c r="G23" s="10" t="s">
        <v>326</v>
      </c>
      <c r="H23" s="10" t="s">
        <v>176</v>
      </c>
      <c r="I23" s="10" t="s">
        <v>148</v>
      </c>
      <c r="J23" s="10" t="s">
        <v>149</v>
      </c>
      <c r="K23" s="10" t="s">
        <v>73</v>
      </c>
      <c r="L23" s="12" t="str">
        <f>IFERROR(INDEX(tbl_impactes[Impacte],MATCH(K23,tbl_impactes[ID_Impacte],0)),"")</f>
        <v>Esgotamento de Recursos Naturais / Recursos</v>
      </c>
      <c r="M23" s="10" t="s">
        <v>80</v>
      </c>
      <c r="N23" s="13">
        <v>5</v>
      </c>
      <c r="O23" s="13">
        <v>2</v>
      </c>
      <c r="P23" s="13">
        <v>3</v>
      </c>
      <c r="Q23" s="13">
        <v>1</v>
      </c>
      <c r="R23" s="12" t="str">
        <f t="shared" si="0"/>
        <v>(+) Adverso</v>
      </c>
      <c r="S23" s="11">
        <f t="shared" si="1"/>
        <v>21</v>
      </c>
      <c r="T23" s="12" t="str">
        <f t="shared" si="2"/>
        <v>Moderado</v>
      </c>
      <c r="U23" s="12" t="str">
        <f t="shared" si="3"/>
        <v>IRA 20-39</v>
      </c>
      <c r="V23" s="11">
        <f t="shared" si="4"/>
        <v>22</v>
      </c>
      <c r="W23" s="12" t="str">
        <f t="shared" si="5"/>
        <v>SIM</v>
      </c>
      <c r="X23" s="10" t="s">
        <v>327</v>
      </c>
      <c r="Y23" s="10" t="s">
        <v>166</v>
      </c>
      <c r="Z23" s="14">
        <v>120.1</v>
      </c>
      <c r="AA23" s="10" t="s">
        <v>233</v>
      </c>
      <c r="AB23" s="10" t="s">
        <v>328</v>
      </c>
      <c r="AC23" s="10" t="s">
        <v>329</v>
      </c>
      <c r="AD23" s="10"/>
      <c r="AE23" s="10"/>
      <c r="AF23" s="10" t="s">
        <v>238</v>
      </c>
      <c r="AG23" s="10"/>
      <c r="AH23" s="10" t="s">
        <v>240</v>
      </c>
      <c r="AI23" s="12" t="str">
        <f t="shared" si="6"/>
        <v>OK</v>
      </c>
      <c r="AJ23" s="10" t="s">
        <v>159</v>
      </c>
      <c r="AK23" s="15">
        <v>46162</v>
      </c>
      <c r="AL23" s="16">
        <f t="shared" si="7"/>
        <v>46527</v>
      </c>
      <c r="AM23" s="10" t="s">
        <v>160</v>
      </c>
    </row>
    <row r="24" spans="1:39" ht="70.05" customHeight="1" x14ac:dyDescent="0.3">
      <c r="A24" s="10" t="s">
        <v>330</v>
      </c>
      <c r="B24" s="10" t="s">
        <v>331</v>
      </c>
      <c r="C24" s="10" t="s">
        <v>332</v>
      </c>
      <c r="D24" s="10" t="s">
        <v>333</v>
      </c>
      <c r="E24" s="10" t="s">
        <v>173</v>
      </c>
      <c r="F24" s="10" t="s">
        <v>145</v>
      </c>
      <c r="G24" s="10" t="s">
        <v>334</v>
      </c>
      <c r="H24" s="10" t="s">
        <v>176</v>
      </c>
      <c r="I24" s="10" t="s">
        <v>148</v>
      </c>
      <c r="J24" s="10" t="s">
        <v>149</v>
      </c>
      <c r="K24" s="10" t="s">
        <v>93</v>
      </c>
      <c r="L24" s="12" t="str">
        <f>IFERROR(INDEX(tbl_impactes[Impacte],MATCH(K24,tbl_impactes[ID_Impacte],0)),"")</f>
        <v>Otimização do Consumo de Matérias-Primas (poupança ou geração de novos recursos)</v>
      </c>
      <c r="M24" s="10" t="s">
        <v>90</v>
      </c>
      <c r="N24" s="13">
        <v>5</v>
      </c>
      <c r="O24" s="13">
        <v>4</v>
      </c>
      <c r="P24" s="13">
        <v>-1</v>
      </c>
      <c r="Q24" s="13">
        <v>1</v>
      </c>
      <c r="R24" s="12" t="str">
        <f t="shared" si="0"/>
        <v>(-) Benéfico</v>
      </c>
      <c r="S24" s="11">
        <f t="shared" si="1"/>
        <v>-9</v>
      </c>
      <c r="T24" s="12" t="str">
        <f t="shared" si="2"/>
        <v>Oportunidade Tática</v>
      </c>
      <c r="U24" s="12" t="str">
        <f t="shared" si="3"/>
        <v>IRA -1 a -14</v>
      </c>
      <c r="V24" s="11">
        <f t="shared" si="4"/>
        <v>41</v>
      </c>
      <c r="W24" s="12" t="str">
        <f t="shared" si="5"/>
        <v>NÃO</v>
      </c>
      <c r="X24" s="10" t="s">
        <v>335</v>
      </c>
      <c r="Y24" s="10" t="s">
        <v>244</v>
      </c>
      <c r="Z24" s="14">
        <v>12.8</v>
      </c>
      <c r="AA24" s="10" t="s">
        <v>152</v>
      </c>
      <c r="AB24" s="10" t="s">
        <v>336</v>
      </c>
      <c r="AC24" s="10" t="s">
        <v>337</v>
      </c>
      <c r="AD24" s="10"/>
      <c r="AE24" s="10" t="s">
        <v>247</v>
      </c>
      <c r="AF24" s="10" t="s">
        <v>156</v>
      </c>
      <c r="AG24" s="10"/>
      <c r="AH24" s="10" t="s">
        <v>248</v>
      </c>
      <c r="AI24" s="12" t="str">
        <f t="shared" si="6"/>
        <v>OK</v>
      </c>
      <c r="AJ24" s="10" t="s">
        <v>159</v>
      </c>
      <c r="AK24" s="15">
        <v>46162</v>
      </c>
      <c r="AL24" s="16">
        <f t="shared" si="7"/>
        <v>46527</v>
      </c>
      <c r="AM24" s="10" t="s">
        <v>160</v>
      </c>
    </row>
    <row r="25" spans="1:39" ht="70.05" customHeight="1" x14ac:dyDescent="0.3">
      <c r="A25" s="10" t="s">
        <v>338</v>
      </c>
      <c r="B25" s="10" t="s">
        <v>339</v>
      </c>
      <c r="C25" s="10" t="s">
        <v>340</v>
      </c>
      <c r="D25" s="10" t="s">
        <v>341</v>
      </c>
      <c r="E25" s="10" t="s">
        <v>173</v>
      </c>
      <c r="F25" s="10" t="s">
        <v>145</v>
      </c>
      <c r="G25" s="10" t="s">
        <v>342</v>
      </c>
      <c r="H25" s="10" t="s">
        <v>176</v>
      </c>
      <c r="I25" s="10" t="s">
        <v>148</v>
      </c>
      <c r="J25" s="10" t="s">
        <v>149</v>
      </c>
      <c r="K25" s="10" t="s">
        <v>73</v>
      </c>
      <c r="L25" s="12" t="str">
        <f>IFERROR(INDEX(tbl_impactes[Impacte],MATCH(K25,tbl_impactes[ID_Impacte],0)),"")</f>
        <v>Esgotamento de Recursos Naturais / Recursos</v>
      </c>
      <c r="M25" s="10" t="s">
        <v>80</v>
      </c>
      <c r="N25" s="13">
        <v>5</v>
      </c>
      <c r="O25" s="13">
        <v>4</v>
      </c>
      <c r="P25" s="13">
        <v>3</v>
      </c>
      <c r="Q25" s="13">
        <v>1</v>
      </c>
      <c r="R25" s="12" t="str">
        <f t="shared" si="0"/>
        <v>(+) Adverso</v>
      </c>
      <c r="S25" s="11">
        <f t="shared" si="1"/>
        <v>27</v>
      </c>
      <c r="T25" s="12" t="str">
        <f t="shared" si="2"/>
        <v>Moderado</v>
      </c>
      <c r="U25" s="12" t="str">
        <f t="shared" si="3"/>
        <v>IRA 20-39</v>
      </c>
      <c r="V25" s="11">
        <f t="shared" si="4"/>
        <v>12</v>
      </c>
      <c r="W25" s="12" t="str">
        <f t="shared" si="5"/>
        <v>SIM</v>
      </c>
      <c r="X25" s="10" t="s">
        <v>343</v>
      </c>
      <c r="Y25" s="10" t="s">
        <v>344</v>
      </c>
      <c r="Z25" s="14">
        <v>1035.2</v>
      </c>
      <c r="AA25" s="10" t="s">
        <v>233</v>
      </c>
      <c r="AB25" s="10" t="s">
        <v>328</v>
      </c>
      <c r="AC25" s="10" t="s">
        <v>345</v>
      </c>
      <c r="AD25" s="10" t="s">
        <v>236</v>
      </c>
      <c r="AE25" s="10" t="s">
        <v>237</v>
      </c>
      <c r="AF25" s="10" t="s">
        <v>238</v>
      </c>
      <c r="AG25" s="10" t="s">
        <v>346</v>
      </c>
      <c r="AH25" s="10" t="s">
        <v>347</v>
      </c>
      <c r="AI25" s="12" t="str">
        <f t="shared" si="6"/>
        <v>OK</v>
      </c>
      <c r="AJ25" s="10" t="s">
        <v>159</v>
      </c>
      <c r="AK25" s="15">
        <v>46162</v>
      </c>
      <c r="AL25" s="16">
        <f t="shared" si="7"/>
        <v>46527</v>
      </c>
      <c r="AM25" s="10" t="s">
        <v>160</v>
      </c>
    </row>
    <row r="26" spans="1:39" ht="70.05" customHeight="1" x14ac:dyDescent="0.3">
      <c r="A26" s="10" t="s">
        <v>348</v>
      </c>
      <c r="B26" s="10" t="s">
        <v>339</v>
      </c>
      <c r="C26" s="10" t="s">
        <v>340</v>
      </c>
      <c r="D26" s="10" t="s">
        <v>349</v>
      </c>
      <c r="E26" s="10" t="s">
        <v>173</v>
      </c>
      <c r="F26" s="10" t="s">
        <v>350</v>
      </c>
      <c r="G26" s="10" t="s">
        <v>351</v>
      </c>
      <c r="H26" s="10" t="s">
        <v>176</v>
      </c>
      <c r="I26" s="10" t="s">
        <v>148</v>
      </c>
      <c r="J26" s="10" t="s">
        <v>149</v>
      </c>
      <c r="K26" s="10" t="s">
        <v>82</v>
      </c>
      <c r="L26" s="12" t="str">
        <f>IFERROR(INDEX(tbl_impactes[Impacte],MATCH(K26,tbl_impactes[ID_Impacte],0)),"")</f>
        <v>Incomodidade da Vizinhança</v>
      </c>
      <c r="M26" s="10"/>
      <c r="N26" s="13">
        <v>5</v>
      </c>
      <c r="O26" s="13">
        <v>3</v>
      </c>
      <c r="P26" s="13">
        <v>2</v>
      </c>
      <c r="Q26" s="13">
        <v>2</v>
      </c>
      <c r="R26" s="12" t="str">
        <f t="shared" si="0"/>
        <v>(+) Adverso</v>
      </c>
      <c r="S26" s="11">
        <f t="shared" si="1"/>
        <v>32</v>
      </c>
      <c r="T26" s="12" t="str">
        <f t="shared" si="2"/>
        <v>ASPETO AMBIENTAL SIGNIFICATIVO (AAS)</v>
      </c>
      <c r="U26" s="12" t="str">
        <f t="shared" si="3"/>
        <v>Regra de ouro (L=2)</v>
      </c>
      <c r="V26" s="11">
        <f t="shared" si="4"/>
        <v>3</v>
      </c>
      <c r="W26" s="12" t="str">
        <f t="shared" si="5"/>
        <v>SIM</v>
      </c>
      <c r="X26" s="10" t="s">
        <v>352</v>
      </c>
      <c r="Y26" s="10" t="s">
        <v>353</v>
      </c>
      <c r="Z26" s="14"/>
      <c r="AA26" s="10"/>
      <c r="AB26" s="10" t="s">
        <v>354</v>
      </c>
      <c r="AC26" s="10" t="s">
        <v>355</v>
      </c>
      <c r="AD26" s="10" t="s">
        <v>356</v>
      </c>
      <c r="AE26" s="10" t="s">
        <v>357</v>
      </c>
      <c r="AF26" s="10"/>
      <c r="AG26" s="10" t="s">
        <v>358</v>
      </c>
      <c r="AH26" s="10" t="s">
        <v>359</v>
      </c>
      <c r="AI26" s="12" t="str">
        <f t="shared" si="6"/>
        <v>OK</v>
      </c>
      <c r="AJ26" s="10" t="s">
        <v>159</v>
      </c>
      <c r="AK26" s="15">
        <v>46162</v>
      </c>
      <c r="AL26" s="16">
        <f t="shared" si="7"/>
        <v>46527</v>
      </c>
      <c r="AM26" s="10" t="s">
        <v>160</v>
      </c>
    </row>
    <row r="27" spans="1:39" ht="70.05" customHeight="1" x14ac:dyDescent="0.3">
      <c r="A27" s="10" t="s">
        <v>360</v>
      </c>
      <c r="B27" s="10" t="s">
        <v>339</v>
      </c>
      <c r="C27" s="10" t="s">
        <v>340</v>
      </c>
      <c r="D27" s="10" t="s">
        <v>361</v>
      </c>
      <c r="E27" s="10" t="s">
        <v>173</v>
      </c>
      <c r="F27" s="10" t="s">
        <v>145</v>
      </c>
      <c r="G27" s="10" t="s">
        <v>362</v>
      </c>
      <c r="H27" s="10" t="s">
        <v>176</v>
      </c>
      <c r="I27" s="10" t="s">
        <v>148</v>
      </c>
      <c r="J27" s="10" t="s">
        <v>149</v>
      </c>
      <c r="K27" s="10" t="s">
        <v>73</v>
      </c>
      <c r="L27" s="12" t="str">
        <f>IFERROR(INDEX(tbl_impactes[Impacte],MATCH(K27,tbl_impactes[ID_Impacte],0)),"")</f>
        <v>Esgotamento de Recursos Naturais / Recursos</v>
      </c>
      <c r="M27" s="10"/>
      <c r="N27" s="13">
        <v>5</v>
      </c>
      <c r="O27" s="13">
        <v>4</v>
      </c>
      <c r="P27" s="13">
        <v>3</v>
      </c>
      <c r="Q27" s="13">
        <v>1</v>
      </c>
      <c r="R27" s="12" t="str">
        <f t="shared" si="0"/>
        <v>(+) Adverso</v>
      </c>
      <c r="S27" s="11">
        <f t="shared" si="1"/>
        <v>27</v>
      </c>
      <c r="T27" s="12" t="str">
        <f t="shared" si="2"/>
        <v>Moderado</v>
      </c>
      <c r="U27" s="12" t="str">
        <f t="shared" si="3"/>
        <v>IRA 20-39</v>
      </c>
      <c r="V27" s="11">
        <f t="shared" si="4"/>
        <v>12</v>
      </c>
      <c r="W27" s="12" t="str">
        <f t="shared" si="5"/>
        <v>SIM</v>
      </c>
      <c r="X27" s="10" t="s">
        <v>363</v>
      </c>
      <c r="Y27" s="10" t="s">
        <v>364</v>
      </c>
      <c r="Z27" s="14">
        <v>8330</v>
      </c>
      <c r="AA27" s="10" t="s">
        <v>365</v>
      </c>
      <c r="AB27" s="10" t="s">
        <v>366</v>
      </c>
      <c r="AC27" s="10" t="s">
        <v>367</v>
      </c>
      <c r="AD27" s="10" t="s">
        <v>368</v>
      </c>
      <c r="AE27" s="10" t="s">
        <v>369</v>
      </c>
      <c r="AF27" s="10" t="s">
        <v>370</v>
      </c>
      <c r="AG27" s="10" t="s">
        <v>371</v>
      </c>
      <c r="AH27" s="10" t="s">
        <v>372</v>
      </c>
      <c r="AI27" s="12" t="str">
        <f t="shared" si="6"/>
        <v>OK</v>
      </c>
      <c r="AJ27" s="10" t="s">
        <v>159</v>
      </c>
      <c r="AK27" s="15">
        <v>46162</v>
      </c>
      <c r="AL27" s="16">
        <f t="shared" si="7"/>
        <v>46527</v>
      </c>
      <c r="AM27" s="10" t="s">
        <v>160</v>
      </c>
    </row>
    <row r="28" spans="1:39" ht="70.05" customHeight="1" x14ac:dyDescent="0.3">
      <c r="A28" s="10" t="s">
        <v>373</v>
      </c>
      <c r="B28" s="10" t="s">
        <v>339</v>
      </c>
      <c r="C28" s="10" t="s">
        <v>340</v>
      </c>
      <c r="D28" s="10" t="s">
        <v>374</v>
      </c>
      <c r="E28" s="10" t="s">
        <v>173</v>
      </c>
      <c r="F28" s="10" t="s">
        <v>375</v>
      </c>
      <c r="G28" s="10" t="s">
        <v>376</v>
      </c>
      <c r="H28" s="10" t="s">
        <v>176</v>
      </c>
      <c r="I28" s="10" t="s">
        <v>148</v>
      </c>
      <c r="J28" s="10" t="s">
        <v>149</v>
      </c>
      <c r="K28" s="10" t="s">
        <v>76</v>
      </c>
      <c r="L28" s="12" t="str">
        <f>IFERROR(INDEX(tbl_impactes[Impacte],MATCH(K28,tbl_impactes[ID_Impacte],0)),"")</f>
        <v>Contaminação do Solo e/ou Recursos Hídricos</v>
      </c>
      <c r="M28" s="10"/>
      <c r="N28" s="13">
        <v>4</v>
      </c>
      <c r="O28" s="13">
        <v>3</v>
      </c>
      <c r="P28" s="13">
        <v>4</v>
      </c>
      <c r="Q28" s="13">
        <v>1</v>
      </c>
      <c r="R28" s="12" t="str">
        <f t="shared" si="0"/>
        <v>(+) Adverso</v>
      </c>
      <c r="S28" s="11">
        <f t="shared" si="1"/>
        <v>28</v>
      </c>
      <c r="T28" s="12" t="str">
        <f t="shared" si="2"/>
        <v>Moderado</v>
      </c>
      <c r="U28" s="12" t="str">
        <f t="shared" si="3"/>
        <v>IRA 20-39</v>
      </c>
      <c r="V28" s="11">
        <f t="shared" si="4"/>
        <v>9</v>
      </c>
      <c r="W28" s="12" t="str">
        <f t="shared" si="5"/>
        <v>SIM</v>
      </c>
      <c r="X28" s="10" t="s">
        <v>377</v>
      </c>
      <c r="Y28" s="10" t="s">
        <v>378</v>
      </c>
      <c r="Z28" s="14"/>
      <c r="AA28" s="10"/>
      <c r="AB28" s="10" t="s">
        <v>379</v>
      </c>
      <c r="AC28" s="10" t="s">
        <v>380</v>
      </c>
      <c r="AD28" s="10" t="s">
        <v>368</v>
      </c>
      <c r="AE28" s="10"/>
      <c r="AF28" s="10"/>
      <c r="AG28" s="10"/>
      <c r="AH28" s="10" t="s">
        <v>381</v>
      </c>
      <c r="AI28" s="12" t="str">
        <f t="shared" si="6"/>
        <v>OK</v>
      </c>
      <c r="AJ28" s="10" t="s">
        <v>159</v>
      </c>
      <c r="AK28" s="15">
        <v>46162</v>
      </c>
      <c r="AL28" s="16">
        <f t="shared" si="7"/>
        <v>46527</v>
      </c>
      <c r="AM28" s="10" t="s">
        <v>160</v>
      </c>
    </row>
    <row r="29" spans="1:39" ht="70.05" customHeight="1" x14ac:dyDescent="0.3">
      <c r="A29" s="10" t="s">
        <v>382</v>
      </c>
      <c r="B29" s="10" t="s">
        <v>339</v>
      </c>
      <c r="C29" s="10" t="s">
        <v>340</v>
      </c>
      <c r="D29" s="10" t="s">
        <v>383</v>
      </c>
      <c r="E29" s="10" t="s">
        <v>173</v>
      </c>
      <c r="F29" s="10" t="s">
        <v>384</v>
      </c>
      <c r="G29" s="10" t="s">
        <v>385</v>
      </c>
      <c r="H29" s="10" t="s">
        <v>176</v>
      </c>
      <c r="I29" s="10" t="s">
        <v>204</v>
      </c>
      <c r="J29" s="10" t="s">
        <v>386</v>
      </c>
      <c r="K29" s="10" t="s">
        <v>80</v>
      </c>
      <c r="L29" s="12" t="str">
        <f>IFERROR(INDEX(tbl_impactes[Impacte],MATCH(K29,tbl_impactes[ID_Impacte],0)),"")</f>
        <v>Mudanças Climáticas</v>
      </c>
      <c r="M29" s="10"/>
      <c r="N29" s="13">
        <v>1</v>
      </c>
      <c r="O29" s="13">
        <v>1</v>
      </c>
      <c r="P29" s="13">
        <v>5</v>
      </c>
      <c r="Q29" s="13">
        <v>1</v>
      </c>
      <c r="R29" s="12" t="str">
        <f t="shared" si="0"/>
        <v>(+) Adverso</v>
      </c>
      <c r="S29" s="11">
        <f t="shared" si="1"/>
        <v>10</v>
      </c>
      <c r="T29" s="12" t="str">
        <f t="shared" si="2"/>
        <v>Não Significativo</v>
      </c>
      <c r="U29" s="12" t="str">
        <f t="shared" si="3"/>
        <v>IRA 0-19</v>
      </c>
      <c r="V29" s="11">
        <f t="shared" si="4"/>
        <v>37</v>
      </c>
      <c r="W29" s="12" t="str">
        <f t="shared" si="5"/>
        <v>NÃO</v>
      </c>
      <c r="X29" s="10" t="s">
        <v>387</v>
      </c>
      <c r="Y29" s="10" t="s">
        <v>388</v>
      </c>
      <c r="Z29" s="14">
        <v>3.2</v>
      </c>
      <c r="AA29" s="10" t="s">
        <v>389</v>
      </c>
      <c r="AB29" s="10" t="s">
        <v>390</v>
      </c>
      <c r="AC29" s="10" t="s">
        <v>391</v>
      </c>
      <c r="AD29" s="10" t="s">
        <v>392</v>
      </c>
      <c r="AE29" s="10"/>
      <c r="AF29" s="10"/>
      <c r="AG29" s="10"/>
      <c r="AH29" s="10"/>
      <c r="AI29" s="12" t="str">
        <f t="shared" si="6"/>
        <v>OK</v>
      </c>
      <c r="AJ29" s="10" t="s">
        <v>159</v>
      </c>
      <c r="AK29" s="15">
        <v>46162</v>
      </c>
      <c r="AL29" s="16">
        <f t="shared" si="7"/>
        <v>46527</v>
      </c>
      <c r="AM29" s="10" t="s">
        <v>160</v>
      </c>
    </row>
    <row r="30" spans="1:39" ht="70.05" customHeight="1" x14ac:dyDescent="0.3">
      <c r="A30" s="10" t="s">
        <v>393</v>
      </c>
      <c r="B30" s="10" t="s">
        <v>394</v>
      </c>
      <c r="C30" s="10" t="s">
        <v>395</v>
      </c>
      <c r="D30" s="10" t="s">
        <v>396</v>
      </c>
      <c r="E30" s="10" t="s">
        <v>173</v>
      </c>
      <c r="F30" s="10" t="s">
        <v>190</v>
      </c>
      <c r="G30" s="10" t="s">
        <v>397</v>
      </c>
      <c r="H30" s="10" t="s">
        <v>176</v>
      </c>
      <c r="I30" s="10" t="s">
        <v>218</v>
      </c>
      <c r="J30" s="10" t="s">
        <v>149</v>
      </c>
      <c r="K30" s="10" t="s">
        <v>76</v>
      </c>
      <c r="L30" s="12" t="str">
        <f>IFERROR(INDEX(tbl_impactes[Impacte],MATCH(K30,tbl_impactes[ID_Impacte],0)),"")</f>
        <v>Contaminação do Solo e/ou Recursos Hídricos</v>
      </c>
      <c r="M30" s="10" t="s">
        <v>86</v>
      </c>
      <c r="N30" s="13">
        <v>2</v>
      </c>
      <c r="O30" s="13">
        <v>3</v>
      </c>
      <c r="P30" s="13">
        <v>4</v>
      </c>
      <c r="Q30" s="13">
        <v>1</v>
      </c>
      <c r="R30" s="12" t="str">
        <f t="shared" si="0"/>
        <v>(+) Adverso</v>
      </c>
      <c r="S30" s="11">
        <f t="shared" si="1"/>
        <v>20</v>
      </c>
      <c r="T30" s="12" t="str">
        <f t="shared" si="2"/>
        <v>Moderado</v>
      </c>
      <c r="U30" s="12" t="str">
        <f t="shared" si="3"/>
        <v>IRA 20-39</v>
      </c>
      <c r="V30" s="11">
        <f t="shared" si="4"/>
        <v>24</v>
      </c>
      <c r="W30" s="12" t="str">
        <f t="shared" si="5"/>
        <v>SIM</v>
      </c>
      <c r="X30" s="10" t="s">
        <v>398</v>
      </c>
      <c r="Y30" s="10" t="s">
        <v>399</v>
      </c>
      <c r="Z30" s="14"/>
      <c r="AA30" s="10"/>
      <c r="AB30" s="10" t="s">
        <v>308</v>
      </c>
      <c r="AC30" s="10" t="s">
        <v>400</v>
      </c>
      <c r="AD30" s="10" t="s">
        <v>196</v>
      </c>
      <c r="AE30" s="10"/>
      <c r="AF30" s="10"/>
      <c r="AG30" s="10"/>
      <c r="AH30" s="10" t="s">
        <v>197</v>
      </c>
      <c r="AI30" s="12" t="str">
        <f t="shared" si="6"/>
        <v>OK</v>
      </c>
      <c r="AJ30" s="10" t="s">
        <v>159</v>
      </c>
      <c r="AK30" s="15">
        <v>46162</v>
      </c>
      <c r="AL30" s="16">
        <f t="shared" si="7"/>
        <v>46527</v>
      </c>
      <c r="AM30" s="10" t="s">
        <v>160</v>
      </c>
    </row>
    <row r="31" spans="1:39" ht="70.05" customHeight="1" x14ac:dyDescent="0.3">
      <c r="A31" s="10" t="s">
        <v>401</v>
      </c>
      <c r="B31" s="10" t="s">
        <v>402</v>
      </c>
      <c r="C31" s="10" t="s">
        <v>403</v>
      </c>
      <c r="D31" s="10" t="s">
        <v>404</v>
      </c>
      <c r="E31" s="10" t="s">
        <v>405</v>
      </c>
      <c r="F31" s="10" t="s">
        <v>202</v>
      </c>
      <c r="G31" s="10" t="s">
        <v>406</v>
      </c>
      <c r="H31" s="10" t="s">
        <v>176</v>
      </c>
      <c r="I31" s="10" t="s">
        <v>218</v>
      </c>
      <c r="J31" s="10" t="s">
        <v>149</v>
      </c>
      <c r="K31" s="10" t="s">
        <v>76</v>
      </c>
      <c r="L31" s="12" t="str">
        <f>IFERROR(INDEX(tbl_impactes[Impacte],MATCH(K31,tbl_impactes[ID_Impacte],0)),"")</f>
        <v>Contaminação do Solo e/ou Recursos Hídricos</v>
      </c>
      <c r="M31" s="10"/>
      <c r="N31" s="13">
        <v>2</v>
      </c>
      <c r="O31" s="13">
        <v>2</v>
      </c>
      <c r="P31" s="13">
        <v>4</v>
      </c>
      <c r="Q31" s="13">
        <v>1</v>
      </c>
      <c r="R31" s="12" t="str">
        <f t="shared" si="0"/>
        <v>(+) Adverso</v>
      </c>
      <c r="S31" s="11">
        <f t="shared" si="1"/>
        <v>16</v>
      </c>
      <c r="T31" s="12" t="str">
        <f t="shared" si="2"/>
        <v>Não Significativo</v>
      </c>
      <c r="U31" s="12" t="str">
        <f t="shared" si="3"/>
        <v>IRA 0-19</v>
      </c>
      <c r="V31" s="11">
        <f t="shared" si="4"/>
        <v>28</v>
      </c>
      <c r="W31" s="12" t="str">
        <f t="shared" si="5"/>
        <v>NÃO</v>
      </c>
      <c r="X31" s="10" t="s">
        <v>407</v>
      </c>
      <c r="Y31" s="10" t="s">
        <v>408</v>
      </c>
      <c r="Z31" s="14"/>
      <c r="AA31" s="10"/>
      <c r="AB31" s="10" t="s">
        <v>221</v>
      </c>
      <c r="AC31" s="10" t="s">
        <v>409</v>
      </c>
      <c r="AD31" s="10" t="s">
        <v>196</v>
      </c>
      <c r="AE31" s="10" t="s">
        <v>211</v>
      </c>
      <c r="AF31" s="10"/>
      <c r="AG31" s="10"/>
      <c r="AH31" s="10" t="s">
        <v>213</v>
      </c>
      <c r="AI31" s="12" t="str">
        <f t="shared" si="6"/>
        <v>OK</v>
      </c>
      <c r="AJ31" s="10" t="s">
        <v>159</v>
      </c>
      <c r="AK31" s="15">
        <v>46162</v>
      </c>
      <c r="AL31" s="16">
        <f t="shared" si="7"/>
        <v>46527</v>
      </c>
      <c r="AM31" s="10" t="s">
        <v>160</v>
      </c>
    </row>
    <row r="32" spans="1:39" ht="70.05" customHeight="1" x14ac:dyDescent="0.3">
      <c r="A32" s="10" t="s">
        <v>410</v>
      </c>
      <c r="B32" s="10" t="s">
        <v>402</v>
      </c>
      <c r="C32" s="10" t="s">
        <v>403</v>
      </c>
      <c r="D32" s="10" t="s">
        <v>411</v>
      </c>
      <c r="E32" s="10" t="s">
        <v>405</v>
      </c>
      <c r="F32" s="10" t="s">
        <v>190</v>
      </c>
      <c r="G32" s="10" t="s">
        <v>412</v>
      </c>
      <c r="H32" s="10" t="s">
        <v>147</v>
      </c>
      <c r="I32" s="10" t="s">
        <v>148</v>
      </c>
      <c r="J32" s="10" t="s">
        <v>149</v>
      </c>
      <c r="K32" s="10" t="s">
        <v>95</v>
      </c>
      <c r="L32" s="12" t="str">
        <f>IFERROR(INDEX(tbl_impactes[Impacte],MATCH(K32,tbl_impactes[ID_Impacte],0)),"")</f>
        <v>Extensão do ciclo de vida de materiais (conversão de resíduos em subprodutos)</v>
      </c>
      <c r="M32" s="10" t="s">
        <v>97</v>
      </c>
      <c r="N32" s="13">
        <v>4</v>
      </c>
      <c r="O32" s="13">
        <v>3</v>
      </c>
      <c r="P32" s="13">
        <v>-1</v>
      </c>
      <c r="Q32" s="13">
        <v>1</v>
      </c>
      <c r="R32" s="12" t="str">
        <f t="shared" si="0"/>
        <v>(-) Benéfico</v>
      </c>
      <c r="S32" s="11">
        <f t="shared" si="1"/>
        <v>-7</v>
      </c>
      <c r="T32" s="12" t="str">
        <f t="shared" si="2"/>
        <v>Oportunidade Tática</v>
      </c>
      <c r="U32" s="12" t="str">
        <f t="shared" si="3"/>
        <v>IRA -1 a -14</v>
      </c>
      <c r="V32" s="11">
        <f t="shared" si="4"/>
        <v>40</v>
      </c>
      <c r="W32" s="12" t="str">
        <f t="shared" si="5"/>
        <v>NÃO</v>
      </c>
      <c r="X32" s="10" t="s">
        <v>413</v>
      </c>
      <c r="Y32" s="10" t="s">
        <v>414</v>
      </c>
      <c r="Z32" s="14"/>
      <c r="AA32" s="10"/>
      <c r="AB32" s="10" t="s">
        <v>415</v>
      </c>
      <c r="AC32" s="10" t="s">
        <v>416</v>
      </c>
      <c r="AD32" s="10" t="s">
        <v>196</v>
      </c>
      <c r="AE32" s="10"/>
      <c r="AF32" s="10"/>
      <c r="AG32" s="10"/>
      <c r="AH32" s="10" t="s">
        <v>197</v>
      </c>
      <c r="AI32" s="12" t="str">
        <f t="shared" si="6"/>
        <v>OK</v>
      </c>
      <c r="AJ32" s="10" t="s">
        <v>159</v>
      </c>
      <c r="AK32" s="15">
        <v>46162</v>
      </c>
      <c r="AL32" s="16">
        <f t="shared" si="7"/>
        <v>46527</v>
      </c>
      <c r="AM32" s="10" t="s">
        <v>160</v>
      </c>
    </row>
    <row r="33" spans="1:39" ht="70.05" customHeight="1" x14ac:dyDescent="0.3">
      <c r="A33" s="10" t="s">
        <v>417</v>
      </c>
      <c r="B33" s="10" t="s">
        <v>418</v>
      </c>
      <c r="C33" s="10" t="s">
        <v>419</v>
      </c>
      <c r="D33" s="10" t="s">
        <v>420</v>
      </c>
      <c r="E33" s="10" t="s">
        <v>173</v>
      </c>
      <c r="F33" s="10" t="s">
        <v>190</v>
      </c>
      <c r="G33" s="10" t="s">
        <v>421</v>
      </c>
      <c r="H33" s="10" t="s">
        <v>176</v>
      </c>
      <c r="I33" s="10" t="s">
        <v>148</v>
      </c>
      <c r="J33" s="10" t="s">
        <v>149</v>
      </c>
      <c r="K33" s="10" t="s">
        <v>86</v>
      </c>
      <c r="L33" s="12" t="str">
        <f>IFERROR(INDEX(tbl_impactes[Impacte],MATCH(K33,tbl_impactes[ID_Impacte],0)),"")</f>
        <v>Redução da vida útil de aterros e passivos ambientais</v>
      </c>
      <c r="M33" s="10"/>
      <c r="N33" s="13">
        <v>5</v>
      </c>
      <c r="O33" s="13">
        <v>3</v>
      </c>
      <c r="P33" s="13">
        <v>2</v>
      </c>
      <c r="Q33" s="13">
        <v>1</v>
      </c>
      <c r="R33" s="12" t="str">
        <f t="shared" si="0"/>
        <v>(+) Adverso</v>
      </c>
      <c r="S33" s="11">
        <f t="shared" si="1"/>
        <v>16</v>
      </c>
      <c r="T33" s="12" t="str">
        <f t="shared" si="2"/>
        <v>Não Significativo</v>
      </c>
      <c r="U33" s="12" t="str">
        <f t="shared" si="3"/>
        <v>IRA 0-19</v>
      </c>
      <c r="V33" s="11">
        <f t="shared" si="4"/>
        <v>28</v>
      </c>
      <c r="W33" s="12" t="str">
        <f t="shared" si="5"/>
        <v>NÃO</v>
      </c>
      <c r="X33" s="10" t="s">
        <v>422</v>
      </c>
      <c r="Y33" s="10" t="s">
        <v>423</v>
      </c>
      <c r="Z33" s="14"/>
      <c r="AA33" s="10"/>
      <c r="AB33" s="10" t="s">
        <v>424</v>
      </c>
      <c r="AC33" s="10" t="s">
        <v>425</v>
      </c>
      <c r="AD33" s="10" t="s">
        <v>196</v>
      </c>
      <c r="AE33" s="10"/>
      <c r="AF33" s="10"/>
      <c r="AG33" s="10"/>
      <c r="AH33" s="10" t="s">
        <v>197</v>
      </c>
      <c r="AI33" s="12" t="str">
        <f t="shared" si="6"/>
        <v>OK</v>
      </c>
      <c r="AJ33" s="10" t="s">
        <v>159</v>
      </c>
      <c r="AK33" s="15">
        <v>46162</v>
      </c>
      <c r="AL33" s="16">
        <f t="shared" si="7"/>
        <v>46527</v>
      </c>
      <c r="AM33" s="10" t="s">
        <v>160</v>
      </c>
    </row>
    <row r="34" spans="1:39" ht="70.05" customHeight="1" x14ac:dyDescent="0.3">
      <c r="A34" s="10" t="s">
        <v>426</v>
      </c>
      <c r="B34" s="10" t="s">
        <v>418</v>
      </c>
      <c r="C34" s="10" t="s">
        <v>419</v>
      </c>
      <c r="D34" s="10" t="s">
        <v>427</v>
      </c>
      <c r="E34" s="10" t="s">
        <v>173</v>
      </c>
      <c r="F34" s="10" t="s">
        <v>145</v>
      </c>
      <c r="G34" s="10" t="s">
        <v>428</v>
      </c>
      <c r="H34" s="10" t="s">
        <v>176</v>
      </c>
      <c r="I34" s="10" t="s">
        <v>148</v>
      </c>
      <c r="J34" s="10" t="s">
        <v>149</v>
      </c>
      <c r="K34" s="10" t="s">
        <v>73</v>
      </c>
      <c r="L34" s="12" t="str">
        <f>IFERROR(INDEX(tbl_impactes[Impacte],MATCH(K34,tbl_impactes[ID_Impacte],0)),"")</f>
        <v>Esgotamento de Recursos Naturais / Recursos</v>
      </c>
      <c r="M34" s="10" t="s">
        <v>80</v>
      </c>
      <c r="N34" s="13">
        <v>5</v>
      </c>
      <c r="O34" s="13">
        <v>3</v>
      </c>
      <c r="P34" s="13">
        <v>3</v>
      </c>
      <c r="Q34" s="13">
        <v>1</v>
      </c>
      <c r="R34" s="12" t="str">
        <f t="shared" si="0"/>
        <v>(+) Adverso</v>
      </c>
      <c r="S34" s="11">
        <f t="shared" si="1"/>
        <v>24</v>
      </c>
      <c r="T34" s="12" t="str">
        <f t="shared" si="2"/>
        <v>Moderado</v>
      </c>
      <c r="U34" s="12" t="str">
        <f t="shared" si="3"/>
        <v>IRA 20-39</v>
      </c>
      <c r="V34" s="11">
        <f t="shared" si="4"/>
        <v>18</v>
      </c>
      <c r="W34" s="12" t="str">
        <f t="shared" si="5"/>
        <v>SIM</v>
      </c>
      <c r="X34" s="10" t="s">
        <v>429</v>
      </c>
      <c r="Y34" s="10" t="s">
        <v>166</v>
      </c>
      <c r="Z34" s="14">
        <v>553.9</v>
      </c>
      <c r="AA34" s="10" t="s">
        <v>233</v>
      </c>
      <c r="AB34" s="10" t="s">
        <v>328</v>
      </c>
      <c r="AC34" s="10" t="s">
        <v>430</v>
      </c>
      <c r="AD34" s="10"/>
      <c r="AE34" s="10"/>
      <c r="AF34" s="10" t="s">
        <v>238</v>
      </c>
      <c r="AG34" s="10"/>
      <c r="AH34" s="10" t="s">
        <v>240</v>
      </c>
      <c r="AI34" s="12" t="str">
        <f t="shared" si="6"/>
        <v>OK</v>
      </c>
      <c r="AJ34" s="10" t="s">
        <v>159</v>
      </c>
      <c r="AK34" s="15">
        <v>46162</v>
      </c>
      <c r="AL34" s="16">
        <f t="shared" si="7"/>
        <v>46527</v>
      </c>
      <c r="AM34" s="10" t="s">
        <v>160</v>
      </c>
    </row>
    <row r="35" spans="1:39" ht="70.05" customHeight="1" x14ac:dyDescent="0.3">
      <c r="A35" s="10" t="s">
        <v>431</v>
      </c>
      <c r="B35" s="10" t="s">
        <v>418</v>
      </c>
      <c r="C35" s="10" t="s">
        <v>419</v>
      </c>
      <c r="D35" s="10" t="s">
        <v>432</v>
      </c>
      <c r="E35" s="10" t="s">
        <v>173</v>
      </c>
      <c r="F35" s="10" t="s">
        <v>145</v>
      </c>
      <c r="G35" s="10" t="s">
        <v>433</v>
      </c>
      <c r="H35" s="10" t="s">
        <v>176</v>
      </c>
      <c r="I35" s="10" t="s">
        <v>148</v>
      </c>
      <c r="J35" s="10" t="s">
        <v>149</v>
      </c>
      <c r="K35" s="10" t="s">
        <v>97</v>
      </c>
      <c r="L35" s="12" t="str">
        <f>IFERROR(INDEX(tbl_impactes[Impacte],MATCH(K35,tbl_impactes[ID_Impacte],0)),"")</f>
        <v>Minimização da Pressão Ecológica (materiais recicláveis ou de origem sustentável)</v>
      </c>
      <c r="M35" s="10" t="s">
        <v>80</v>
      </c>
      <c r="N35" s="13">
        <v>5</v>
      </c>
      <c r="O35" s="13">
        <v>5</v>
      </c>
      <c r="P35" s="13">
        <v>-1</v>
      </c>
      <c r="Q35" s="13">
        <v>1</v>
      </c>
      <c r="R35" s="12" t="str">
        <f t="shared" si="0"/>
        <v>(-) Benéfico</v>
      </c>
      <c r="S35" s="11">
        <f t="shared" si="1"/>
        <v>-10</v>
      </c>
      <c r="T35" s="12" t="str">
        <f t="shared" si="2"/>
        <v>Oportunidade Tática</v>
      </c>
      <c r="U35" s="12" t="str">
        <f t="shared" si="3"/>
        <v>IRA -1 a -14</v>
      </c>
      <c r="V35" s="11">
        <f t="shared" si="4"/>
        <v>42</v>
      </c>
      <c r="W35" s="12" t="str">
        <f t="shared" si="5"/>
        <v>NÃO</v>
      </c>
      <c r="X35" s="10" t="s">
        <v>434</v>
      </c>
      <c r="Y35" s="10" t="s">
        <v>435</v>
      </c>
      <c r="Z35" s="14">
        <v>4280</v>
      </c>
      <c r="AA35" s="10" t="s">
        <v>436</v>
      </c>
      <c r="AB35" s="10" t="s">
        <v>437</v>
      </c>
      <c r="AC35" s="10" t="s">
        <v>438</v>
      </c>
      <c r="AD35" s="10"/>
      <c r="AE35" s="10" t="s">
        <v>439</v>
      </c>
      <c r="AF35" s="10"/>
      <c r="AG35" s="10"/>
      <c r="AH35" s="10" t="s">
        <v>240</v>
      </c>
      <c r="AI35" s="12" t="str">
        <f t="shared" si="6"/>
        <v>OK</v>
      </c>
      <c r="AJ35" s="10" t="s">
        <v>159</v>
      </c>
      <c r="AK35" s="15">
        <v>46162</v>
      </c>
      <c r="AL35" s="16">
        <f t="shared" si="7"/>
        <v>46527</v>
      </c>
      <c r="AM35" s="10" t="s">
        <v>160</v>
      </c>
    </row>
    <row r="36" spans="1:39" ht="70.05" customHeight="1" x14ac:dyDescent="0.3">
      <c r="A36" s="10" t="s">
        <v>440</v>
      </c>
      <c r="B36" s="10" t="s">
        <v>418</v>
      </c>
      <c r="C36" s="10" t="s">
        <v>419</v>
      </c>
      <c r="D36" s="10" t="s">
        <v>441</v>
      </c>
      <c r="E36" s="10" t="s">
        <v>173</v>
      </c>
      <c r="F36" s="10" t="s">
        <v>145</v>
      </c>
      <c r="G36" s="10" t="s">
        <v>442</v>
      </c>
      <c r="H36" s="10" t="s">
        <v>176</v>
      </c>
      <c r="I36" s="10" t="s">
        <v>148</v>
      </c>
      <c r="J36" s="10" t="s">
        <v>205</v>
      </c>
      <c r="K36" s="10" t="s">
        <v>97</v>
      </c>
      <c r="L36" s="12" t="str">
        <f>IFERROR(INDEX(tbl_impactes[Impacte],MATCH(K36,tbl_impactes[ID_Impacte],0)),"")</f>
        <v>Minimização da Pressão Ecológica (materiais recicláveis ou de origem sustentável)</v>
      </c>
      <c r="M36" s="10" t="s">
        <v>80</v>
      </c>
      <c r="N36" s="13">
        <v>5</v>
      </c>
      <c r="O36" s="13">
        <v>4</v>
      </c>
      <c r="P36" s="13">
        <v>-2</v>
      </c>
      <c r="Q36" s="13">
        <v>1</v>
      </c>
      <c r="R36" s="12" t="str">
        <f t="shared" si="0"/>
        <v>(-) Benéfico</v>
      </c>
      <c r="S36" s="11">
        <f t="shared" si="1"/>
        <v>-18</v>
      </c>
      <c r="T36" s="12" t="str">
        <f t="shared" si="2"/>
        <v>ASPETO AMBIENTAL SIGNIFICATIVO (AAS) BENÉFICO</v>
      </c>
      <c r="U36" s="12" t="str">
        <f t="shared" si="3"/>
        <v>IRA ≤ -15</v>
      </c>
      <c r="V36" s="11">
        <f t="shared" si="4"/>
        <v>43</v>
      </c>
      <c r="W36" s="12" t="str">
        <f t="shared" si="5"/>
        <v>NÃO</v>
      </c>
      <c r="X36" s="10" t="s">
        <v>443</v>
      </c>
      <c r="Y36" s="10" t="s">
        <v>166</v>
      </c>
      <c r="Z36" s="14">
        <v>1400</v>
      </c>
      <c r="AA36" s="10" t="s">
        <v>444</v>
      </c>
      <c r="AB36" s="10" t="s">
        <v>445</v>
      </c>
      <c r="AC36" s="10" t="s">
        <v>446</v>
      </c>
      <c r="AD36" s="10"/>
      <c r="AE36" s="10" t="s">
        <v>439</v>
      </c>
      <c r="AF36" s="10"/>
      <c r="AG36" s="10"/>
      <c r="AH36" s="10"/>
      <c r="AI36" s="12" t="str">
        <f t="shared" si="6"/>
        <v>OK</v>
      </c>
      <c r="AJ36" s="10" t="s">
        <v>159</v>
      </c>
      <c r="AK36" s="15">
        <v>46162</v>
      </c>
      <c r="AL36" s="16">
        <f t="shared" si="7"/>
        <v>46527</v>
      </c>
      <c r="AM36" s="10" t="s">
        <v>160</v>
      </c>
    </row>
    <row r="37" spans="1:39" ht="70.05" customHeight="1" x14ac:dyDescent="0.3">
      <c r="A37" s="10" t="s">
        <v>447</v>
      </c>
      <c r="B37" s="10" t="s">
        <v>418</v>
      </c>
      <c r="C37" s="10" t="s">
        <v>419</v>
      </c>
      <c r="D37" s="10" t="s">
        <v>448</v>
      </c>
      <c r="E37" s="10" t="s">
        <v>173</v>
      </c>
      <c r="F37" s="10" t="s">
        <v>449</v>
      </c>
      <c r="G37" s="10" t="s">
        <v>450</v>
      </c>
      <c r="H37" s="10" t="s">
        <v>176</v>
      </c>
      <c r="I37" s="10" t="s">
        <v>148</v>
      </c>
      <c r="J37" s="10" t="s">
        <v>386</v>
      </c>
      <c r="K37" s="10" t="s">
        <v>84</v>
      </c>
      <c r="L37" s="12" t="str">
        <f>IFERROR(INDEX(tbl_impactes[Impacte],MATCH(K37,tbl_impactes[ID_Impacte],0)),"")</f>
        <v>Perturbação da Fauna / Flora / Paisagem</v>
      </c>
      <c r="M37" s="10" t="s">
        <v>76</v>
      </c>
      <c r="N37" s="13">
        <v>5</v>
      </c>
      <c r="O37" s="13">
        <v>3</v>
      </c>
      <c r="P37" s="13">
        <v>2</v>
      </c>
      <c r="Q37" s="13">
        <v>1</v>
      </c>
      <c r="R37" s="12" t="str">
        <f t="shared" si="0"/>
        <v>(+) Adverso</v>
      </c>
      <c r="S37" s="11">
        <f t="shared" si="1"/>
        <v>16</v>
      </c>
      <c r="T37" s="12" t="str">
        <f t="shared" si="2"/>
        <v>Não Significativo</v>
      </c>
      <c r="U37" s="12" t="str">
        <f t="shared" si="3"/>
        <v>IRA 0-19</v>
      </c>
      <c r="V37" s="11">
        <f t="shared" si="4"/>
        <v>28</v>
      </c>
      <c r="W37" s="12" t="str">
        <f t="shared" si="5"/>
        <v>NÃO</v>
      </c>
      <c r="X37" s="10" t="s">
        <v>451</v>
      </c>
      <c r="Y37" s="10" t="s">
        <v>166</v>
      </c>
      <c r="Z37" s="14">
        <v>32000</v>
      </c>
      <c r="AA37" s="10" t="s">
        <v>452</v>
      </c>
      <c r="AB37" s="10" t="s">
        <v>453</v>
      </c>
      <c r="AC37" s="10" t="s">
        <v>454</v>
      </c>
      <c r="AD37" s="10"/>
      <c r="AE37" s="10"/>
      <c r="AF37" s="10"/>
      <c r="AG37" s="10"/>
      <c r="AH37" s="10"/>
      <c r="AI37" s="12" t="str">
        <f t="shared" si="6"/>
        <v>OK</v>
      </c>
      <c r="AJ37" s="10" t="s">
        <v>159</v>
      </c>
      <c r="AK37" s="15">
        <v>46162</v>
      </c>
      <c r="AL37" s="16">
        <f t="shared" si="7"/>
        <v>46527</v>
      </c>
      <c r="AM37" s="10" t="s">
        <v>160</v>
      </c>
    </row>
    <row r="38" spans="1:39" ht="70.05" customHeight="1" x14ac:dyDescent="0.3">
      <c r="A38" s="10" t="s">
        <v>455</v>
      </c>
      <c r="B38" s="10" t="s">
        <v>418</v>
      </c>
      <c r="C38" s="10" t="s">
        <v>419</v>
      </c>
      <c r="D38" s="10" t="s">
        <v>456</v>
      </c>
      <c r="E38" s="10" t="s">
        <v>173</v>
      </c>
      <c r="F38" s="10" t="s">
        <v>163</v>
      </c>
      <c r="G38" s="10" t="s">
        <v>457</v>
      </c>
      <c r="H38" s="10" t="s">
        <v>176</v>
      </c>
      <c r="I38" s="10" t="s">
        <v>204</v>
      </c>
      <c r="J38" s="10" t="s">
        <v>205</v>
      </c>
      <c r="K38" s="10" t="s">
        <v>78</v>
      </c>
      <c r="L38" s="12" t="str">
        <f>IFERROR(INDEX(tbl_impactes[Impacte],MATCH(K38,tbl_impactes[ID_Impacte],0)),"")</f>
        <v>Poluição do Ar</v>
      </c>
      <c r="M38" s="10" t="s">
        <v>177</v>
      </c>
      <c r="N38" s="13">
        <v>1</v>
      </c>
      <c r="O38" s="13">
        <v>5</v>
      </c>
      <c r="P38" s="13">
        <v>5</v>
      </c>
      <c r="Q38" s="13">
        <v>1</v>
      </c>
      <c r="R38" s="12" t="str">
        <f t="shared" si="0"/>
        <v>(+) Adverso</v>
      </c>
      <c r="S38" s="11">
        <f t="shared" si="1"/>
        <v>30</v>
      </c>
      <c r="T38" s="12" t="str">
        <f t="shared" si="2"/>
        <v>Moderado</v>
      </c>
      <c r="U38" s="12" t="str">
        <f t="shared" si="3"/>
        <v>IRA 20-39</v>
      </c>
      <c r="V38" s="11">
        <f t="shared" si="4"/>
        <v>5</v>
      </c>
      <c r="W38" s="12" t="str">
        <f t="shared" si="5"/>
        <v>SIM</v>
      </c>
      <c r="X38" s="10" t="s">
        <v>458</v>
      </c>
      <c r="Y38" s="10" t="s">
        <v>459</v>
      </c>
      <c r="Z38" s="14"/>
      <c r="AA38" s="10"/>
      <c r="AB38" s="10" t="s">
        <v>460</v>
      </c>
      <c r="AC38" s="10" t="s">
        <v>461</v>
      </c>
      <c r="AD38" s="10" t="s">
        <v>462</v>
      </c>
      <c r="AE38" s="10" t="s">
        <v>463</v>
      </c>
      <c r="AF38" s="10"/>
      <c r="AG38" s="10"/>
      <c r="AH38" s="10"/>
      <c r="AI38" s="12" t="str">
        <f t="shared" si="6"/>
        <v>OK</v>
      </c>
      <c r="AJ38" s="10" t="s">
        <v>159</v>
      </c>
      <c r="AK38" s="15">
        <v>46162</v>
      </c>
      <c r="AL38" s="16">
        <f t="shared" si="7"/>
        <v>46527</v>
      </c>
      <c r="AM38" s="10" t="s">
        <v>160</v>
      </c>
    </row>
    <row r="39" spans="1:39" ht="70.05" customHeight="1" x14ac:dyDescent="0.3">
      <c r="A39" s="10" t="s">
        <v>464</v>
      </c>
      <c r="B39" s="10" t="s">
        <v>418</v>
      </c>
      <c r="C39" s="10" t="s">
        <v>419</v>
      </c>
      <c r="D39" s="10" t="s">
        <v>465</v>
      </c>
      <c r="E39" s="10" t="s">
        <v>173</v>
      </c>
      <c r="F39" s="10" t="s">
        <v>375</v>
      </c>
      <c r="G39" s="10" t="s">
        <v>466</v>
      </c>
      <c r="H39" s="10" t="s">
        <v>176</v>
      </c>
      <c r="I39" s="10" t="s">
        <v>148</v>
      </c>
      <c r="J39" s="10" t="s">
        <v>149</v>
      </c>
      <c r="K39" s="10" t="s">
        <v>76</v>
      </c>
      <c r="L39" s="12" t="str">
        <f>IFERROR(INDEX(tbl_impactes[Impacte],MATCH(K39,tbl_impactes[ID_Impacte],0)),"")</f>
        <v>Contaminação do Solo e/ou Recursos Hídricos</v>
      </c>
      <c r="M39" s="10"/>
      <c r="N39" s="13">
        <v>5</v>
      </c>
      <c r="O39" s="13">
        <v>2</v>
      </c>
      <c r="P39" s="13">
        <v>2</v>
      </c>
      <c r="Q39" s="13">
        <v>1</v>
      </c>
      <c r="R39" s="12" t="str">
        <f t="shared" si="0"/>
        <v>(+) Adverso</v>
      </c>
      <c r="S39" s="11">
        <f t="shared" si="1"/>
        <v>14</v>
      </c>
      <c r="T39" s="12" t="str">
        <f t="shared" si="2"/>
        <v>Não Significativo</v>
      </c>
      <c r="U39" s="12" t="str">
        <f t="shared" si="3"/>
        <v>IRA 0-19</v>
      </c>
      <c r="V39" s="11">
        <f t="shared" si="4"/>
        <v>34</v>
      </c>
      <c r="W39" s="12" t="str">
        <f t="shared" si="5"/>
        <v>NÃO</v>
      </c>
      <c r="X39" s="10" t="s">
        <v>166</v>
      </c>
      <c r="Y39" s="10" t="s">
        <v>467</v>
      </c>
      <c r="Z39" s="14">
        <v>1849</v>
      </c>
      <c r="AA39" s="10" t="s">
        <v>365</v>
      </c>
      <c r="AB39" s="10" t="s">
        <v>468</v>
      </c>
      <c r="AC39" s="10" t="s">
        <v>469</v>
      </c>
      <c r="AD39" s="10" t="s">
        <v>368</v>
      </c>
      <c r="AE39" s="10"/>
      <c r="AF39" s="10"/>
      <c r="AG39" s="10"/>
      <c r="AH39" s="10"/>
      <c r="AI39" s="12" t="str">
        <f t="shared" si="6"/>
        <v>OK</v>
      </c>
      <c r="AJ39" s="10" t="s">
        <v>159</v>
      </c>
      <c r="AK39" s="15">
        <v>46162</v>
      </c>
      <c r="AL39" s="16">
        <f t="shared" si="7"/>
        <v>46527</v>
      </c>
      <c r="AM39" s="10" t="s">
        <v>160</v>
      </c>
    </row>
    <row r="40" spans="1:39" ht="70.05" customHeight="1" x14ac:dyDescent="0.3">
      <c r="A40" s="10" t="s">
        <v>470</v>
      </c>
      <c r="B40" s="10" t="s">
        <v>471</v>
      </c>
      <c r="C40" s="10" t="s">
        <v>472</v>
      </c>
      <c r="D40" s="10" t="s">
        <v>473</v>
      </c>
      <c r="E40" s="10" t="s">
        <v>173</v>
      </c>
      <c r="F40" s="10" t="s">
        <v>145</v>
      </c>
      <c r="G40" s="10" t="s">
        <v>474</v>
      </c>
      <c r="H40" s="10" t="s">
        <v>176</v>
      </c>
      <c r="I40" s="10" t="s">
        <v>148</v>
      </c>
      <c r="J40" s="10" t="s">
        <v>149</v>
      </c>
      <c r="K40" s="10" t="s">
        <v>73</v>
      </c>
      <c r="L40" s="12" t="str">
        <f>IFERROR(INDEX(tbl_impactes[Impacte],MATCH(K40,tbl_impactes[ID_Impacte],0)),"")</f>
        <v>Esgotamento de Recursos Naturais / Recursos</v>
      </c>
      <c r="M40" s="10" t="s">
        <v>86</v>
      </c>
      <c r="N40" s="13">
        <v>4</v>
      </c>
      <c r="O40" s="13">
        <v>1</v>
      </c>
      <c r="P40" s="13">
        <v>1</v>
      </c>
      <c r="Q40" s="13">
        <v>1</v>
      </c>
      <c r="R40" s="12" t="str">
        <f t="shared" si="0"/>
        <v>(+) Adverso</v>
      </c>
      <c r="S40" s="11">
        <f t="shared" si="1"/>
        <v>5</v>
      </c>
      <c r="T40" s="12" t="str">
        <f t="shared" si="2"/>
        <v>Não Significativo</v>
      </c>
      <c r="U40" s="12" t="str">
        <f t="shared" si="3"/>
        <v>IRA 0-19</v>
      </c>
      <c r="V40" s="11">
        <f t="shared" si="4"/>
        <v>38</v>
      </c>
      <c r="W40" s="12" t="str">
        <f t="shared" si="5"/>
        <v>NÃO</v>
      </c>
      <c r="X40" s="10" t="s">
        <v>475</v>
      </c>
      <c r="Y40" s="10" t="s">
        <v>166</v>
      </c>
      <c r="Z40" s="14"/>
      <c r="AA40" s="10"/>
      <c r="AB40" s="10" t="s">
        <v>476</v>
      </c>
      <c r="AC40" s="10" t="s">
        <v>477</v>
      </c>
      <c r="AD40" s="10"/>
      <c r="AE40" s="10"/>
      <c r="AF40" s="10"/>
      <c r="AG40" s="10"/>
      <c r="AH40" s="10"/>
      <c r="AI40" s="12" t="str">
        <f t="shared" si="6"/>
        <v>OK</v>
      </c>
      <c r="AJ40" s="10" t="s">
        <v>159</v>
      </c>
      <c r="AK40" s="15">
        <v>46162</v>
      </c>
      <c r="AL40" s="16">
        <f t="shared" si="7"/>
        <v>46527</v>
      </c>
      <c r="AM40" s="10" t="s">
        <v>160</v>
      </c>
    </row>
    <row r="41" spans="1:39" ht="70.05" customHeight="1" x14ac:dyDescent="0.3">
      <c r="A41" s="10" t="s">
        <v>478</v>
      </c>
      <c r="B41" s="10" t="s">
        <v>479</v>
      </c>
      <c r="C41" s="10" t="s">
        <v>480</v>
      </c>
      <c r="D41" s="10" t="s">
        <v>481</v>
      </c>
      <c r="E41" s="10" t="s">
        <v>482</v>
      </c>
      <c r="F41" s="10" t="s">
        <v>145</v>
      </c>
      <c r="G41" s="10" t="s">
        <v>483</v>
      </c>
      <c r="H41" s="10" t="s">
        <v>176</v>
      </c>
      <c r="I41" s="10" t="s">
        <v>148</v>
      </c>
      <c r="J41" s="10" t="s">
        <v>149</v>
      </c>
      <c r="K41" s="10" t="s">
        <v>73</v>
      </c>
      <c r="L41" s="12" t="str">
        <f>IFERROR(INDEX(tbl_impactes[Impacte],MATCH(K41,tbl_impactes[ID_Impacte],0)),"")</f>
        <v>Esgotamento de Recursos Naturais / Recursos</v>
      </c>
      <c r="M41" s="10" t="s">
        <v>86</v>
      </c>
      <c r="N41" s="13">
        <v>4</v>
      </c>
      <c r="O41" s="13">
        <v>5</v>
      </c>
      <c r="P41" s="13">
        <v>3</v>
      </c>
      <c r="Q41" s="13">
        <v>1</v>
      </c>
      <c r="R41" s="12" t="str">
        <f t="shared" si="0"/>
        <v>(+) Adverso</v>
      </c>
      <c r="S41" s="11">
        <f t="shared" si="1"/>
        <v>27</v>
      </c>
      <c r="T41" s="12" t="str">
        <f t="shared" si="2"/>
        <v>Moderado</v>
      </c>
      <c r="U41" s="12" t="str">
        <f t="shared" si="3"/>
        <v>IRA 20-39</v>
      </c>
      <c r="V41" s="11">
        <f t="shared" si="4"/>
        <v>12</v>
      </c>
      <c r="W41" s="12" t="str">
        <f t="shared" si="5"/>
        <v>SIM</v>
      </c>
      <c r="X41" s="10" t="s">
        <v>484</v>
      </c>
      <c r="Y41" s="10" t="s">
        <v>166</v>
      </c>
      <c r="Z41" s="14"/>
      <c r="AA41" s="10"/>
      <c r="AB41" s="10" t="s">
        <v>485</v>
      </c>
      <c r="AC41" s="10" t="s">
        <v>486</v>
      </c>
      <c r="AD41" s="10" t="s">
        <v>487</v>
      </c>
      <c r="AE41" s="10" t="s">
        <v>488</v>
      </c>
      <c r="AF41" s="10" t="s">
        <v>489</v>
      </c>
      <c r="AG41" s="10" t="s">
        <v>490</v>
      </c>
      <c r="AH41" s="10"/>
      <c r="AI41" s="12" t="str">
        <f t="shared" si="6"/>
        <v>OK</v>
      </c>
      <c r="AJ41" s="10" t="s">
        <v>159</v>
      </c>
      <c r="AK41" s="15">
        <v>46162</v>
      </c>
      <c r="AL41" s="16">
        <f t="shared" si="7"/>
        <v>46527</v>
      </c>
      <c r="AM41" s="10" t="s">
        <v>160</v>
      </c>
    </row>
    <row r="42" spans="1:39" ht="70.05" customHeight="1" x14ac:dyDescent="0.3">
      <c r="A42" s="10" t="s">
        <v>491</v>
      </c>
      <c r="B42" s="10" t="s">
        <v>479</v>
      </c>
      <c r="C42" s="10" t="s">
        <v>480</v>
      </c>
      <c r="D42" s="10" t="s">
        <v>492</v>
      </c>
      <c r="E42" s="10" t="s">
        <v>482</v>
      </c>
      <c r="F42" s="10" t="s">
        <v>145</v>
      </c>
      <c r="G42" s="10" t="s">
        <v>493</v>
      </c>
      <c r="H42" s="10" t="s">
        <v>176</v>
      </c>
      <c r="I42" s="10" t="s">
        <v>148</v>
      </c>
      <c r="J42" s="10" t="s">
        <v>149</v>
      </c>
      <c r="K42" s="10" t="s">
        <v>86</v>
      </c>
      <c r="L42" s="12" t="str">
        <f>IFERROR(INDEX(tbl_impactes[Impacte],MATCH(K42,tbl_impactes[ID_Impacte],0)),"")</f>
        <v>Redução da vida útil de aterros e passivos ambientais</v>
      </c>
      <c r="M42" s="10" t="s">
        <v>73</v>
      </c>
      <c r="N42" s="13">
        <v>5</v>
      </c>
      <c r="O42" s="13">
        <v>5</v>
      </c>
      <c r="P42" s="13">
        <v>3</v>
      </c>
      <c r="Q42" s="13">
        <v>2</v>
      </c>
      <c r="R42" s="12" t="str">
        <f t="shared" si="0"/>
        <v>(+) Adverso</v>
      </c>
      <c r="S42" s="11">
        <f t="shared" si="1"/>
        <v>60</v>
      </c>
      <c r="T42" s="12" t="str">
        <f t="shared" si="2"/>
        <v>ASPETO AMBIENTAL SIGNIFICATIVO (AAS)</v>
      </c>
      <c r="U42" s="12" t="str">
        <f t="shared" si="3"/>
        <v>Regra de ouro (L=2)</v>
      </c>
      <c r="V42" s="11">
        <f t="shared" si="4"/>
        <v>1</v>
      </c>
      <c r="W42" s="12" t="str">
        <f t="shared" si="5"/>
        <v>SIM</v>
      </c>
      <c r="X42" s="10" t="s">
        <v>494</v>
      </c>
      <c r="Y42" s="10" t="s">
        <v>495</v>
      </c>
      <c r="Z42" s="14"/>
      <c r="AA42" s="10"/>
      <c r="AB42" s="10" t="s">
        <v>496</v>
      </c>
      <c r="AC42" s="10" t="s">
        <v>497</v>
      </c>
      <c r="AD42" s="10" t="s">
        <v>487</v>
      </c>
      <c r="AE42" s="10" t="s">
        <v>498</v>
      </c>
      <c r="AF42" s="10" t="s">
        <v>489</v>
      </c>
      <c r="AG42" s="10" t="s">
        <v>490</v>
      </c>
      <c r="AH42" s="10" t="s">
        <v>499</v>
      </c>
      <c r="AI42" s="12" t="str">
        <f t="shared" si="6"/>
        <v>OK</v>
      </c>
      <c r="AJ42" s="10" t="s">
        <v>159</v>
      </c>
      <c r="AK42" s="15">
        <v>46162</v>
      </c>
      <c r="AL42" s="16">
        <f t="shared" si="7"/>
        <v>46527</v>
      </c>
      <c r="AM42" s="10" t="s">
        <v>160</v>
      </c>
    </row>
    <row r="43" spans="1:39" ht="70.05" customHeight="1" x14ac:dyDescent="0.3">
      <c r="A43" s="10" t="s">
        <v>500</v>
      </c>
      <c r="B43" s="10" t="s">
        <v>501</v>
      </c>
      <c r="C43" s="10" t="s">
        <v>502</v>
      </c>
      <c r="D43" s="10" t="s">
        <v>503</v>
      </c>
      <c r="E43" s="10" t="s">
        <v>504</v>
      </c>
      <c r="F43" s="10" t="s">
        <v>145</v>
      </c>
      <c r="G43" s="10" t="s">
        <v>505</v>
      </c>
      <c r="H43" s="10" t="s">
        <v>176</v>
      </c>
      <c r="I43" s="10" t="s">
        <v>148</v>
      </c>
      <c r="J43" s="10" t="s">
        <v>149</v>
      </c>
      <c r="K43" s="10" t="s">
        <v>73</v>
      </c>
      <c r="L43" s="12" t="str">
        <f>IFERROR(INDEX(tbl_impactes[Impacte],MATCH(K43,tbl_impactes[ID_Impacte],0)),"")</f>
        <v>Esgotamento de Recursos Naturais / Recursos</v>
      </c>
      <c r="M43" s="10" t="s">
        <v>86</v>
      </c>
      <c r="N43" s="13">
        <v>5</v>
      </c>
      <c r="O43" s="13">
        <v>4</v>
      </c>
      <c r="P43" s="13">
        <v>2</v>
      </c>
      <c r="Q43" s="13">
        <v>1</v>
      </c>
      <c r="R43" s="12" t="str">
        <f t="shared" si="0"/>
        <v>(+) Adverso</v>
      </c>
      <c r="S43" s="11">
        <f t="shared" si="1"/>
        <v>18</v>
      </c>
      <c r="T43" s="12" t="str">
        <f t="shared" si="2"/>
        <v>Não Significativo</v>
      </c>
      <c r="U43" s="12" t="str">
        <f t="shared" si="3"/>
        <v>IRA 0-19</v>
      </c>
      <c r="V43" s="11">
        <f t="shared" si="4"/>
        <v>27</v>
      </c>
      <c r="W43" s="12" t="str">
        <f t="shared" si="5"/>
        <v>NÃO</v>
      </c>
      <c r="X43" s="10" t="s">
        <v>506</v>
      </c>
      <c r="Y43" s="10" t="s">
        <v>166</v>
      </c>
      <c r="Z43" s="14"/>
      <c r="AA43" s="10"/>
      <c r="AB43" s="10" t="s">
        <v>476</v>
      </c>
      <c r="AC43" s="10" t="s">
        <v>507</v>
      </c>
      <c r="AD43" s="10"/>
      <c r="AE43" s="10"/>
      <c r="AF43" s="10"/>
      <c r="AG43" s="10"/>
      <c r="AH43" s="10"/>
      <c r="AI43" s="12" t="str">
        <f t="shared" si="6"/>
        <v>OK</v>
      </c>
      <c r="AJ43" s="10" t="s">
        <v>159</v>
      </c>
      <c r="AK43" s="15">
        <v>46162</v>
      </c>
      <c r="AL43" s="16">
        <f t="shared" si="7"/>
        <v>46527</v>
      </c>
      <c r="AM43" s="10" t="s">
        <v>160</v>
      </c>
    </row>
    <row r="44" spans="1:39" ht="70.05" customHeight="1" x14ac:dyDescent="0.3">
      <c r="A44" s="10" t="s">
        <v>508</v>
      </c>
      <c r="B44" s="10" t="s">
        <v>501</v>
      </c>
      <c r="C44" s="10" t="s">
        <v>502</v>
      </c>
      <c r="D44" s="10" t="s">
        <v>509</v>
      </c>
      <c r="E44" s="10" t="s">
        <v>504</v>
      </c>
      <c r="F44" s="10" t="s">
        <v>163</v>
      </c>
      <c r="G44" s="10" t="s">
        <v>510</v>
      </c>
      <c r="H44" s="10" t="s">
        <v>147</v>
      </c>
      <c r="I44" s="10" t="s">
        <v>148</v>
      </c>
      <c r="J44" s="10" t="s">
        <v>149</v>
      </c>
      <c r="K44" s="10" t="s">
        <v>80</v>
      </c>
      <c r="L44" s="12" t="str">
        <f>IFERROR(INDEX(tbl_impactes[Impacte],MATCH(K44,tbl_impactes[ID_Impacte],0)),"")</f>
        <v>Mudanças Climáticas</v>
      </c>
      <c r="M44" s="10" t="s">
        <v>511</v>
      </c>
      <c r="N44" s="13">
        <v>5</v>
      </c>
      <c r="O44" s="13">
        <v>4</v>
      </c>
      <c r="P44" s="13">
        <v>3</v>
      </c>
      <c r="Q44" s="13">
        <v>1</v>
      </c>
      <c r="R44" s="12" t="str">
        <f t="shared" si="0"/>
        <v>(+) Adverso</v>
      </c>
      <c r="S44" s="11">
        <f t="shared" si="1"/>
        <v>27</v>
      </c>
      <c r="T44" s="12" t="str">
        <f t="shared" si="2"/>
        <v>Moderado</v>
      </c>
      <c r="U44" s="12" t="str">
        <f t="shared" si="3"/>
        <v>IRA 20-39</v>
      </c>
      <c r="V44" s="11">
        <f t="shared" si="4"/>
        <v>12</v>
      </c>
      <c r="W44" s="12" t="str">
        <f t="shared" si="5"/>
        <v>SIM</v>
      </c>
      <c r="X44" s="10" t="s">
        <v>512</v>
      </c>
      <c r="Y44" s="10" t="s">
        <v>166</v>
      </c>
      <c r="Z44" s="14"/>
      <c r="AA44" s="10"/>
      <c r="AB44" s="10" t="s">
        <v>513</v>
      </c>
      <c r="AC44" s="10" t="s">
        <v>345</v>
      </c>
      <c r="AD44" s="10"/>
      <c r="AE44" s="10"/>
      <c r="AF44" s="10"/>
      <c r="AG44" s="10"/>
      <c r="AH44" s="10"/>
      <c r="AI44" s="12" t="str">
        <f t="shared" si="6"/>
        <v>OK</v>
      </c>
      <c r="AJ44" s="10" t="s">
        <v>159</v>
      </c>
      <c r="AK44" s="15">
        <v>46162</v>
      </c>
      <c r="AL44" s="16">
        <f t="shared" si="7"/>
        <v>46527</v>
      </c>
      <c r="AM44" s="10" t="s">
        <v>160</v>
      </c>
    </row>
    <row r="45" spans="1:39" ht="70.05" customHeight="1" x14ac:dyDescent="0.3">
      <c r="A45" s="10" t="s">
        <v>514</v>
      </c>
      <c r="B45" s="10" t="s">
        <v>501</v>
      </c>
      <c r="C45" s="10" t="s">
        <v>502</v>
      </c>
      <c r="D45" s="10" t="s">
        <v>515</v>
      </c>
      <c r="E45" s="10" t="s">
        <v>504</v>
      </c>
      <c r="F45" s="10" t="s">
        <v>190</v>
      </c>
      <c r="G45" s="10" t="s">
        <v>516</v>
      </c>
      <c r="H45" s="10" t="s">
        <v>176</v>
      </c>
      <c r="I45" s="10" t="s">
        <v>148</v>
      </c>
      <c r="J45" s="10" t="s">
        <v>205</v>
      </c>
      <c r="K45" s="10" t="s">
        <v>95</v>
      </c>
      <c r="L45" s="12" t="str">
        <f>IFERROR(INDEX(tbl_impactes[Impacte],MATCH(K45,tbl_impactes[ID_Impacte],0)),"")</f>
        <v>Extensão do ciclo de vida de materiais (conversão de resíduos em subprodutos)</v>
      </c>
      <c r="M45" s="10" t="s">
        <v>93</v>
      </c>
      <c r="N45" s="13">
        <v>3</v>
      </c>
      <c r="O45" s="13">
        <v>3</v>
      </c>
      <c r="P45" s="13">
        <v>-1</v>
      </c>
      <c r="Q45" s="13">
        <v>1</v>
      </c>
      <c r="R45" s="12" t="str">
        <f t="shared" si="0"/>
        <v>(-) Benéfico</v>
      </c>
      <c r="S45" s="11">
        <f t="shared" si="1"/>
        <v>-6</v>
      </c>
      <c r="T45" s="12" t="str">
        <f t="shared" si="2"/>
        <v>Oportunidade Tática</v>
      </c>
      <c r="U45" s="12" t="str">
        <f t="shared" si="3"/>
        <v>IRA -1 a -14</v>
      </c>
      <c r="V45" s="11">
        <f t="shared" si="4"/>
        <v>39</v>
      </c>
      <c r="W45" s="12" t="str">
        <f t="shared" si="5"/>
        <v>NÃO</v>
      </c>
      <c r="X45" s="10" t="s">
        <v>517</v>
      </c>
      <c r="Y45" s="10" t="s">
        <v>166</v>
      </c>
      <c r="Z45" s="14"/>
      <c r="AA45" s="10"/>
      <c r="AB45" s="10" t="s">
        <v>518</v>
      </c>
      <c r="AC45" s="10" t="s">
        <v>438</v>
      </c>
      <c r="AD45" s="10"/>
      <c r="AE45" s="10"/>
      <c r="AF45" s="10"/>
      <c r="AG45" s="10"/>
      <c r="AH45" s="10"/>
      <c r="AI45" s="12" t="str">
        <f t="shared" si="6"/>
        <v>OK</v>
      </c>
      <c r="AJ45" s="10" t="s">
        <v>159</v>
      </c>
      <c r="AK45" s="15">
        <v>46162</v>
      </c>
      <c r="AL45" s="16">
        <f t="shared" si="7"/>
        <v>46527</v>
      </c>
      <c r="AM45" s="10" t="s">
        <v>160</v>
      </c>
    </row>
    <row r="46" spans="1:39" ht="70.05" customHeight="1" x14ac:dyDescent="0.3">
      <c r="A46" s="10" t="s">
        <v>519</v>
      </c>
      <c r="B46" s="10" t="s">
        <v>418</v>
      </c>
      <c r="C46" s="10" t="s">
        <v>520</v>
      </c>
      <c r="D46" s="10" t="s">
        <v>521</v>
      </c>
      <c r="E46" s="10" t="s">
        <v>522</v>
      </c>
      <c r="F46" s="10" t="s">
        <v>190</v>
      </c>
      <c r="G46" s="10" t="s">
        <v>523</v>
      </c>
      <c r="H46" s="10" t="s">
        <v>147</v>
      </c>
      <c r="I46" s="10" t="s">
        <v>148</v>
      </c>
      <c r="J46" s="10" t="s">
        <v>149</v>
      </c>
      <c r="K46" s="10" t="s">
        <v>76</v>
      </c>
      <c r="L46" s="12" t="str">
        <f>IFERROR(INDEX(tbl_impactes[Impacte],MATCH(K46,tbl_impactes[ID_Impacte],0)),"")</f>
        <v>Contaminação do Solo e/ou Recursos Hídricos</v>
      </c>
      <c r="M46" s="10" t="s">
        <v>86</v>
      </c>
      <c r="N46" s="13">
        <v>5</v>
      </c>
      <c r="O46" s="13">
        <v>2</v>
      </c>
      <c r="P46" s="13">
        <v>2</v>
      </c>
      <c r="Q46" s="13">
        <v>1</v>
      </c>
      <c r="R46" s="12" t="str">
        <f t="shared" si="0"/>
        <v>(+) Adverso</v>
      </c>
      <c r="S46" s="11">
        <f t="shared" si="1"/>
        <v>14</v>
      </c>
      <c r="T46" s="12" t="str">
        <f t="shared" si="2"/>
        <v>Não Significativo</v>
      </c>
      <c r="U46" s="12" t="str">
        <f t="shared" si="3"/>
        <v>IRA 0-19</v>
      </c>
      <c r="V46" s="11">
        <f t="shared" si="4"/>
        <v>34</v>
      </c>
      <c r="W46" s="12" t="str">
        <f t="shared" si="5"/>
        <v>NÃO</v>
      </c>
      <c r="X46" s="10" t="s">
        <v>524</v>
      </c>
      <c r="Y46" s="10" t="s">
        <v>166</v>
      </c>
      <c r="Z46" s="14"/>
      <c r="AA46" s="10"/>
      <c r="AB46" s="10" t="s">
        <v>166</v>
      </c>
      <c r="AC46" s="10" t="s">
        <v>469</v>
      </c>
      <c r="AD46" s="10"/>
      <c r="AE46" s="10"/>
      <c r="AF46" s="10"/>
      <c r="AG46" s="10"/>
      <c r="AH46" s="10"/>
      <c r="AI46" s="12" t="str">
        <f t="shared" si="6"/>
        <v>OK</v>
      </c>
      <c r="AJ46" s="10" t="s">
        <v>159</v>
      </c>
      <c r="AK46" s="15">
        <v>46162</v>
      </c>
      <c r="AL46" s="16">
        <f t="shared" si="7"/>
        <v>46527</v>
      </c>
      <c r="AM46" s="10" t="s">
        <v>160</v>
      </c>
    </row>
    <row r="47" spans="1:39" ht="70.05" customHeight="1" x14ac:dyDescent="0.3">
      <c r="A47" s="10" t="s">
        <v>525</v>
      </c>
      <c r="B47" s="10" t="s">
        <v>418</v>
      </c>
      <c r="C47" s="10" t="s">
        <v>526</v>
      </c>
      <c r="D47" s="10" t="s">
        <v>527</v>
      </c>
      <c r="E47" s="10" t="s">
        <v>405</v>
      </c>
      <c r="F47" s="10" t="s">
        <v>190</v>
      </c>
      <c r="G47" s="10" t="s">
        <v>528</v>
      </c>
      <c r="H47" s="10" t="s">
        <v>147</v>
      </c>
      <c r="I47" s="10" t="s">
        <v>148</v>
      </c>
      <c r="J47" s="10" t="s">
        <v>149</v>
      </c>
      <c r="K47" s="10" t="s">
        <v>86</v>
      </c>
      <c r="L47" s="12" t="str">
        <f>IFERROR(INDEX(tbl_impactes[Impacte],MATCH(K47,tbl_impactes[ID_Impacte],0)),"")</f>
        <v>Redução da vida útil de aterros e passivos ambientais</v>
      </c>
      <c r="M47" s="10" t="s">
        <v>529</v>
      </c>
      <c r="N47" s="13">
        <v>5</v>
      </c>
      <c r="O47" s="13">
        <v>5</v>
      </c>
      <c r="P47" s="13">
        <v>3</v>
      </c>
      <c r="Q47" s="13">
        <v>1</v>
      </c>
      <c r="R47" s="12" t="str">
        <f t="shared" si="0"/>
        <v>(+) Adverso</v>
      </c>
      <c r="S47" s="11">
        <f t="shared" si="1"/>
        <v>30</v>
      </c>
      <c r="T47" s="12" t="str">
        <f t="shared" si="2"/>
        <v>Moderado</v>
      </c>
      <c r="U47" s="12" t="str">
        <f t="shared" si="3"/>
        <v>IRA 20-39</v>
      </c>
      <c r="V47" s="11">
        <f t="shared" si="4"/>
        <v>5</v>
      </c>
      <c r="W47" s="12" t="str">
        <f t="shared" si="5"/>
        <v>SIM</v>
      </c>
      <c r="X47" s="10" t="s">
        <v>530</v>
      </c>
      <c r="Y47" s="10" t="s">
        <v>166</v>
      </c>
      <c r="Z47" s="14"/>
      <c r="AA47" s="10"/>
      <c r="AB47" s="10" t="s">
        <v>531</v>
      </c>
      <c r="AC47" s="10" t="s">
        <v>532</v>
      </c>
      <c r="AD47" s="10" t="s">
        <v>487</v>
      </c>
      <c r="AE47" s="10" t="s">
        <v>488</v>
      </c>
      <c r="AF47" s="10" t="s">
        <v>489</v>
      </c>
      <c r="AG47" s="10"/>
      <c r="AH47" s="10"/>
      <c r="AI47" s="12" t="str">
        <f t="shared" si="6"/>
        <v>OK</v>
      </c>
      <c r="AJ47" s="10" t="s">
        <v>159</v>
      </c>
      <c r="AK47" s="15">
        <v>46162</v>
      </c>
      <c r="AL47" s="16">
        <f t="shared" si="7"/>
        <v>46527</v>
      </c>
      <c r="AM47" s="10" t="s">
        <v>160</v>
      </c>
    </row>
  </sheetData>
  <conditionalFormatting sqref="I5:I247">
    <cfRule type="expression" dxfId="15" priority="9">
      <formula>ISNUMBER(SEARCH("Emergência",I5))</formula>
    </cfRule>
    <cfRule type="expression" dxfId="14" priority="10">
      <formula>ISNUMBER(SEARCH("Anormal",I5))</formula>
    </cfRule>
  </conditionalFormatting>
  <conditionalFormatting sqref="T5:T247">
    <cfRule type="expression" dxfId="13" priority="1">
      <formula>ISNUMBER(SEARCH("BENÉFICO",T5))</formula>
    </cfRule>
    <cfRule type="expression" dxfId="12" priority="2">
      <formula>ISNUMBER(SEARCH("ASPETO",T5))</formula>
    </cfRule>
    <cfRule type="expression" dxfId="11" priority="3">
      <formula>ISNUMBER(SEARCH("Moderado",T5))</formula>
    </cfRule>
    <cfRule type="expression" dxfId="10" priority="4">
      <formula>ISNUMBER(SEARCH("Não Signif",T5))</formula>
    </cfRule>
    <cfRule type="expression" dxfId="9" priority="5">
      <formula>ISNUMBER(SEARCH("Tática",T5))</formula>
    </cfRule>
  </conditionalFormatting>
  <conditionalFormatting sqref="AI5:AI247">
    <cfRule type="expression" dxfId="8" priority="6">
      <formula>ISNUMBER(SEARCH("FALTA",AI5))</formula>
    </cfRule>
    <cfRule type="expression" dxfId="7" priority="7">
      <formula>ISNUMBER(SEARCH("Sugestão",AI5))</formula>
    </cfRule>
    <cfRule type="expression" dxfId="6" priority="8">
      <formula>ISNUMBER(SEARCH("OK",AI5))</formula>
    </cfRule>
  </conditionalFormatting>
  <conditionalFormatting sqref="AJ5:AJ247">
    <cfRule type="expression" dxfId="5" priority="11">
      <formula>ISNUMBER(SEARCH("Sim",AJ5))</formula>
    </cfRule>
  </conditionalFormatting>
  <dataValidations count="12">
    <dataValidation type="list" allowBlank="1" showErrorMessage="1" errorTitle="Valor inválido" error="Valor fora da lista controlada (ver folha Listas)." sqref="B5:B247" xr:uid="{00000000-0002-0000-0200-000000000000}">
      <formula1>lst_Processo</formula1>
    </dataValidation>
    <dataValidation type="list" allowBlank="1" showErrorMessage="1" errorTitle="Valor inválido" error="Valor fora da lista controlada (ver folha Listas)." sqref="E5:E247" xr:uid="{00000000-0002-0000-0200-000001000000}">
      <formula1>lst_Fase</formula1>
    </dataValidation>
    <dataValidation type="list" allowBlank="1" showErrorMessage="1" errorTitle="Valor inválido" error="Valor fora da lista controlada (ver folha Listas)." sqref="F5:F247" xr:uid="{00000000-0002-0000-0200-000002000000}">
      <formula1>lst_Categoria</formula1>
    </dataValidation>
    <dataValidation type="list" allowBlank="1" showErrorMessage="1" errorTitle="Valor inválido" error="Valor fora da lista controlada (ver folha Listas)." sqref="H5:H247" xr:uid="{00000000-0002-0000-0200-000003000000}">
      <formula1>lst_TipoAspeto</formula1>
    </dataValidation>
    <dataValidation type="list" allowBlank="1" showErrorMessage="1" errorTitle="Valor inválido" error="Valor fora da lista controlada (ver folha Listas)." sqref="I5:I247" xr:uid="{00000000-0002-0000-0200-000004000000}">
      <formula1>lst_Condicao</formula1>
    </dataValidation>
    <dataValidation type="list" allowBlank="1" showErrorMessage="1" errorTitle="Valor inválido" error="Valor fora da lista controlada (ver folha Listas)." sqref="J5:J247" xr:uid="{00000000-0002-0000-0200-000005000000}">
      <formula1>lst_Temporalidade</formula1>
    </dataValidation>
    <dataValidation type="list" allowBlank="1" showErrorMessage="1" errorTitle="Valor inválido" error="Valor fora da lista controlada (ver folha Listas)." sqref="K5:K247" xr:uid="{00000000-0002-0000-0200-000006000000}">
      <formula1>lst_Impacte</formula1>
    </dataValidation>
    <dataValidation type="list" allowBlank="1" showErrorMessage="1" errorTitle="Valor inválido" error="Valor fora da lista controlada (ver folha Listas)." sqref="N5:N247" xr:uid="{00000000-0002-0000-0200-000007000000}">
      <formula1>lst_F15</formula1>
    </dataValidation>
    <dataValidation type="list" allowBlank="1" showErrorMessage="1" errorTitle="Valor inválido" error="Valor fora da lista controlada (ver folha Listas)." sqref="O5:O247" xr:uid="{00000000-0002-0000-0200-000008000000}">
      <formula1>lst_M15</formula1>
    </dataValidation>
    <dataValidation type="list" allowBlank="1" showErrorMessage="1" errorTitle="Valor inválido" error="Valor fora da lista controlada (ver folha Listas)." sqref="P5:P247" xr:uid="{00000000-0002-0000-0200-000009000000}">
      <formula1>lst_G</formula1>
    </dataValidation>
    <dataValidation type="list" allowBlank="1" showErrorMessage="1" errorTitle="Valor inválido" error="Valor fora da lista controlada (ver folha Listas)." sqref="Q5:Q247" xr:uid="{00000000-0002-0000-0200-00000A000000}">
      <formula1>lst_L</formula1>
    </dataValidation>
    <dataValidation type="list" allowBlank="1" showErrorMessage="1" errorTitle="Valor inválido" error="Valor fora da lista controlada (ver folha Listas)." sqref="AJ5:AJ247" xr:uid="{00000000-0002-0000-0200-00000B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8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0" customWidth="1"/>
    <col min="3" max="3" width="9" customWidth="1"/>
    <col min="4" max="4" width="50" customWidth="1"/>
    <col min="5" max="5" width="32" customWidth="1"/>
    <col min="6" max="6" width="6" customWidth="1"/>
  </cols>
  <sheetData>
    <row r="1" spans="1:6" ht="26.4" x14ac:dyDescent="0.3">
      <c r="A1" s="8" t="s">
        <v>101</v>
      </c>
      <c r="B1" s="8" t="s">
        <v>68</v>
      </c>
      <c r="C1" s="8" t="s">
        <v>533</v>
      </c>
      <c r="D1" s="9" t="s">
        <v>69</v>
      </c>
      <c r="E1" s="9" t="s">
        <v>120</v>
      </c>
      <c r="F1" s="9" t="s">
        <v>119</v>
      </c>
    </row>
    <row r="2" spans="1:6" x14ac:dyDescent="0.3">
      <c r="A2" s="10" t="s">
        <v>140</v>
      </c>
      <c r="B2" s="10" t="s">
        <v>73</v>
      </c>
      <c r="C2" s="10" t="s">
        <v>214</v>
      </c>
      <c r="D2" s="12" t="str">
        <f>IFERROR(INDEX(tbl_impactes[Impacte],MATCH(B2,tbl_impactes[ID_Impacte],0)),"")</f>
        <v>Esgotamento de Recursos Naturais / Recursos</v>
      </c>
      <c r="E2" s="12" t="str">
        <f>IFERROR(INDEX(tbl_aspetos[Classificacao],MATCH(A2,tbl_aspetos[ID_Aspeto],0)),"")</f>
        <v>Moderado</v>
      </c>
      <c r="F2" s="11">
        <f>IFERROR(INDEX(tbl_aspetos[IRA],MATCH(A2,tbl_aspetos[ID_Aspeto],0)),"")</f>
        <v>20</v>
      </c>
    </row>
    <row r="3" spans="1:6" x14ac:dyDescent="0.3">
      <c r="A3" s="10" t="s">
        <v>140</v>
      </c>
      <c r="B3" s="10" t="s">
        <v>80</v>
      </c>
      <c r="C3" s="10" t="s">
        <v>159</v>
      </c>
      <c r="D3" s="12" t="str">
        <f>IFERROR(INDEX(tbl_impactes[Impacte],MATCH(B3,tbl_impactes[ID_Impacte],0)),"")</f>
        <v>Mudanças Climáticas</v>
      </c>
      <c r="E3" s="12" t="str">
        <f>IFERROR(INDEX(tbl_aspetos[Classificacao],MATCH(A3,tbl_aspetos[ID_Aspeto],0)),"")</f>
        <v>Moderado</v>
      </c>
      <c r="F3" s="11">
        <f>IFERROR(INDEX(tbl_aspetos[IRA],MATCH(A3,tbl_aspetos[ID_Aspeto],0)),"")</f>
        <v>20</v>
      </c>
    </row>
    <row r="4" spans="1:6" x14ac:dyDescent="0.3">
      <c r="A4" s="10" t="s">
        <v>161</v>
      </c>
      <c r="B4" s="10" t="s">
        <v>80</v>
      </c>
      <c r="C4" s="10" t="s">
        <v>214</v>
      </c>
      <c r="D4" s="12" t="str">
        <f>IFERROR(INDEX(tbl_impactes[Impacte],MATCH(B4,tbl_impactes[ID_Impacte],0)),"")</f>
        <v>Mudanças Climáticas</v>
      </c>
      <c r="E4" s="12" t="str">
        <f>IFERROR(INDEX(tbl_aspetos[Classificacao],MATCH(A4,tbl_aspetos[ID_Aspeto],0)),"")</f>
        <v>Moderado</v>
      </c>
      <c r="F4" s="11">
        <f>IFERROR(INDEX(tbl_aspetos[IRA],MATCH(A4,tbl_aspetos[ID_Aspeto],0)),"")</f>
        <v>24</v>
      </c>
    </row>
    <row r="5" spans="1:6" x14ac:dyDescent="0.3">
      <c r="A5" s="10" t="s">
        <v>161</v>
      </c>
      <c r="B5" s="10" t="s">
        <v>78</v>
      </c>
      <c r="C5" s="10" t="s">
        <v>159</v>
      </c>
      <c r="D5" s="12" t="str">
        <f>IFERROR(INDEX(tbl_impactes[Impacte],MATCH(B5,tbl_impactes[ID_Impacte],0)),"")</f>
        <v>Poluição do Ar</v>
      </c>
      <c r="E5" s="12" t="str">
        <f>IFERROR(INDEX(tbl_aspetos[Classificacao],MATCH(A5,tbl_aspetos[ID_Aspeto],0)),"")</f>
        <v>Moderado</v>
      </c>
      <c r="F5" s="11">
        <f>IFERROR(INDEX(tbl_aspetos[IRA],MATCH(A5,tbl_aspetos[ID_Aspeto],0)),"")</f>
        <v>24</v>
      </c>
    </row>
    <row r="6" spans="1:6" x14ac:dyDescent="0.3">
      <c r="A6" s="10" t="s">
        <v>169</v>
      </c>
      <c r="B6" s="10" t="s">
        <v>88</v>
      </c>
      <c r="C6" s="10" t="s">
        <v>214</v>
      </c>
      <c r="D6" s="12" t="str">
        <f>IFERROR(INDEX(tbl_impactes[Impacte],MATCH(B6,tbl_impactes[ID_Impacte],0)),"")</f>
        <v>Degradação da saúde dos ecossistemas aquáticos (microplásticos)</v>
      </c>
      <c r="E6" s="12" t="str">
        <f>IFERROR(INDEX(tbl_aspetos[Classificacao],MATCH(A6,tbl_aspetos[ID_Aspeto],0)),"")</f>
        <v>Moderado</v>
      </c>
      <c r="F6" s="11">
        <f>IFERROR(INDEX(tbl_aspetos[IRA],MATCH(A6,tbl_aspetos[ID_Aspeto],0)),"")</f>
        <v>28</v>
      </c>
    </row>
    <row r="7" spans="1:6" x14ac:dyDescent="0.3">
      <c r="A7" s="10" t="s">
        <v>169</v>
      </c>
      <c r="B7" s="10" t="s">
        <v>76</v>
      </c>
      <c r="C7" s="10" t="s">
        <v>159</v>
      </c>
      <c r="D7" s="12" t="str">
        <f>IFERROR(INDEX(tbl_impactes[Impacte],MATCH(B7,tbl_impactes[ID_Impacte],0)),"")</f>
        <v>Contaminação do Solo e/ou Recursos Hídricos</v>
      </c>
      <c r="E7" s="12" t="str">
        <f>IFERROR(INDEX(tbl_aspetos[Classificacao],MATCH(A7,tbl_aspetos[ID_Aspeto],0)),"")</f>
        <v>Moderado</v>
      </c>
      <c r="F7" s="11">
        <f>IFERROR(INDEX(tbl_aspetos[IRA],MATCH(A7,tbl_aspetos[ID_Aspeto],0)),"")</f>
        <v>28</v>
      </c>
    </row>
    <row r="8" spans="1:6" x14ac:dyDescent="0.3">
      <c r="A8" s="10" t="s">
        <v>169</v>
      </c>
      <c r="B8" s="10" t="s">
        <v>84</v>
      </c>
      <c r="C8" s="10" t="s">
        <v>159</v>
      </c>
      <c r="D8" s="12" t="str">
        <f>IFERROR(INDEX(tbl_impactes[Impacte],MATCH(B8,tbl_impactes[ID_Impacte],0)),"")</f>
        <v>Perturbação da Fauna / Flora / Paisagem</v>
      </c>
      <c r="E8" s="12" t="str">
        <f>IFERROR(INDEX(tbl_aspetos[Classificacao],MATCH(A8,tbl_aspetos[ID_Aspeto],0)),"")</f>
        <v>Moderado</v>
      </c>
      <c r="F8" s="11">
        <f>IFERROR(INDEX(tbl_aspetos[IRA],MATCH(A8,tbl_aspetos[ID_Aspeto],0)),"")</f>
        <v>28</v>
      </c>
    </row>
    <row r="9" spans="1:6" x14ac:dyDescent="0.3">
      <c r="A9" s="10" t="s">
        <v>188</v>
      </c>
      <c r="B9" s="10" t="s">
        <v>86</v>
      </c>
      <c r="C9" s="10" t="s">
        <v>214</v>
      </c>
      <c r="D9" s="12" t="str">
        <f>IFERROR(INDEX(tbl_impactes[Impacte],MATCH(B9,tbl_impactes[ID_Impacte],0)),"")</f>
        <v>Redução da vida útil de aterros e passivos ambientais</v>
      </c>
      <c r="E9" s="12" t="str">
        <f>IFERROR(INDEX(tbl_aspetos[Classificacao],MATCH(A9,tbl_aspetos[ID_Aspeto],0)),"")</f>
        <v>Não Significativo</v>
      </c>
      <c r="F9" s="11">
        <f>IFERROR(INDEX(tbl_aspetos[IRA],MATCH(A9,tbl_aspetos[ID_Aspeto],0)),"")</f>
        <v>14</v>
      </c>
    </row>
    <row r="10" spans="1:6" x14ac:dyDescent="0.3">
      <c r="A10" s="10" t="s">
        <v>188</v>
      </c>
      <c r="B10" s="10" t="s">
        <v>73</v>
      </c>
      <c r="C10" s="10" t="s">
        <v>159</v>
      </c>
      <c r="D10" s="12" t="str">
        <f>IFERROR(INDEX(tbl_impactes[Impacte],MATCH(B10,tbl_impactes[ID_Impacte],0)),"")</f>
        <v>Esgotamento de Recursos Naturais / Recursos</v>
      </c>
      <c r="E10" s="12" t="str">
        <f>IFERROR(INDEX(tbl_aspetos[Classificacao],MATCH(A10,tbl_aspetos[ID_Aspeto],0)),"")</f>
        <v>Não Significativo</v>
      </c>
      <c r="F10" s="11">
        <f>IFERROR(INDEX(tbl_aspetos[IRA],MATCH(A10,tbl_aspetos[ID_Aspeto],0)),"")</f>
        <v>14</v>
      </c>
    </row>
    <row r="11" spans="1:6" x14ac:dyDescent="0.3">
      <c r="A11" s="10" t="s">
        <v>198</v>
      </c>
      <c r="B11" s="10" t="s">
        <v>76</v>
      </c>
      <c r="C11" s="10" t="s">
        <v>214</v>
      </c>
      <c r="D11" s="12" t="str">
        <f>IFERROR(INDEX(tbl_impactes[Impacte],MATCH(B11,tbl_impactes[ID_Impacte],0)),"")</f>
        <v>Contaminação do Solo e/ou Recursos Hídricos</v>
      </c>
      <c r="E11" s="12" t="str">
        <f>IFERROR(INDEX(tbl_aspetos[Classificacao],MATCH(A11,tbl_aspetos[ID_Aspeto],0)),"")</f>
        <v>Moderado</v>
      </c>
      <c r="F11" s="11">
        <f>IFERROR(INDEX(tbl_aspetos[IRA],MATCH(A11,tbl_aspetos[ID_Aspeto],0)),"")</f>
        <v>20</v>
      </c>
    </row>
    <row r="12" spans="1:6" x14ac:dyDescent="0.3">
      <c r="A12" s="10" t="s">
        <v>198</v>
      </c>
      <c r="B12" s="10" t="s">
        <v>78</v>
      </c>
      <c r="C12" s="10" t="s">
        <v>159</v>
      </c>
      <c r="D12" s="12" t="str">
        <f>IFERROR(INDEX(tbl_impactes[Impacte],MATCH(B12,tbl_impactes[ID_Impacte],0)),"")</f>
        <v>Poluição do Ar</v>
      </c>
      <c r="E12" s="12" t="str">
        <f>IFERROR(INDEX(tbl_aspetos[Classificacao],MATCH(A12,tbl_aspetos[ID_Aspeto],0)),"")</f>
        <v>Moderado</v>
      </c>
      <c r="F12" s="11">
        <f>IFERROR(INDEX(tbl_aspetos[IRA],MATCH(A12,tbl_aspetos[ID_Aspeto],0)),"")</f>
        <v>20</v>
      </c>
    </row>
    <row r="13" spans="1:6" x14ac:dyDescent="0.3">
      <c r="A13" s="10" t="s">
        <v>215</v>
      </c>
      <c r="B13" s="10" t="s">
        <v>78</v>
      </c>
      <c r="C13" s="10" t="s">
        <v>214</v>
      </c>
      <c r="D13" s="12" t="str">
        <f>IFERROR(INDEX(tbl_impactes[Impacte],MATCH(B13,tbl_impactes[ID_Impacte],0)),"")</f>
        <v>Poluição do Ar</v>
      </c>
      <c r="E13" s="12" t="str">
        <f>IFERROR(INDEX(tbl_aspetos[Classificacao],MATCH(A13,tbl_aspetos[ID_Aspeto],0)),"")</f>
        <v>Moderado</v>
      </c>
      <c r="F13" s="11">
        <f>IFERROR(INDEX(tbl_aspetos[IRA],MATCH(A13,tbl_aspetos[ID_Aspeto],0)),"")</f>
        <v>25</v>
      </c>
    </row>
    <row r="14" spans="1:6" x14ac:dyDescent="0.3">
      <c r="A14" s="10" t="s">
        <v>215</v>
      </c>
      <c r="B14" s="10" t="s">
        <v>80</v>
      </c>
      <c r="C14" s="10" t="s">
        <v>159</v>
      </c>
      <c r="D14" s="12" t="str">
        <f>IFERROR(INDEX(tbl_impactes[Impacte],MATCH(B14,tbl_impactes[ID_Impacte],0)),"")</f>
        <v>Mudanças Climáticas</v>
      </c>
      <c r="E14" s="12" t="str">
        <f>IFERROR(INDEX(tbl_aspetos[Classificacao],MATCH(A14,tbl_aspetos[ID_Aspeto],0)),"")</f>
        <v>Moderado</v>
      </c>
      <c r="F14" s="11">
        <f>IFERROR(INDEX(tbl_aspetos[IRA],MATCH(A14,tbl_aspetos[ID_Aspeto],0)),"")</f>
        <v>25</v>
      </c>
    </row>
    <row r="15" spans="1:6" x14ac:dyDescent="0.3">
      <c r="A15" s="10" t="s">
        <v>226</v>
      </c>
      <c r="B15" s="10" t="s">
        <v>73</v>
      </c>
      <c r="C15" s="10" t="s">
        <v>214</v>
      </c>
      <c r="D15" s="12" t="str">
        <f>IFERROR(INDEX(tbl_impactes[Impacte],MATCH(B15,tbl_impactes[ID_Impacte],0)),"")</f>
        <v>Esgotamento de Recursos Naturais / Recursos</v>
      </c>
      <c r="E15" s="12" t="str">
        <f>IFERROR(INDEX(tbl_aspetos[Classificacao],MATCH(A15,tbl_aspetos[ID_Aspeto],0)),"")</f>
        <v>Moderado</v>
      </c>
      <c r="F15" s="11">
        <f>IFERROR(INDEX(tbl_aspetos[IRA],MATCH(A15,tbl_aspetos[ID_Aspeto],0)),"")</f>
        <v>30</v>
      </c>
    </row>
    <row r="16" spans="1:6" x14ac:dyDescent="0.3">
      <c r="A16" s="10" t="s">
        <v>226</v>
      </c>
      <c r="B16" s="10" t="s">
        <v>80</v>
      </c>
      <c r="C16" s="10" t="s">
        <v>159</v>
      </c>
      <c r="D16" s="12" t="str">
        <f>IFERROR(INDEX(tbl_impactes[Impacte],MATCH(B16,tbl_impactes[ID_Impacte],0)),"")</f>
        <v>Mudanças Climáticas</v>
      </c>
      <c r="E16" s="12" t="str">
        <f>IFERROR(INDEX(tbl_aspetos[Classificacao],MATCH(A16,tbl_aspetos[ID_Aspeto],0)),"")</f>
        <v>Moderado</v>
      </c>
      <c r="F16" s="11">
        <f>IFERROR(INDEX(tbl_aspetos[IRA],MATCH(A16,tbl_aspetos[ID_Aspeto],0)),"")</f>
        <v>30</v>
      </c>
    </row>
    <row r="17" spans="1:6" x14ac:dyDescent="0.3">
      <c r="A17" s="10" t="s">
        <v>241</v>
      </c>
      <c r="B17" s="10" t="s">
        <v>73</v>
      </c>
      <c r="C17" s="10" t="s">
        <v>214</v>
      </c>
      <c r="D17" s="12" t="str">
        <f>IFERROR(INDEX(tbl_impactes[Impacte],MATCH(B17,tbl_impactes[ID_Impacte],0)),"")</f>
        <v>Esgotamento de Recursos Naturais / Recursos</v>
      </c>
      <c r="E17" s="12" t="str">
        <f>IFERROR(INDEX(tbl_aspetos[Classificacao],MATCH(A17,tbl_aspetos[ID_Aspeto],0)),"")</f>
        <v>Moderado</v>
      </c>
      <c r="F17" s="11">
        <f>IFERROR(INDEX(tbl_aspetos[IRA],MATCH(A17,tbl_aspetos[ID_Aspeto],0)),"")</f>
        <v>24</v>
      </c>
    </row>
    <row r="18" spans="1:6" x14ac:dyDescent="0.3">
      <c r="A18" s="10" t="s">
        <v>241</v>
      </c>
      <c r="B18" s="10" t="s">
        <v>86</v>
      </c>
      <c r="C18" s="10" t="s">
        <v>159</v>
      </c>
      <c r="D18" s="12" t="str">
        <f>IFERROR(INDEX(tbl_impactes[Impacte],MATCH(B18,tbl_impactes[ID_Impacte],0)),"")</f>
        <v>Redução da vida útil de aterros e passivos ambientais</v>
      </c>
      <c r="E18" s="12" t="str">
        <f>IFERROR(INDEX(tbl_aspetos[Classificacao],MATCH(A18,tbl_aspetos[ID_Aspeto],0)),"")</f>
        <v>Moderado</v>
      </c>
      <c r="F18" s="11">
        <f>IFERROR(INDEX(tbl_aspetos[IRA],MATCH(A18,tbl_aspetos[ID_Aspeto],0)),"")</f>
        <v>24</v>
      </c>
    </row>
    <row r="19" spans="1:6" x14ac:dyDescent="0.3">
      <c r="A19" s="10" t="s">
        <v>249</v>
      </c>
      <c r="B19" s="10" t="s">
        <v>76</v>
      </c>
      <c r="C19" s="10" t="s">
        <v>214</v>
      </c>
      <c r="D19" s="12" t="str">
        <f>IFERROR(INDEX(tbl_impactes[Impacte],MATCH(B19,tbl_impactes[ID_Impacte],0)),"")</f>
        <v>Contaminação do Solo e/ou Recursos Hídricos</v>
      </c>
      <c r="E19" s="12" t="str">
        <f>IFERROR(INDEX(tbl_aspetos[Classificacao],MATCH(A19,tbl_aspetos[ID_Aspeto],0)),"")</f>
        <v>Não Significativo</v>
      </c>
      <c r="F19" s="11">
        <f>IFERROR(INDEX(tbl_aspetos[IRA],MATCH(A19,tbl_aspetos[ID_Aspeto],0)),"")</f>
        <v>16</v>
      </c>
    </row>
    <row r="20" spans="1:6" x14ac:dyDescent="0.3">
      <c r="A20" s="10" t="s">
        <v>256</v>
      </c>
      <c r="B20" s="10" t="s">
        <v>73</v>
      </c>
      <c r="C20" s="10" t="s">
        <v>214</v>
      </c>
      <c r="D20" s="12" t="str">
        <f>IFERROR(INDEX(tbl_impactes[Impacte],MATCH(B20,tbl_impactes[ID_Impacte],0)),"")</f>
        <v>Esgotamento de Recursos Naturais / Recursos</v>
      </c>
      <c r="E20" s="12" t="str">
        <f>IFERROR(INDEX(tbl_aspetos[Classificacao],MATCH(A20,tbl_aspetos[ID_Aspeto],0)),"")</f>
        <v>Moderado</v>
      </c>
      <c r="F20" s="11">
        <f>IFERROR(INDEX(tbl_aspetos[IRA],MATCH(A20,tbl_aspetos[ID_Aspeto],0)),"")</f>
        <v>30</v>
      </c>
    </row>
    <row r="21" spans="1:6" x14ac:dyDescent="0.3">
      <c r="A21" s="10" t="s">
        <v>256</v>
      </c>
      <c r="B21" s="10" t="s">
        <v>80</v>
      </c>
      <c r="C21" s="10" t="s">
        <v>159</v>
      </c>
      <c r="D21" s="12" t="str">
        <f>IFERROR(INDEX(tbl_impactes[Impacte],MATCH(B21,tbl_impactes[ID_Impacte],0)),"")</f>
        <v>Mudanças Climáticas</v>
      </c>
      <c r="E21" s="12" t="str">
        <f>IFERROR(INDEX(tbl_aspetos[Classificacao],MATCH(A21,tbl_aspetos[ID_Aspeto],0)),"")</f>
        <v>Moderado</v>
      </c>
      <c r="F21" s="11">
        <f>IFERROR(INDEX(tbl_aspetos[IRA],MATCH(A21,tbl_aspetos[ID_Aspeto],0)),"")</f>
        <v>30</v>
      </c>
    </row>
    <row r="22" spans="1:6" x14ac:dyDescent="0.3">
      <c r="A22" s="10" t="s">
        <v>264</v>
      </c>
      <c r="B22" s="10" t="s">
        <v>73</v>
      </c>
      <c r="C22" s="10" t="s">
        <v>214</v>
      </c>
      <c r="D22" s="12" t="str">
        <f>IFERROR(INDEX(tbl_impactes[Impacte],MATCH(B22,tbl_impactes[ID_Impacte],0)),"")</f>
        <v>Esgotamento de Recursos Naturais / Recursos</v>
      </c>
      <c r="E22" s="12" t="str">
        <f>IFERROR(INDEX(tbl_aspetos[Classificacao],MATCH(A22,tbl_aspetos[ID_Aspeto],0)),"")</f>
        <v>Moderado</v>
      </c>
      <c r="F22" s="11">
        <f>IFERROR(INDEX(tbl_aspetos[IRA],MATCH(A22,tbl_aspetos[ID_Aspeto],0)),"")</f>
        <v>27</v>
      </c>
    </row>
    <row r="23" spans="1:6" x14ac:dyDescent="0.3">
      <c r="A23" s="10" t="s">
        <v>264</v>
      </c>
      <c r="B23" s="10" t="s">
        <v>86</v>
      </c>
      <c r="C23" s="10" t="s">
        <v>159</v>
      </c>
      <c r="D23" s="12" t="str">
        <f>IFERROR(INDEX(tbl_impactes[Impacte],MATCH(B23,tbl_impactes[ID_Impacte],0)),"")</f>
        <v>Redução da vida útil de aterros e passivos ambientais</v>
      </c>
      <c r="E23" s="12" t="str">
        <f>IFERROR(INDEX(tbl_aspetos[Classificacao],MATCH(A23,tbl_aspetos[ID_Aspeto],0)),"")</f>
        <v>Moderado</v>
      </c>
      <c r="F23" s="11">
        <f>IFERROR(INDEX(tbl_aspetos[IRA],MATCH(A23,tbl_aspetos[ID_Aspeto],0)),"")</f>
        <v>27</v>
      </c>
    </row>
    <row r="24" spans="1:6" x14ac:dyDescent="0.3">
      <c r="A24" s="10" t="s">
        <v>270</v>
      </c>
      <c r="B24" s="10" t="s">
        <v>73</v>
      </c>
      <c r="C24" s="10" t="s">
        <v>214</v>
      </c>
      <c r="D24" s="12" t="str">
        <f>IFERROR(INDEX(tbl_impactes[Impacte],MATCH(B24,tbl_impactes[ID_Impacte],0)),"")</f>
        <v>Esgotamento de Recursos Naturais / Recursos</v>
      </c>
      <c r="E24" s="12" t="str">
        <f>IFERROR(INDEX(tbl_aspetos[Classificacao],MATCH(A24,tbl_aspetos[ID_Aspeto],0)),"")</f>
        <v>Moderado</v>
      </c>
      <c r="F24" s="11">
        <f>IFERROR(INDEX(tbl_aspetos[IRA],MATCH(A24,tbl_aspetos[ID_Aspeto],0)),"")</f>
        <v>21</v>
      </c>
    </row>
    <row r="25" spans="1:6" x14ac:dyDescent="0.3">
      <c r="A25" s="10" t="s">
        <v>270</v>
      </c>
      <c r="B25" s="10" t="s">
        <v>86</v>
      </c>
      <c r="C25" s="10" t="s">
        <v>159</v>
      </c>
      <c r="D25" s="12" t="str">
        <f>IFERROR(INDEX(tbl_impactes[Impacte],MATCH(B25,tbl_impactes[ID_Impacte],0)),"")</f>
        <v>Redução da vida útil de aterros e passivos ambientais</v>
      </c>
      <c r="E25" s="12" t="str">
        <f>IFERROR(INDEX(tbl_aspetos[Classificacao],MATCH(A25,tbl_aspetos[ID_Aspeto],0)),"")</f>
        <v>Moderado</v>
      </c>
      <c r="F25" s="11">
        <f>IFERROR(INDEX(tbl_aspetos[IRA],MATCH(A25,tbl_aspetos[ID_Aspeto],0)),"")</f>
        <v>21</v>
      </c>
    </row>
    <row r="26" spans="1:6" x14ac:dyDescent="0.3">
      <c r="A26" s="10" t="s">
        <v>277</v>
      </c>
      <c r="B26" s="10" t="s">
        <v>76</v>
      </c>
      <c r="C26" s="10" t="s">
        <v>214</v>
      </c>
      <c r="D26" s="12" t="str">
        <f>IFERROR(INDEX(tbl_impactes[Impacte],MATCH(B26,tbl_impactes[ID_Impacte],0)),"")</f>
        <v>Contaminação do Solo e/ou Recursos Hídricos</v>
      </c>
      <c r="E26" s="12" t="str">
        <f>IFERROR(INDEX(tbl_aspetos[Classificacao],MATCH(A26,tbl_aspetos[ID_Aspeto],0)),"")</f>
        <v>Moderado</v>
      </c>
      <c r="F26" s="11">
        <f>IFERROR(INDEX(tbl_aspetos[IRA],MATCH(A26,tbl_aspetos[ID_Aspeto],0)),"")</f>
        <v>24</v>
      </c>
    </row>
    <row r="27" spans="1:6" x14ac:dyDescent="0.3">
      <c r="A27" s="10" t="s">
        <v>284</v>
      </c>
      <c r="B27" s="10" t="s">
        <v>78</v>
      </c>
      <c r="C27" s="10" t="s">
        <v>214</v>
      </c>
      <c r="D27" s="12" t="str">
        <f>IFERROR(INDEX(tbl_impactes[Impacte],MATCH(B27,tbl_impactes[ID_Impacte],0)),"")</f>
        <v>Poluição do Ar</v>
      </c>
      <c r="E27" s="12" t="str">
        <f>IFERROR(INDEX(tbl_aspetos[Classificacao],MATCH(A27,tbl_aspetos[ID_Aspeto],0)),"")</f>
        <v>ASPETO AMBIENTAL SIGNIFICATIVO (AAS)</v>
      </c>
      <c r="F27" s="11">
        <f>IFERROR(INDEX(tbl_aspetos[IRA],MATCH(A27,tbl_aspetos[ID_Aspeto],0)),"")</f>
        <v>40</v>
      </c>
    </row>
    <row r="28" spans="1:6" x14ac:dyDescent="0.3">
      <c r="A28" s="10" t="s">
        <v>284</v>
      </c>
      <c r="B28" s="10" t="s">
        <v>80</v>
      </c>
      <c r="C28" s="10" t="s">
        <v>159</v>
      </c>
      <c r="D28" s="12" t="str">
        <f>IFERROR(INDEX(tbl_impactes[Impacte],MATCH(B28,tbl_impactes[ID_Impacte],0)),"")</f>
        <v>Mudanças Climáticas</v>
      </c>
      <c r="E28" s="12" t="str">
        <f>IFERROR(INDEX(tbl_aspetos[Classificacao],MATCH(A28,tbl_aspetos[ID_Aspeto],0)),"")</f>
        <v>ASPETO AMBIENTAL SIGNIFICATIVO (AAS)</v>
      </c>
      <c r="F28" s="11">
        <f>IFERROR(INDEX(tbl_aspetos[IRA],MATCH(A28,tbl_aspetos[ID_Aspeto],0)),"")</f>
        <v>40</v>
      </c>
    </row>
    <row r="29" spans="1:6" x14ac:dyDescent="0.3">
      <c r="A29" s="10" t="s">
        <v>295</v>
      </c>
      <c r="B29" s="10" t="s">
        <v>73</v>
      </c>
      <c r="C29" s="10" t="s">
        <v>214</v>
      </c>
      <c r="D29" s="12" t="str">
        <f>IFERROR(INDEX(tbl_impactes[Impacte],MATCH(B29,tbl_impactes[ID_Impacte],0)),"")</f>
        <v>Esgotamento de Recursos Naturais / Recursos</v>
      </c>
      <c r="E29" s="12" t="str">
        <f>IFERROR(INDEX(tbl_aspetos[Classificacao],MATCH(A29,tbl_aspetos[ID_Aspeto],0)),"")</f>
        <v>Moderado</v>
      </c>
      <c r="F29" s="11">
        <f>IFERROR(INDEX(tbl_aspetos[IRA],MATCH(A29,tbl_aspetos[ID_Aspeto],0)),"")</f>
        <v>32</v>
      </c>
    </row>
    <row r="30" spans="1:6" x14ac:dyDescent="0.3">
      <c r="A30" s="10" t="s">
        <v>295</v>
      </c>
      <c r="B30" s="10" t="s">
        <v>78</v>
      </c>
      <c r="C30" s="10" t="s">
        <v>159</v>
      </c>
      <c r="D30" s="12" t="str">
        <f>IFERROR(INDEX(tbl_impactes[Impacte],MATCH(B30,tbl_impactes[ID_Impacte],0)),"")</f>
        <v>Poluição do Ar</v>
      </c>
      <c r="E30" s="12" t="str">
        <f>IFERROR(INDEX(tbl_aspetos[Classificacao],MATCH(A30,tbl_aspetos[ID_Aspeto],0)),"")</f>
        <v>Moderado</v>
      </c>
      <c r="F30" s="11">
        <f>IFERROR(INDEX(tbl_aspetos[IRA],MATCH(A30,tbl_aspetos[ID_Aspeto],0)),"")</f>
        <v>32</v>
      </c>
    </row>
    <row r="31" spans="1:6" x14ac:dyDescent="0.3">
      <c r="A31" s="10" t="s">
        <v>302</v>
      </c>
      <c r="B31" s="10" t="s">
        <v>76</v>
      </c>
      <c r="C31" s="10" t="s">
        <v>214</v>
      </c>
      <c r="D31" s="12" t="str">
        <f>IFERROR(INDEX(tbl_impactes[Impacte],MATCH(B31,tbl_impactes[ID_Impacte],0)),"")</f>
        <v>Contaminação do Solo e/ou Recursos Hídricos</v>
      </c>
      <c r="E31" s="12" t="str">
        <f>IFERROR(INDEX(tbl_aspetos[Classificacao],MATCH(A31,tbl_aspetos[ID_Aspeto],0)),"")</f>
        <v>Moderado</v>
      </c>
      <c r="F31" s="11">
        <f>IFERROR(INDEX(tbl_aspetos[IRA],MATCH(A31,tbl_aspetos[ID_Aspeto],0)),"")</f>
        <v>28</v>
      </c>
    </row>
    <row r="32" spans="1:6" x14ac:dyDescent="0.3">
      <c r="A32" s="10" t="s">
        <v>302</v>
      </c>
      <c r="B32" s="10" t="s">
        <v>86</v>
      </c>
      <c r="C32" s="10" t="s">
        <v>159</v>
      </c>
      <c r="D32" s="12" t="str">
        <f>IFERROR(INDEX(tbl_impactes[Impacte],MATCH(B32,tbl_impactes[ID_Impacte],0)),"")</f>
        <v>Redução da vida útil de aterros e passivos ambientais</v>
      </c>
      <c r="E32" s="12" t="str">
        <f>IFERROR(INDEX(tbl_aspetos[Classificacao],MATCH(A32,tbl_aspetos[ID_Aspeto],0)),"")</f>
        <v>Moderado</v>
      </c>
      <c r="F32" s="11">
        <f>IFERROR(INDEX(tbl_aspetos[IRA],MATCH(A32,tbl_aspetos[ID_Aspeto],0)),"")</f>
        <v>28</v>
      </c>
    </row>
    <row r="33" spans="1:6" x14ac:dyDescent="0.3">
      <c r="A33" s="10" t="s">
        <v>310</v>
      </c>
      <c r="B33" s="10" t="s">
        <v>76</v>
      </c>
      <c r="C33" s="10" t="s">
        <v>214</v>
      </c>
      <c r="D33" s="12" t="str">
        <f>IFERROR(INDEX(tbl_impactes[Impacte],MATCH(B33,tbl_impactes[ID_Impacte],0)),"")</f>
        <v>Contaminação do Solo e/ou Recursos Hídricos</v>
      </c>
      <c r="E33" s="12" t="str">
        <f>IFERROR(INDEX(tbl_aspetos[Classificacao],MATCH(A33,tbl_aspetos[ID_Aspeto],0)),"")</f>
        <v>Não Significativo</v>
      </c>
      <c r="F33" s="11">
        <f>IFERROR(INDEX(tbl_aspetos[IRA],MATCH(A33,tbl_aspetos[ID_Aspeto],0)),"")</f>
        <v>15</v>
      </c>
    </row>
    <row r="34" spans="1:6" x14ac:dyDescent="0.3">
      <c r="A34" s="10" t="s">
        <v>310</v>
      </c>
      <c r="B34" s="10" t="s">
        <v>78</v>
      </c>
      <c r="C34" s="10" t="s">
        <v>159</v>
      </c>
      <c r="D34" s="12" t="str">
        <f>IFERROR(INDEX(tbl_impactes[Impacte],MATCH(B34,tbl_impactes[ID_Impacte],0)),"")</f>
        <v>Poluição do Ar</v>
      </c>
      <c r="E34" s="12" t="str">
        <f>IFERROR(INDEX(tbl_aspetos[Classificacao],MATCH(A34,tbl_aspetos[ID_Aspeto],0)),"")</f>
        <v>Não Significativo</v>
      </c>
      <c r="F34" s="11">
        <f>IFERROR(INDEX(tbl_aspetos[IRA],MATCH(A34,tbl_aspetos[ID_Aspeto],0)),"")</f>
        <v>15</v>
      </c>
    </row>
    <row r="35" spans="1:6" x14ac:dyDescent="0.3">
      <c r="A35" s="10" t="s">
        <v>317</v>
      </c>
      <c r="B35" s="10" t="s">
        <v>86</v>
      </c>
      <c r="C35" s="10" t="s">
        <v>214</v>
      </c>
      <c r="D35" s="12" t="str">
        <f>IFERROR(INDEX(tbl_impactes[Impacte],MATCH(B35,tbl_impactes[ID_Impacte],0)),"")</f>
        <v>Redução da vida útil de aterros e passivos ambientais</v>
      </c>
      <c r="E35" s="12" t="str">
        <f>IFERROR(INDEX(tbl_aspetos[Classificacao],MATCH(A35,tbl_aspetos[ID_Aspeto],0)),"")</f>
        <v>Não Significativo</v>
      </c>
      <c r="F35" s="11">
        <f>IFERROR(INDEX(tbl_aspetos[IRA],MATCH(A35,tbl_aspetos[ID_Aspeto],0)),"")</f>
        <v>16</v>
      </c>
    </row>
    <row r="36" spans="1:6" x14ac:dyDescent="0.3">
      <c r="A36" s="10" t="s">
        <v>317</v>
      </c>
      <c r="B36" s="10" t="s">
        <v>73</v>
      </c>
      <c r="C36" s="10" t="s">
        <v>159</v>
      </c>
      <c r="D36" s="12" t="str">
        <f>IFERROR(INDEX(tbl_impactes[Impacte],MATCH(B36,tbl_impactes[ID_Impacte],0)),"")</f>
        <v>Esgotamento de Recursos Naturais / Recursos</v>
      </c>
      <c r="E36" s="12" t="str">
        <f>IFERROR(INDEX(tbl_aspetos[Classificacao],MATCH(A36,tbl_aspetos[ID_Aspeto],0)),"")</f>
        <v>Não Significativo</v>
      </c>
      <c r="F36" s="11">
        <f>IFERROR(INDEX(tbl_aspetos[IRA],MATCH(A36,tbl_aspetos[ID_Aspeto],0)),"")</f>
        <v>16</v>
      </c>
    </row>
    <row r="37" spans="1:6" x14ac:dyDescent="0.3">
      <c r="A37" s="10" t="s">
        <v>325</v>
      </c>
      <c r="B37" s="10" t="s">
        <v>73</v>
      </c>
      <c r="C37" s="10" t="s">
        <v>214</v>
      </c>
      <c r="D37" s="12" t="str">
        <f>IFERROR(INDEX(tbl_impactes[Impacte],MATCH(B37,tbl_impactes[ID_Impacte],0)),"")</f>
        <v>Esgotamento de Recursos Naturais / Recursos</v>
      </c>
      <c r="E37" s="12" t="str">
        <f>IFERROR(INDEX(tbl_aspetos[Classificacao],MATCH(A37,tbl_aspetos[ID_Aspeto],0)),"")</f>
        <v>Moderado</v>
      </c>
      <c r="F37" s="11">
        <f>IFERROR(INDEX(tbl_aspetos[IRA],MATCH(A37,tbl_aspetos[ID_Aspeto],0)),"")</f>
        <v>21</v>
      </c>
    </row>
    <row r="38" spans="1:6" x14ac:dyDescent="0.3">
      <c r="A38" s="10" t="s">
        <v>325</v>
      </c>
      <c r="B38" s="10" t="s">
        <v>80</v>
      </c>
      <c r="C38" s="10" t="s">
        <v>159</v>
      </c>
      <c r="D38" s="12" t="str">
        <f>IFERROR(INDEX(tbl_impactes[Impacte],MATCH(B38,tbl_impactes[ID_Impacte],0)),"")</f>
        <v>Mudanças Climáticas</v>
      </c>
      <c r="E38" s="12" t="str">
        <f>IFERROR(INDEX(tbl_aspetos[Classificacao],MATCH(A38,tbl_aspetos[ID_Aspeto],0)),"")</f>
        <v>Moderado</v>
      </c>
      <c r="F38" s="11">
        <f>IFERROR(INDEX(tbl_aspetos[IRA],MATCH(A38,tbl_aspetos[ID_Aspeto],0)),"")</f>
        <v>21</v>
      </c>
    </row>
    <row r="39" spans="1:6" x14ac:dyDescent="0.3">
      <c r="A39" s="10" t="s">
        <v>330</v>
      </c>
      <c r="B39" s="10" t="s">
        <v>93</v>
      </c>
      <c r="C39" s="10" t="s">
        <v>214</v>
      </c>
      <c r="D39" s="12" t="str">
        <f>IFERROR(INDEX(tbl_impactes[Impacte],MATCH(B39,tbl_impactes[ID_Impacte],0)),"")</f>
        <v>Otimização do Consumo de Matérias-Primas (poupança ou geração de novos recursos)</v>
      </c>
      <c r="E39" s="12" t="str">
        <f>IFERROR(INDEX(tbl_aspetos[Classificacao],MATCH(A39,tbl_aspetos[ID_Aspeto],0)),"")</f>
        <v>Oportunidade Tática</v>
      </c>
      <c r="F39" s="11">
        <f>IFERROR(INDEX(tbl_aspetos[IRA],MATCH(A39,tbl_aspetos[ID_Aspeto],0)),"")</f>
        <v>-9</v>
      </c>
    </row>
    <row r="40" spans="1:6" x14ac:dyDescent="0.3">
      <c r="A40" s="10" t="s">
        <v>330</v>
      </c>
      <c r="B40" s="10" t="s">
        <v>90</v>
      </c>
      <c r="C40" s="10" t="s">
        <v>159</v>
      </c>
      <c r="D40" s="12" t="str">
        <f>IFERROR(INDEX(tbl_impactes[Impacte],MATCH(B40,tbl_impactes[ID_Impacte],0)),"")</f>
        <v>Promoção da Eficiência Hídrica e Circularidade (valorização interna de resíduos/águas)</v>
      </c>
      <c r="E40" s="12" t="str">
        <f>IFERROR(INDEX(tbl_aspetos[Classificacao],MATCH(A40,tbl_aspetos[ID_Aspeto],0)),"")</f>
        <v>Oportunidade Tática</v>
      </c>
      <c r="F40" s="11">
        <f>IFERROR(INDEX(tbl_aspetos[IRA],MATCH(A40,tbl_aspetos[ID_Aspeto],0)),"")</f>
        <v>-9</v>
      </c>
    </row>
    <row r="41" spans="1:6" x14ac:dyDescent="0.3">
      <c r="A41" s="10" t="s">
        <v>338</v>
      </c>
      <c r="B41" s="10" t="s">
        <v>73</v>
      </c>
      <c r="C41" s="10" t="s">
        <v>214</v>
      </c>
      <c r="D41" s="12" t="str">
        <f>IFERROR(INDEX(tbl_impactes[Impacte],MATCH(B41,tbl_impactes[ID_Impacte],0)),"")</f>
        <v>Esgotamento de Recursos Naturais / Recursos</v>
      </c>
      <c r="E41" s="12" t="str">
        <f>IFERROR(INDEX(tbl_aspetos[Classificacao],MATCH(A41,tbl_aspetos[ID_Aspeto],0)),"")</f>
        <v>Moderado</v>
      </c>
      <c r="F41" s="11">
        <f>IFERROR(INDEX(tbl_aspetos[IRA],MATCH(A41,tbl_aspetos[ID_Aspeto],0)),"")</f>
        <v>27</v>
      </c>
    </row>
    <row r="42" spans="1:6" x14ac:dyDescent="0.3">
      <c r="A42" s="10" t="s">
        <v>338</v>
      </c>
      <c r="B42" s="10" t="s">
        <v>80</v>
      </c>
      <c r="C42" s="10" t="s">
        <v>159</v>
      </c>
      <c r="D42" s="12" t="str">
        <f>IFERROR(INDEX(tbl_impactes[Impacte],MATCH(B42,tbl_impactes[ID_Impacte],0)),"")</f>
        <v>Mudanças Climáticas</v>
      </c>
      <c r="E42" s="12" t="str">
        <f>IFERROR(INDEX(tbl_aspetos[Classificacao],MATCH(A42,tbl_aspetos[ID_Aspeto],0)),"")</f>
        <v>Moderado</v>
      </c>
      <c r="F42" s="11">
        <f>IFERROR(INDEX(tbl_aspetos[IRA],MATCH(A42,tbl_aspetos[ID_Aspeto],0)),"")</f>
        <v>27</v>
      </c>
    </row>
    <row r="43" spans="1:6" x14ac:dyDescent="0.3">
      <c r="A43" s="10" t="s">
        <v>348</v>
      </c>
      <c r="B43" s="10" t="s">
        <v>82</v>
      </c>
      <c r="C43" s="10" t="s">
        <v>214</v>
      </c>
      <c r="D43" s="12" t="str">
        <f>IFERROR(INDEX(tbl_impactes[Impacte],MATCH(B43,tbl_impactes[ID_Impacte],0)),"")</f>
        <v>Incomodidade da Vizinhança</v>
      </c>
      <c r="E43" s="12" t="str">
        <f>IFERROR(INDEX(tbl_aspetos[Classificacao],MATCH(A43,tbl_aspetos[ID_Aspeto],0)),"")</f>
        <v>ASPETO AMBIENTAL SIGNIFICATIVO (AAS)</v>
      </c>
      <c r="F43" s="11">
        <f>IFERROR(INDEX(tbl_aspetos[IRA],MATCH(A43,tbl_aspetos[ID_Aspeto],0)),"")</f>
        <v>32</v>
      </c>
    </row>
    <row r="44" spans="1:6" x14ac:dyDescent="0.3">
      <c r="A44" s="10" t="s">
        <v>360</v>
      </c>
      <c r="B44" s="10" t="s">
        <v>73</v>
      </c>
      <c r="C44" s="10" t="s">
        <v>214</v>
      </c>
      <c r="D44" s="12" t="str">
        <f>IFERROR(INDEX(tbl_impactes[Impacte],MATCH(B44,tbl_impactes[ID_Impacte],0)),"")</f>
        <v>Esgotamento de Recursos Naturais / Recursos</v>
      </c>
      <c r="E44" s="12" t="str">
        <f>IFERROR(INDEX(tbl_aspetos[Classificacao],MATCH(A44,tbl_aspetos[ID_Aspeto],0)),"")</f>
        <v>Moderado</v>
      </c>
      <c r="F44" s="11">
        <f>IFERROR(INDEX(tbl_aspetos[IRA],MATCH(A44,tbl_aspetos[ID_Aspeto],0)),"")</f>
        <v>27</v>
      </c>
    </row>
    <row r="45" spans="1:6" x14ac:dyDescent="0.3">
      <c r="A45" s="10" t="s">
        <v>373</v>
      </c>
      <c r="B45" s="10" t="s">
        <v>76</v>
      </c>
      <c r="C45" s="10" t="s">
        <v>214</v>
      </c>
      <c r="D45" s="12" t="str">
        <f>IFERROR(INDEX(tbl_impactes[Impacte],MATCH(B45,tbl_impactes[ID_Impacte],0)),"")</f>
        <v>Contaminação do Solo e/ou Recursos Hídricos</v>
      </c>
      <c r="E45" s="12" t="str">
        <f>IFERROR(INDEX(tbl_aspetos[Classificacao],MATCH(A45,tbl_aspetos[ID_Aspeto],0)),"")</f>
        <v>Moderado</v>
      </c>
      <c r="F45" s="11">
        <f>IFERROR(INDEX(tbl_aspetos[IRA],MATCH(A45,tbl_aspetos[ID_Aspeto],0)),"")</f>
        <v>28</v>
      </c>
    </row>
    <row r="46" spans="1:6" x14ac:dyDescent="0.3">
      <c r="A46" s="10" t="s">
        <v>382</v>
      </c>
      <c r="B46" s="10" t="s">
        <v>80</v>
      </c>
      <c r="C46" s="10" t="s">
        <v>214</v>
      </c>
      <c r="D46" s="12" t="str">
        <f>IFERROR(INDEX(tbl_impactes[Impacte],MATCH(B46,tbl_impactes[ID_Impacte],0)),"")</f>
        <v>Mudanças Climáticas</v>
      </c>
      <c r="E46" s="12" t="str">
        <f>IFERROR(INDEX(tbl_aspetos[Classificacao],MATCH(A46,tbl_aspetos[ID_Aspeto],0)),"")</f>
        <v>Não Significativo</v>
      </c>
      <c r="F46" s="11">
        <f>IFERROR(INDEX(tbl_aspetos[IRA],MATCH(A46,tbl_aspetos[ID_Aspeto],0)),"")</f>
        <v>10</v>
      </c>
    </row>
    <row r="47" spans="1:6" x14ac:dyDescent="0.3">
      <c r="A47" s="10" t="s">
        <v>393</v>
      </c>
      <c r="B47" s="10" t="s">
        <v>76</v>
      </c>
      <c r="C47" s="10" t="s">
        <v>214</v>
      </c>
      <c r="D47" s="12" t="str">
        <f>IFERROR(INDEX(tbl_impactes[Impacte],MATCH(B47,tbl_impactes[ID_Impacte],0)),"")</f>
        <v>Contaminação do Solo e/ou Recursos Hídricos</v>
      </c>
      <c r="E47" s="12" t="str">
        <f>IFERROR(INDEX(tbl_aspetos[Classificacao],MATCH(A47,tbl_aspetos[ID_Aspeto],0)),"")</f>
        <v>Moderado</v>
      </c>
      <c r="F47" s="11">
        <f>IFERROR(INDEX(tbl_aspetos[IRA],MATCH(A47,tbl_aspetos[ID_Aspeto],0)),"")</f>
        <v>20</v>
      </c>
    </row>
    <row r="48" spans="1:6" x14ac:dyDescent="0.3">
      <c r="A48" s="10" t="s">
        <v>393</v>
      </c>
      <c r="B48" s="10" t="s">
        <v>86</v>
      </c>
      <c r="C48" s="10" t="s">
        <v>159</v>
      </c>
      <c r="D48" s="12" t="str">
        <f>IFERROR(INDEX(tbl_impactes[Impacte],MATCH(B48,tbl_impactes[ID_Impacte],0)),"")</f>
        <v>Redução da vida útil de aterros e passivos ambientais</v>
      </c>
      <c r="E48" s="12" t="str">
        <f>IFERROR(INDEX(tbl_aspetos[Classificacao],MATCH(A48,tbl_aspetos[ID_Aspeto],0)),"")</f>
        <v>Moderado</v>
      </c>
      <c r="F48" s="11">
        <f>IFERROR(INDEX(tbl_aspetos[IRA],MATCH(A48,tbl_aspetos[ID_Aspeto],0)),"")</f>
        <v>20</v>
      </c>
    </row>
    <row r="49" spans="1:6" x14ac:dyDescent="0.3">
      <c r="A49" s="10" t="s">
        <v>401</v>
      </c>
      <c r="B49" s="10" t="s">
        <v>76</v>
      </c>
      <c r="C49" s="10" t="s">
        <v>214</v>
      </c>
      <c r="D49" s="12" t="str">
        <f>IFERROR(INDEX(tbl_impactes[Impacte],MATCH(B49,tbl_impactes[ID_Impacte],0)),"")</f>
        <v>Contaminação do Solo e/ou Recursos Hídricos</v>
      </c>
      <c r="E49" s="12" t="str">
        <f>IFERROR(INDEX(tbl_aspetos[Classificacao],MATCH(A49,tbl_aspetos[ID_Aspeto],0)),"")</f>
        <v>Não Significativo</v>
      </c>
      <c r="F49" s="11">
        <f>IFERROR(INDEX(tbl_aspetos[IRA],MATCH(A49,tbl_aspetos[ID_Aspeto],0)),"")</f>
        <v>16</v>
      </c>
    </row>
    <row r="50" spans="1:6" x14ac:dyDescent="0.3">
      <c r="A50" s="10" t="s">
        <v>410</v>
      </c>
      <c r="B50" s="10" t="s">
        <v>95</v>
      </c>
      <c r="C50" s="10" t="s">
        <v>214</v>
      </c>
      <c r="D50" s="12" t="str">
        <f>IFERROR(INDEX(tbl_impactes[Impacte],MATCH(B50,tbl_impactes[ID_Impacte],0)),"")</f>
        <v>Extensão do ciclo de vida de materiais (conversão de resíduos em subprodutos)</v>
      </c>
      <c r="E50" s="12" t="str">
        <f>IFERROR(INDEX(tbl_aspetos[Classificacao],MATCH(A50,tbl_aspetos[ID_Aspeto],0)),"")</f>
        <v>Oportunidade Tática</v>
      </c>
      <c r="F50" s="11">
        <f>IFERROR(INDEX(tbl_aspetos[IRA],MATCH(A50,tbl_aspetos[ID_Aspeto],0)),"")</f>
        <v>-7</v>
      </c>
    </row>
    <row r="51" spans="1:6" x14ac:dyDescent="0.3">
      <c r="A51" s="10" t="s">
        <v>410</v>
      </c>
      <c r="B51" s="10" t="s">
        <v>97</v>
      </c>
      <c r="C51" s="10" t="s">
        <v>159</v>
      </c>
      <c r="D51" s="12" t="str">
        <f>IFERROR(INDEX(tbl_impactes[Impacte],MATCH(B51,tbl_impactes[ID_Impacte],0)),"")</f>
        <v>Minimização da Pressão Ecológica (materiais recicláveis ou de origem sustentável)</v>
      </c>
      <c r="E51" s="12" t="str">
        <f>IFERROR(INDEX(tbl_aspetos[Classificacao],MATCH(A51,tbl_aspetos[ID_Aspeto],0)),"")</f>
        <v>Oportunidade Tática</v>
      </c>
      <c r="F51" s="11">
        <f>IFERROR(INDEX(tbl_aspetos[IRA],MATCH(A51,tbl_aspetos[ID_Aspeto],0)),"")</f>
        <v>-7</v>
      </c>
    </row>
    <row r="52" spans="1:6" x14ac:dyDescent="0.3">
      <c r="A52" s="10" t="s">
        <v>417</v>
      </c>
      <c r="B52" s="10" t="s">
        <v>86</v>
      </c>
      <c r="C52" s="10" t="s">
        <v>214</v>
      </c>
      <c r="D52" s="12" t="str">
        <f>IFERROR(INDEX(tbl_impactes[Impacte],MATCH(B52,tbl_impactes[ID_Impacte],0)),"")</f>
        <v>Redução da vida útil de aterros e passivos ambientais</v>
      </c>
      <c r="E52" s="12" t="str">
        <f>IFERROR(INDEX(tbl_aspetos[Classificacao],MATCH(A52,tbl_aspetos[ID_Aspeto],0)),"")</f>
        <v>Não Significativo</v>
      </c>
      <c r="F52" s="11">
        <f>IFERROR(INDEX(tbl_aspetos[IRA],MATCH(A52,tbl_aspetos[ID_Aspeto],0)),"")</f>
        <v>16</v>
      </c>
    </row>
    <row r="53" spans="1:6" x14ac:dyDescent="0.3">
      <c r="A53" s="10" t="s">
        <v>426</v>
      </c>
      <c r="B53" s="10" t="s">
        <v>73</v>
      </c>
      <c r="C53" s="10" t="s">
        <v>214</v>
      </c>
      <c r="D53" s="12" t="str">
        <f>IFERROR(INDEX(tbl_impactes[Impacte],MATCH(B53,tbl_impactes[ID_Impacte],0)),"")</f>
        <v>Esgotamento de Recursos Naturais / Recursos</v>
      </c>
      <c r="E53" s="12" t="str">
        <f>IFERROR(INDEX(tbl_aspetos[Classificacao],MATCH(A53,tbl_aspetos[ID_Aspeto],0)),"")</f>
        <v>Moderado</v>
      </c>
      <c r="F53" s="11">
        <f>IFERROR(INDEX(tbl_aspetos[IRA],MATCH(A53,tbl_aspetos[ID_Aspeto],0)),"")</f>
        <v>24</v>
      </c>
    </row>
    <row r="54" spans="1:6" x14ac:dyDescent="0.3">
      <c r="A54" s="10" t="s">
        <v>426</v>
      </c>
      <c r="B54" s="10" t="s">
        <v>80</v>
      </c>
      <c r="C54" s="10" t="s">
        <v>159</v>
      </c>
      <c r="D54" s="12" t="str">
        <f>IFERROR(INDEX(tbl_impactes[Impacte],MATCH(B54,tbl_impactes[ID_Impacte],0)),"")</f>
        <v>Mudanças Climáticas</v>
      </c>
      <c r="E54" s="12" t="str">
        <f>IFERROR(INDEX(tbl_aspetos[Classificacao],MATCH(A54,tbl_aspetos[ID_Aspeto],0)),"")</f>
        <v>Moderado</v>
      </c>
      <c r="F54" s="11">
        <f>IFERROR(INDEX(tbl_aspetos[IRA],MATCH(A54,tbl_aspetos[ID_Aspeto],0)),"")</f>
        <v>24</v>
      </c>
    </row>
    <row r="55" spans="1:6" x14ac:dyDescent="0.3">
      <c r="A55" s="10" t="s">
        <v>431</v>
      </c>
      <c r="B55" s="10" t="s">
        <v>97</v>
      </c>
      <c r="C55" s="10" t="s">
        <v>214</v>
      </c>
      <c r="D55" s="12" t="str">
        <f>IFERROR(INDEX(tbl_impactes[Impacte],MATCH(B55,tbl_impactes[ID_Impacte],0)),"")</f>
        <v>Minimização da Pressão Ecológica (materiais recicláveis ou de origem sustentável)</v>
      </c>
      <c r="E55" s="12" t="str">
        <f>IFERROR(INDEX(tbl_aspetos[Classificacao],MATCH(A55,tbl_aspetos[ID_Aspeto],0)),"")</f>
        <v>Oportunidade Tática</v>
      </c>
      <c r="F55" s="11">
        <f>IFERROR(INDEX(tbl_aspetos[IRA],MATCH(A55,tbl_aspetos[ID_Aspeto],0)),"")</f>
        <v>-10</v>
      </c>
    </row>
    <row r="56" spans="1:6" x14ac:dyDescent="0.3">
      <c r="A56" s="10" t="s">
        <v>431</v>
      </c>
      <c r="B56" s="10" t="s">
        <v>80</v>
      </c>
      <c r="C56" s="10" t="s">
        <v>159</v>
      </c>
      <c r="D56" s="12" t="str">
        <f>IFERROR(INDEX(tbl_impactes[Impacte],MATCH(B56,tbl_impactes[ID_Impacte],0)),"")</f>
        <v>Mudanças Climáticas</v>
      </c>
      <c r="E56" s="12" t="str">
        <f>IFERROR(INDEX(tbl_aspetos[Classificacao],MATCH(A56,tbl_aspetos[ID_Aspeto],0)),"")</f>
        <v>Oportunidade Tática</v>
      </c>
      <c r="F56" s="11">
        <f>IFERROR(INDEX(tbl_aspetos[IRA],MATCH(A56,tbl_aspetos[ID_Aspeto],0)),"")</f>
        <v>-10</v>
      </c>
    </row>
    <row r="57" spans="1:6" x14ac:dyDescent="0.3">
      <c r="A57" s="10" t="s">
        <v>440</v>
      </c>
      <c r="B57" s="10" t="s">
        <v>97</v>
      </c>
      <c r="C57" s="10" t="s">
        <v>214</v>
      </c>
      <c r="D57" s="12" t="str">
        <f>IFERROR(INDEX(tbl_impactes[Impacte],MATCH(B57,tbl_impactes[ID_Impacte],0)),"")</f>
        <v>Minimização da Pressão Ecológica (materiais recicláveis ou de origem sustentável)</v>
      </c>
      <c r="E57" s="12" t="str">
        <f>IFERROR(INDEX(tbl_aspetos[Classificacao],MATCH(A57,tbl_aspetos[ID_Aspeto],0)),"")</f>
        <v>ASPETO AMBIENTAL SIGNIFICATIVO (AAS) BENÉFICO</v>
      </c>
      <c r="F57" s="11">
        <f>IFERROR(INDEX(tbl_aspetos[IRA],MATCH(A57,tbl_aspetos[ID_Aspeto],0)),"")</f>
        <v>-18</v>
      </c>
    </row>
    <row r="58" spans="1:6" x14ac:dyDescent="0.3">
      <c r="A58" s="10" t="s">
        <v>440</v>
      </c>
      <c r="B58" s="10" t="s">
        <v>80</v>
      </c>
      <c r="C58" s="10" t="s">
        <v>159</v>
      </c>
      <c r="D58" s="12" t="str">
        <f>IFERROR(INDEX(tbl_impactes[Impacte],MATCH(B58,tbl_impactes[ID_Impacte],0)),"")</f>
        <v>Mudanças Climáticas</v>
      </c>
      <c r="E58" s="12" t="str">
        <f>IFERROR(INDEX(tbl_aspetos[Classificacao],MATCH(A58,tbl_aspetos[ID_Aspeto],0)),"")</f>
        <v>ASPETO AMBIENTAL SIGNIFICATIVO (AAS) BENÉFICO</v>
      </c>
      <c r="F58" s="11">
        <f>IFERROR(INDEX(tbl_aspetos[IRA],MATCH(A58,tbl_aspetos[ID_Aspeto],0)),"")</f>
        <v>-18</v>
      </c>
    </row>
    <row r="59" spans="1:6" x14ac:dyDescent="0.3">
      <c r="A59" s="10" t="s">
        <v>447</v>
      </c>
      <c r="B59" s="10" t="s">
        <v>84</v>
      </c>
      <c r="C59" s="10" t="s">
        <v>214</v>
      </c>
      <c r="D59" s="12" t="str">
        <f>IFERROR(INDEX(tbl_impactes[Impacte],MATCH(B59,tbl_impactes[ID_Impacte],0)),"")</f>
        <v>Perturbação da Fauna / Flora / Paisagem</v>
      </c>
      <c r="E59" s="12" t="str">
        <f>IFERROR(INDEX(tbl_aspetos[Classificacao],MATCH(A59,tbl_aspetos[ID_Aspeto],0)),"")</f>
        <v>Não Significativo</v>
      </c>
      <c r="F59" s="11">
        <f>IFERROR(INDEX(tbl_aspetos[IRA],MATCH(A59,tbl_aspetos[ID_Aspeto],0)),"")</f>
        <v>16</v>
      </c>
    </row>
    <row r="60" spans="1:6" x14ac:dyDescent="0.3">
      <c r="A60" s="10" t="s">
        <v>447</v>
      </c>
      <c r="B60" s="10" t="s">
        <v>76</v>
      </c>
      <c r="C60" s="10" t="s">
        <v>159</v>
      </c>
      <c r="D60" s="12" t="str">
        <f>IFERROR(INDEX(tbl_impactes[Impacte],MATCH(B60,tbl_impactes[ID_Impacte],0)),"")</f>
        <v>Contaminação do Solo e/ou Recursos Hídricos</v>
      </c>
      <c r="E60" s="12" t="str">
        <f>IFERROR(INDEX(tbl_aspetos[Classificacao],MATCH(A60,tbl_aspetos[ID_Aspeto],0)),"")</f>
        <v>Não Significativo</v>
      </c>
      <c r="F60" s="11">
        <f>IFERROR(INDEX(tbl_aspetos[IRA],MATCH(A60,tbl_aspetos[ID_Aspeto],0)),"")</f>
        <v>16</v>
      </c>
    </row>
    <row r="61" spans="1:6" x14ac:dyDescent="0.3">
      <c r="A61" s="10" t="s">
        <v>455</v>
      </c>
      <c r="B61" s="10" t="s">
        <v>78</v>
      </c>
      <c r="C61" s="10" t="s">
        <v>214</v>
      </c>
      <c r="D61" s="12" t="str">
        <f>IFERROR(INDEX(tbl_impactes[Impacte],MATCH(B61,tbl_impactes[ID_Impacte],0)),"")</f>
        <v>Poluição do Ar</v>
      </c>
      <c r="E61" s="12" t="str">
        <f>IFERROR(INDEX(tbl_aspetos[Classificacao],MATCH(A61,tbl_aspetos[ID_Aspeto],0)),"")</f>
        <v>Moderado</v>
      </c>
      <c r="F61" s="11">
        <f>IFERROR(INDEX(tbl_aspetos[IRA],MATCH(A61,tbl_aspetos[ID_Aspeto],0)),"")</f>
        <v>30</v>
      </c>
    </row>
    <row r="62" spans="1:6" x14ac:dyDescent="0.3">
      <c r="A62" s="10" t="s">
        <v>455</v>
      </c>
      <c r="B62" s="10" t="s">
        <v>76</v>
      </c>
      <c r="C62" s="10" t="s">
        <v>159</v>
      </c>
      <c r="D62" s="12" t="str">
        <f>IFERROR(INDEX(tbl_impactes[Impacte],MATCH(B62,tbl_impactes[ID_Impacte],0)),"")</f>
        <v>Contaminação do Solo e/ou Recursos Hídricos</v>
      </c>
      <c r="E62" s="12" t="str">
        <f>IFERROR(INDEX(tbl_aspetos[Classificacao],MATCH(A62,tbl_aspetos[ID_Aspeto],0)),"")</f>
        <v>Moderado</v>
      </c>
      <c r="F62" s="11">
        <f>IFERROR(INDEX(tbl_aspetos[IRA],MATCH(A62,tbl_aspetos[ID_Aspeto],0)),"")</f>
        <v>30</v>
      </c>
    </row>
    <row r="63" spans="1:6" x14ac:dyDescent="0.3">
      <c r="A63" s="10" t="s">
        <v>455</v>
      </c>
      <c r="B63" s="10" t="s">
        <v>84</v>
      </c>
      <c r="C63" s="10" t="s">
        <v>159</v>
      </c>
      <c r="D63" s="12" t="str">
        <f>IFERROR(INDEX(tbl_impactes[Impacte],MATCH(B63,tbl_impactes[ID_Impacte],0)),"")</f>
        <v>Perturbação da Fauna / Flora / Paisagem</v>
      </c>
      <c r="E63" s="12" t="str">
        <f>IFERROR(INDEX(tbl_aspetos[Classificacao],MATCH(A63,tbl_aspetos[ID_Aspeto],0)),"")</f>
        <v>Moderado</v>
      </c>
      <c r="F63" s="11">
        <f>IFERROR(INDEX(tbl_aspetos[IRA],MATCH(A63,tbl_aspetos[ID_Aspeto],0)),"")</f>
        <v>30</v>
      </c>
    </row>
    <row r="64" spans="1:6" x14ac:dyDescent="0.3">
      <c r="A64" s="10" t="s">
        <v>464</v>
      </c>
      <c r="B64" s="10" t="s">
        <v>76</v>
      </c>
      <c r="C64" s="10" t="s">
        <v>214</v>
      </c>
      <c r="D64" s="12" t="str">
        <f>IFERROR(INDEX(tbl_impactes[Impacte],MATCH(B64,tbl_impactes[ID_Impacte],0)),"")</f>
        <v>Contaminação do Solo e/ou Recursos Hídricos</v>
      </c>
      <c r="E64" s="12" t="str">
        <f>IFERROR(INDEX(tbl_aspetos[Classificacao],MATCH(A64,tbl_aspetos[ID_Aspeto],0)),"")</f>
        <v>Não Significativo</v>
      </c>
      <c r="F64" s="11">
        <f>IFERROR(INDEX(tbl_aspetos[IRA],MATCH(A64,tbl_aspetos[ID_Aspeto],0)),"")</f>
        <v>14</v>
      </c>
    </row>
    <row r="65" spans="1:6" x14ac:dyDescent="0.3">
      <c r="A65" s="10" t="s">
        <v>470</v>
      </c>
      <c r="B65" s="10" t="s">
        <v>73</v>
      </c>
      <c r="C65" s="10" t="s">
        <v>214</v>
      </c>
      <c r="D65" s="12" t="str">
        <f>IFERROR(INDEX(tbl_impactes[Impacte],MATCH(B65,tbl_impactes[ID_Impacte],0)),"")</f>
        <v>Esgotamento de Recursos Naturais / Recursos</v>
      </c>
      <c r="E65" s="12" t="str">
        <f>IFERROR(INDEX(tbl_aspetos[Classificacao],MATCH(A65,tbl_aspetos[ID_Aspeto],0)),"")</f>
        <v>Não Significativo</v>
      </c>
      <c r="F65" s="11">
        <f>IFERROR(INDEX(tbl_aspetos[IRA],MATCH(A65,tbl_aspetos[ID_Aspeto],0)),"")</f>
        <v>5</v>
      </c>
    </row>
    <row r="66" spans="1:6" x14ac:dyDescent="0.3">
      <c r="A66" s="10" t="s">
        <v>470</v>
      </c>
      <c r="B66" s="10" t="s">
        <v>86</v>
      </c>
      <c r="C66" s="10" t="s">
        <v>159</v>
      </c>
      <c r="D66" s="12" t="str">
        <f>IFERROR(INDEX(tbl_impactes[Impacte],MATCH(B66,tbl_impactes[ID_Impacte],0)),"")</f>
        <v>Redução da vida útil de aterros e passivos ambientais</v>
      </c>
      <c r="E66" s="12" t="str">
        <f>IFERROR(INDEX(tbl_aspetos[Classificacao],MATCH(A66,tbl_aspetos[ID_Aspeto],0)),"")</f>
        <v>Não Significativo</v>
      </c>
      <c r="F66" s="11">
        <f>IFERROR(INDEX(tbl_aspetos[IRA],MATCH(A66,tbl_aspetos[ID_Aspeto],0)),"")</f>
        <v>5</v>
      </c>
    </row>
    <row r="67" spans="1:6" x14ac:dyDescent="0.3">
      <c r="A67" s="10" t="s">
        <v>478</v>
      </c>
      <c r="B67" s="10" t="s">
        <v>73</v>
      </c>
      <c r="C67" s="10" t="s">
        <v>214</v>
      </c>
      <c r="D67" s="12" t="str">
        <f>IFERROR(INDEX(tbl_impactes[Impacte],MATCH(B67,tbl_impactes[ID_Impacte],0)),"")</f>
        <v>Esgotamento de Recursos Naturais / Recursos</v>
      </c>
      <c r="E67" s="12" t="str">
        <f>IFERROR(INDEX(tbl_aspetos[Classificacao],MATCH(A67,tbl_aspetos[ID_Aspeto],0)),"")</f>
        <v>Moderado</v>
      </c>
      <c r="F67" s="11">
        <f>IFERROR(INDEX(tbl_aspetos[IRA],MATCH(A67,tbl_aspetos[ID_Aspeto],0)),"")</f>
        <v>27</v>
      </c>
    </row>
    <row r="68" spans="1:6" x14ac:dyDescent="0.3">
      <c r="A68" s="10" t="s">
        <v>478</v>
      </c>
      <c r="B68" s="10" t="s">
        <v>86</v>
      </c>
      <c r="C68" s="10" t="s">
        <v>159</v>
      </c>
      <c r="D68" s="12" t="str">
        <f>IFERROR(INDEX(tbl_impactes[Impacte],MATCH(B68,tbl_impactes[ID_Impacte],0)),"")</f>
        <v>Redução da vida útil de aterros e passivos ambientais</v>
      </c>
      <c r="E68" s="12" t="str">
        <f>IFERROR(INDEX(tbl_aspetos[Classificacao],MATCH(A68,tbl_aspetos[ID_Aspeto],0)),"")</f>
        <v>Moderado</v>
      </c>
      <c r="F68" s="11">
        <f>IFERROR(INDEX(tbl_aspetos[IRA],MATCH(A68,tbl_aspetos[ID_Aspeto],0)),"")</f>
        <v>27</v>
      </c>
    </row>
    <row r="69" spans="1:6" x14ac:dyDescent="0.3">
      <c r="A69" s="10" t="s">
        <v>491</v>
      </c>
      <c r="B69" s="10" t="s">
        <v>86</v>
      </c>
      <c r="C69" s="10" t="s">
        <v>214</v>
      </c>
      <c r="D69" s="12" t="str">
        <f>IFERROR(INDEX(tbl_impactes[Impacte],MATCH(B69,tbl_impactes[ID_Impacte],0)),"")</f>
        <v>Redução da vida útil de aterros e passivos ambientais</v>
      </c>
      <c r="E69" s="12" t="str">
        <f>IFERROR(INDEX(tbl_aspetos[Classificacao],MATCH(A69,tbl_aspetos[ID_Aspeto],0)),"")</f>
        <v>ASPETO AMBIENTAL SIGNIFICATIVO (AAS)</v>
      </c>
      <c r="F69" s="11">
        <f>IFERROR(INDEX(tbl_aspetos[IRA],MATCH(A69,tbl_aspetos[ID_Aspeto],0)),"")</f>
        <v>60</v>
      </c>
    </row>
    <row r="70" spans="1:6" x14ac:dyDescent="0.3">
      <c r="A70" s="10" t="s">
        <v>491</v>
      </c>
      <c r="B70" s="10" t="s">
        <v>73</v>
      </c>
      <c r="C70" s="10" t="s">
        <v>159</v>
      </c>
      <c r="D70" s="12" t="str">
        <f>IFERROR(INDEX(tbl_impactes[Impacte],MATCH(B70,tbl_impactes[ID_Impacte],0)),"")</f>
        <v>Esgotamento de Recursos Naturais / Recursos</v>
      </c>
      <c r="E70" s="12" t="str">
        <f>IFERROR(INDEX(tbl_aspetos[Classificacao],MATCH(A70,tbl_aspetos[ID_Aspeto],0)),"")</f>
        <v>ASPETO AMBIENTAL SIGNIFICATIVO (AAS)</v>
      </c>
      <c r="F70" s="11">
        <f>IFERROR(INDEX(tbl_aspetos[IRA],MATCH(A70,tbl_aspetos[ID_Aspeto],0)),"")</f>
        <v>60</v>
      </c>
    </row>
    <row r="71" spans="1:6" x14ac:dyDescent="0.3">
      <c r="A71" s="10" t="s">
        <v>500</v>
      </c>
      <c r="B71" s="10" t="s">
        <v>73</v>
      </c>
      <c r="C71" s="10" t="s">
        <v>214</v>
      </c>
      <c r="D71" s="12" t="str">
        <f>IFERROR(INDEX(tbl_impactes[Impacte],MATCH(B71,tbl_impactes[ID_Impacte],0)),"")</f>
        <v>Esgotamento de Recursos Naturais / Recursos</v>
      </c>
      <c r="E71" s="12" t="str">
        <f>IFERROR(INDEX(tbl_aspetos[Classificacao],MATCH(A71,tbl_aspetos[ID_Aspeto],0)),"")</f>
        <v>Não Significativo</v>
      </c>
      <c r="F71" s="11">
        <f>IFERROR(INDEX(tbl_aspetos[IRA],MATCH(A71,tbl_aspetos[ID_Aspeto],0)),"")</f>
        <v>18</v>
      </c>
    </row>
    <row r="72" spans="1:6" x14ac:dyDescent="0.3">
      <c r="A72" s="10" t="s">
        <v>500</v>
      </c>
      <c r="B72" s="10" t="s">
        <v>86</v>
      </c>
      <c r="C72" s="10" t="s">
        <v>159</v>
      </c>
      <c r="D72" s="12" t="str">
        <f>IFERROR(INDEX(tbl_impactes[Impacte],MATCH(B72,tbl_impactes[ID_Impacte],0)),"")</f>
        <v>Redução da vida útil de aterros e passivos ambientais</v>
      </c>
      <c r="E72" s="12" t="str">
        <f>IFERROR(INDEX(tbl_aspetos[Classificacao],MATCH(A72,tbl_aspetos[ID_Aspeto],0)),"")</f>
        <v>Não Significativo</v>
      </c>
      <c r="F72" s="11">
        <f>IFERROR(INDEX(tbl_aspetos[IRA],MATCH(A72,tbl_aspetos[ID_Aspeto],0)),"")</f>
        <v>18</v>
      </c>
    </row>
    <row r="73" spans="1:6" x14ac:dyDescent="0.3">
      <c r="A73" s="10" t="s">
        <v>508</v>
      </c>
      <c r="B73" s="10" t="s">
        <v>80</v>
      </c>
      <c r="C73" s="10" t="s">
        <v>214</v>
      </c>
      <c r="D73" s="12" t="str">
        <f>IFERROR(INDEX(tbl_impactes[Impacte],MATCH(B73,tbl_impactes[ID_Impacte],0)),"")</f>
        <v>Mudanças Climáticas</v>
      </c>
      <c r="E73" s="12" t="str">
        <f>IFERROR(INDEX(tbl_aspetos[Classificacao],MATCH(A73,tbl_aspetos[ID_Aspeto],0)),"")</f>
        <v>Moderado</v>
      </c>
      <c r="F73" s="11">
        <f>IFERROR(INDEX(tbl_aspetos[IRA],MATCH(A73,tbl_aspetos[ID_Aspeto],0)),"")</f>
        <v>27</v>
      </c>
    </row>
    <row r="74" spans="1:6" x14ac:dyDescent="0.3">
      <c r="A74" s="10" t="s">
        <v>508</v>
      </c>
      <c r="B74" s="10" t="s">
        <v>78</v>
      </c>
      <c r="C74" s="10" t="s">
        <v>159</v>
      </c>
      <c r="D74" s="12" t="str">
        <f>IFERROR(INDEX(tbl_impactes[Impacte],MATCH(B74,tbl_impactes[ID_Impacte],0)),"")</f>
        <v>Poluição do Ar</v>
      </c>
      <c r="E74" s="12" t="str">
        <f>IFERROR(INDEX(tbl_aspetos[Classificacao],MATCH(A74,tbl_aspetos[ID_Aspeto],0)),"")</f>
        <v>Moderado</v>
      </c>
      <c r="F74" s="11">
        <f>IFERROR(INDEX(tbl_aspetos[IRA],MATCH(A74,tbl_aspetos[ID_Aspeto],0)),"")</f>
        <v>27</v>
      </c>
    </row>
    <row r="75" spans="1:6" x14ac:dyDescent="0.3">
      <c r="A75" s="10" t="s">
        <v>508</v>
      </c>
      <c r="B75" s="10" t="s">
        <v>82</v>
      </c>
      <c r="C75" s="10" t="s">
        <v>159</v>
      </c>
      <c r="D75" s="12" t="str">
        <f>IFERROR(INDEX(tbl_impactes[Impacte],MATCH(B75,tbl_impactes[ID_Impacte],0)),"")</f>
        <v>Incomodidade da Vizinhança</v>
      </c>
      <c r="E75" s="12" t="str">
        <f>IFERROR(INDEX(tbl_aspetos[Classificacao],MATCH(A75,tbl_aspetos[ID_Aspeto],0)),"")</f>
        <v>Moderado</v>
      </c>
      <c r="F75" s="11">
        <f>IFERROR(INDEX(tbl_aspetos[IRA],MATCH(A75,tbl_aspetos[ID_Aspeto],0)),"")</f>
        <v>27</v>
      </c>
    </row>
    <row r="76" spans="1:6" x14ac:dyDescent="0.3">
      <c r="A76" s="10" t="s">
        <v>514</v>
      </c>
      <c r="B76" s="10" t="s">
        <v>95</v>
      </c>
      <c r="C76" s="10" t="s">
        <v>214</v>
      </c>
      <c r="D76" s="12" t="str">
        <f>IFERROR(INDEX(tbl_impactes[Impacte],MATCH(B76,tbl_impactes[ID_Impacte],0)),"")</f>
        <v>Extensão do ciclo de vida de materiais (conversão de resíduos em subprodutos)</v>
      </c>
      <c r="E76" s="12" t="str">
        <f>IFERROR(INDEX(tbl_aspetos[Classificacao],MATCH(A76,tbl_aspetos[ID_Aspeto],0)),"")</f>
        <v>Oportunidade Tática</v>
      </c>
      <c r="F76" s="11">
        <f>IFERROR(INDEX(tbl_aspetos[IRA],MATCH(A76,tbl_aspetos[ID_Aspeto],0)),"")</f>
        <v>-6</v>
      </c>
    </row>
    <row r="77" spans="1:6" x14ac:dyDescent="0.3">
      <c r="A77" s="10" t="s">
        <v>514</v>
      </c>
      <c r="B77" s="10" t="s">
        <v>93</v>
      </c>
      <c r="C77" s="10" t="s">
        <v>159</v>
      </c>
      <c r="D77" s="12" t="str">
        <f>IFERROR(INDEX(tbl_impactes[Impacte],MATCH(B77,tbl_impactes[ID_Impacte],0)),"")</f>
        <v>Otimização do Consumo de Matérias-Primas (poupança ou geração de novos recursos)</v>
      </c>
      <c r="E77" s="12" t="str">
        <f>IFERROR(INDEX(tbl_aspetos[Classificacao],MATCH(A77,tbl_aspetos[ID_Aspeto],0)),"")</f>
        <v>Oportunidade Tática</v>
      </c>
      <c r="F77" s="11">
        <f>IFERROR(INDEX(tbl_aspetos[IRA],MATCH(A77,tbl_aspetos[ID_Aspeto],0)),"")</f>
        <v>-6</v>
      </c>
    </row>
    <row r="78" spans="1:6" x14ac:dyDescent="0.3">
      <c r="A78" s="10" t="s">
        <v>519</v>
      </c>
      <c r="B78" s="10" t="s">
        <v>76</v>
      </c>
      <c r="C78" s="10" t="s">
        <v>214</v>
      </c>
      <c r="D78" s="12" t="str">
        <f>IFERROR(INDEX(tbl_impactes[Impacte],MATCH(B78,tbl_impactes[ID_Impacte],0)),"")</f>
        <v>Contaminação do Solo e/ou Recursos Hídricos</v>
      </c>
      <c r="E78" s="12" t="str">
        <f>IFERROR(INDEX(tbl_aspetos[Classificacao],MATCH(A78,tbl_aspetos[ID_Aspeto],0)),"")</f>
        <v>Não Significativo</v>
      </c>
      <c r="F78" s="11">
        <f>IFERROR(INDEX(tbl_aspetos[IRA],MATCH(A78,tbl_aspetos[ID_Aspeto],0)),"")</f>
        <v>14</v>
      </c>
    </row>
    <row r="79" spans="1:6" x14ac:dyDescent="0.3">
      <c r="A79" s="10" t="s">
        <v>519</v>
      </c>
      <c r="B79" s="10" t="s">
        <v>86</v>
      </c>
      <c r="C79" s="10" t="s">
        <v>159</v>
      </c>
      <c r="D79" s="12" t="str">
        <f>IFERROR(INDEX(tbl_impactes[Impacte],MATCH(B79,tbl_impactes[ID_Impacte],0)),"")</f>
        <v>Redução da vida útil de aterros e passivos ambientais</v>
      </c>
      <c r="E79" s="12" t="str">
        <f>IFERROR(INDEX(tbl_aspetos[Classificacao],MATCH(A79,tbl_aspetos[ID_Aspeto],0)),"")</f>
        <v>Não Significativo</v>
      </c>
      <c r="F79" s="11">
        <f>IFERROR(INDEX(tbl_aspetos[IRA],MATCH(A79,tbl_aspetos[ID_Aspeto],0)),"")</f>
        <v>14</v>
      </c>
    </row>
    <row r="80" spans="1:6" x14ac:dyDescent="0.3">
      <c r="A80" s="10" t="s">
        <v>525</v>
      </c>
      <c r="B80" s="10" t="s">
        <v>86</v>
      </c>
      <c r="C80" s="10" t="s">
        <v>214</v>
      </c>
      <c r="D80" s="12" t="str">
        <f>IFERROR(INDEX(tbl_impactes[Impacte],MATCH(B80,tbl_impactes[ID_Impacte],0)),"")</f>
        <v>Redução da vida útil de aterros e passivos ambientais</v>
      </c>
      <c r="E80" s="12" t="str">
        <f>IFERROR(INDEX(tbl_aspetos[Classificacao],MATCH(A80,tbl_aspetos[ID_Aspeto],0)),"")</f>
        <v>Moderado</v>
      </c>
      <c r="F80" s="11">
        <f>IFERROR(INDEX(tbl_aspetos[IRA],MATCH(A80,tbl_aspetos[ID_Aspeto],0)),"")</f>
        <v>30</v>
      </c>
    </row>
    <row r="81" spans="1:6" x14ac:dyDescent="0.3">
      <c r="A81" s="10" t="s">
        <v>525</v>
      </c>
      <c r="B81" s="10" t="s">
        <v>88</v>
      </c>
      <c r="C81" s="10" t="s">
        <v>159</v>
      </c>
      <c r="D81" s="12" t="str">
        <f>IFERROR(INDEX(tbl_impactes[Impacte],MATCH(B81,tbl_impactes[ID_Impacte],0)),"")</f>
        <v>Degradação da saúde dos ecossistemas aquáticos (microplásticos)</v>
      </c>
      <c r="E81" s="12" t="str">
        <f>IFERROR(INDEX(tbl_aspetos[Classificacao],MATCH(A81,tbl_aspetos[ID_Aspeto],0)),"")</f>
        <v>Moderado</v>
      </c>
      <c r="F81" s="11">
        <f>IFERROR(INDEX(tbl_aspetos[IRA],MATCH(A81,tbl_aspetos[ID_Aspeto],0)),"")</f>
        <v>30</v>
      </c>
    </row>
    <row r="82" spans="1:6" x14ac:dyDescent="0.3">
      <c r="A82" s="10" t="s">
        <v>525</v>
      </c>
      <c r="B82" s="10" t="s">
        <v>84</v>
      </c>
      <c r="C82" s="10" t="s">
        <v>159</v>
      </c>
      <c r="D82" s="12" t="str">
        <f>IFERROR(INDEX(tbl_impactes[Impacte],MATCH(B82,tbl_impactes[ID_Impacte],0)),"")</f>
        <v>Perturbação da Fauna / Flora / Paisagem</v>
      </c>
      <c r="E82" s="12" t="str">
        <f>IFERROR(INDEX(tbl_aspetos[Classificacao],MATCH(A82,tbl_aspetos[ID_Aspeto],0)),"")</f>
        <v>Moderado</v>
      </c>
      <c r="F82" s="11">
        <f>IFERROR(INDEX(tbl_aspetos[IRA],MATCH(A82,tbl_aspetos[ID_Aspeto],0)),"")</f>
        <v>30</v>
      </c>
    </row>
  </sheetData>
  <dataValidations count="2">
    <dataValidation type="list" allowBlank="1" showErrorMessage="1" errorTitle="Valor inválido" error="Valor fora da lista controlada (ver folha Listas)." sqref="B2:B282" xr:uid="{00000000-0002-0000-0300-000000000000}">
      <formula1>lst_Impacte</formula1>
    </dataValidation>
    <dataValidation type="list" allowBlank="1" showErrorMessage="1" errorTitle="Valor inválido" error="Valor fora da lista controlada (ver folha Listas)." sqref="C2:C282" xr:uid="{00000000-0002-0000-0300-000001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AG52"/>
  <sheetViews>
    <sheetView showGridLines="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8" customWidth="1"/>
    <col min="3" max="8" width="5" customWidth="1"/>
    <col min="9" max="9" width="38" customWidth="1"/>
    <col min="10" max="10" width="9" customWidth="1"/>
    <col min="11" max="11" width="11" customWidth="1"/>
    <col min="12" max="12" width="10" customWidth="1"/>
    <col min="13" max="24" width="5" customWidth="1"/>
    <col min="25" max="25" width="9" customWidth="1"/>
    <col min="26" max="29" width="4" customWidth="1"/>
    <col min="30" max="30" width="6" customWidth="1"/>
    <col min="31" max="31" width="24" customWidth="1"/>
    <col min="32" max="32" width="10" customWidth="1"/>
    <col min="33" max="33" width="40" customWidth="1"/>
  </cols>
  <sheetData>
    <row r="1" spans="1:33" ht="21" x14ac:dyDescent="0.4">
      <c r="A1" s="17" t="s">
        <v>534</v>
      </c>
      <c r="O1" s="18" t="s">
        <v>535</v>
      </c>
      <c r="AF1" s="19" t="s">
        <v>536</v>
      </c>
    </row>
    <row r="2" spans="1:33" x14ac:dyDescent="0.3">
      <c r="O2" s="2" t="s">
        <v>537</v>
      </c>
      <c r="AF2" s="20" t="s">
        <v>538</v>
      </c>
    </row>
    <row r="3" spans="1:33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</row>
    <row r="5" spans="1:33" x14ac:dyDescent="0.3">
      <c r="A5" s="32" t="s">
        <v>539</v>
      </c>
      <c r="B5" s="33"/>
      <c r="C5" s="32" t="s">
        <v>540</v>
      </c>
      <c r="D5" s="33"/>
      <c r="E5" s="33"/>
      <c r="F5" s="33"/>
      <c r="G5" s="33"/>
      <c r="H5" s="33"/>
      <c r="I5" s="22" t="s">
        <v>541</v>
      </c>
      <c r="J5" s="32" t="s">
        <v>542</v>
      </c>
      <c r="K5" s="33"/>
      <c r="L5" s="33"/>
      <c r="M5" s="32" t="s">
        <v>543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2" t="s">
        <v>544</v>
      </c>
      <c r="Z5" s="33"/>
      <c r="AA5" s="33"/>
      <c r="AB5" s="33"/>
      <c r="AC5" s="33"/>
      <c r="AD5" s="33"/>
      <c r="AE5" s="33"/>
      <c r="AF5" s="32" t="s">
        <v>545</v>
      </c>
      <c r="AG5" s="33"/>
    </row>
    <row r="6" spans="1:33" ht="190.05" customHeight="1" x14ac:dyDescent="0.3">
      <c r="A6" s="8" t="s">
        <v>539</v>
      </c>
      <c r="B6" s="8" t="s">
        <v>546</v>
      </c>
      <c r="C6" s="23" t="s">
        <v>144</v>
      </c>
      <c r="D6" s="23" t="s">
        <v>482</v>
      </c>
      <c r="E6" s="23" t="s">
        <v>173</v>
      </c>
      <c r="F6" s="23" t="s">
        <v>504</v>
      </c>
      <c r="G6" s="23" t="s">
        <v>522</v>
      </c>
      <c r="H6" s="23" t="s">
        <v>405</v>
      </c>
      <c r="I6" s="8" t="s">
        <v>547</v>
      </c>
      <c r="J6" s="8" t="s">
        <v>548</v>
      </c>
      <c r="K6" s="8" t="s">
        <v>549</v>
      </c>
      <c r="L6" s="8" t="s">
        <v>110</v>
      </c>
      <c r="M6" s="23" t="s">
        <v>74</v>
      </c>
      <c r="N6" s="23" t="s">
        <v>77</v>
      </c>
      <c r="O6" s="23" t="s">
        <v>79</v>
      </c>
      <c r="P6" s="23" t="s">
        <v>81</v>
      </c>
      <c r="Q6" s="23" t="s">
        <v>83</v>
      </c>
      <c r="R6" s="23" t="s">
        <v>85</v>
      </c>
      <c r="S6" s="23" t="s">
        <v>87</v>
      </c>
      <c r="T6" s="23" t="s">
        <v>89</v>
      </c>
      <c r="U6" s="23" t="s">
        <v>91</v>
      </c>
      <c r="V6" s="23" t="s">
        <v>94</v>
      </c>
      <c r="W6" s="23" t="s">
        <v>96</v>
      </c>
      <c r="X6" s="23" t="s">
        <v>98</v>
      </c>
      <c r="Y6" s="8" t="s">
        <v>550</v>
      </c>
      <c r="Z6" s="8" t="s">
        <v>114</v>
      </c>
      <c r="AA6" s="8" t="s">
        <v>115</v>
      </c>
      <c r="AB6" s="8" t="s">
        <v>116</v>
      </c>
      <c r="AC6" s="8" t="s">
        <v>117</v>
      </c>
      <c r="AD6" s="8" t="s">
        <v>119</v>
      </c>
      <c r="AE6" s="8" t="s">
        <v>551</v>
      </c>
      <c r="AF6" s="8" t="s">
        <v>552</v>
      </c>
      <c r="AG6" s="8" t="s">
        <v>553</v>
      </c>
    </row>
    <row r="7" spans="1:33" ht="48" customHeight="1" x14ac:dyDescent="0.3">
      <c r="A7" s="24" t="str">
        <f>INDEX(Aspetos_Impactes!$C$5:$C$47,1)&amp;" — "&amp;INDEX(Aspetos_Impactes!$D$5:$D$47,1)</f>
        <v>Compras e fornecedores — Aquisição de polímeros (PP, HDPE, PET)</v>
      </c>
      <c r="B7" s="24" t="str">
        <f>INDEX(Aspetos_Impactes!$A$5:$A$47,1)</f>
        <v>AA-001</v>
      </c>
      <c r="C7" s="25" t="str">
        <f>IF(INDEX(Aspetos_Impactes!$E$5:$E$47,1)="Aquisição","X","")</f>
        <v>X</v>
      </c>
      <c r="D7" s="25" t="str">
        <f>IF(INDEX(Aspetos_Impactes!$E$5:$E$47,1)="Design e Conceção","X","")</f>
        <v/>
      </c>
      <c r="E7" s="25" t="str">
        <f>IF(INDEX(Aspetos_Impactes!$E$5:$E$47,1)="Produção","X","")</f>
        <v/>
      </c>
      <c r="F7" s="25" t="str">
        <f>IF(INDEX(Aspetos_Impactes!$E$5:$E$47,1)="Distribuição","X","")</f>
        <v/>
      </c>
      <c r="G7" s="25" t="str">
        <f>IF(INDEX(Aspetos_Impactes!$E$5:$E$47,1)="Uso (Consumidor Final)","X","")</f>
        <v/>
      </c>
      <c r="H7" s="25" t="str">
        <f>IF(INDEX(Aspetos_Impactes!$E$5:$E$47,1)="Fim de Vida","X","")</f>
        <v/>
      </c>
      <c r="I7" s="24" t="str">
        <f>INDEX(Aspetos_Impactes!$G$5:$G$47,1)</f>
        <v>Consumo de polímeros virgens de origem fóssil</v>
      </c>
      <c r="J7" s="24" t="str">
        <f>INDEX(Aspetos_Impactes!$H$5:$H$47,1)</f>
        <v>Indireto</v>
      </c>
      <c r="K7" s="24" t="str">
        <f>INDEX(Aspetos_Impactes!$I$5:$I$47,1)</f>
        <v>Normal</v>
      </c>
      <c r="L7" s="24" t="str">
        <f>INDEX(Aspetos_Impactes!$J$5:$J$47,1)</f>
        <v>Presente</v>
      </c>
      <c r="M7" s="25" t="str">
        <f>IF(COUNTIFS(tbl_aspeto_impacte[ID_Aspeto],$B7,tbl_aspeto_impacte[ID_Impacte],"IMP-01")&gt;0,"X","")</f>
        <v>X</v>
      </c>
      <c r="N7" s="25" t="str">
        <f>IF(COUNTIFS(tbl_aspeto_impacte[ID_Aspeto],$B7,tbl_aspeto_impacte[ID_Impacte],"IMP-02")&gt;0,"X","")</f>
        <v/>
      </c>
      <c r="O7" s="25" t="str">
        <f>IF(COUNTIFS(tbl_aspeto_impacte[ID_Aspeto],$B7,tbl_aspeto_impacte[ID_Impacte],"IMP-03")&gt;0,"X","")</f>
        <v/>
      </c>
      <c r="P7" s="25" t="str">
        <f>IF(COUNTIFS(tbl_aspeto_impacte[ID_Aspeto],$B7,tbl_aspeto_impacte[ID_Impacte],"IMP-04")&gt;0,"X","")</f>
        <v>X</v>
      </c>
      <c r="Q7" s="25" t="str">
        <f>IF(COUNTIFS(tbl_aspeto_impacte[ID_Aspeto],$B7,tbl_aspeto_impacte[ID_Impacte],"IMP-05")&gt;0,"X","")</f>
        <v/>
      </c>
      <c r="R7" s="25" t="str">
        <f>IF(COUNTIFS(tbl_aspeto_impacte[ID_Aspeto],$B7,tbl_aspeto_impacte[ID_Impacte],"IMP-06")&gt;0,"X","")</f>
        <v/>
      </c>
      <c r="S7" s="25" t="str">
        <f>IF(COUNTIFS(tbl_aspeto_impacte[ID_Aspeto],$B7,tbl_aspeto_impacte[ID_Impacte],"IMP-07")&gt;0,"X","")</f>
        <v/>
      </c>
      <c r="T7" s="25" t="str">
        <f>IF(COUNTIFS(tbl_aspeto_impacte[ID_Aspeto],$B7,tbl_aspeto_impacte[ID_Impacte],"IMP-08")&gt;0,"X","")</f>
        <v/>
      </c>
      <c r="U7" s="25" t="str">
        <f>IF(COUNTIFS(tbl_aspeto_impacte[ID_Aspeto],$B7,tbl_aspeto_impacte[ID_Impacte],"IMP-09")&gt;0,"X","")</f>
        <v/>
      </c>
      <c r="V7" s="25" t="str">
        <f>IF(COUNTIFS(tbl_aspeto_impacte[ID_Aspeto],$B7,tbl_aspeto_impacte[ID_Impacte],"IMP-10")&gt;0,"X","")</f>
        <v/>
      </c>
      <c r="W7" s="25" t="str">
        <f>IF(COUNTIFS(tbl_aspeto_impacte[ID_Aspeto],$B7,tbl_aspeto_impacte[ID_Impacte],"IMP-11")&gt;0,"X","")</f>
        <v/>
      </c>
      <c r="X7" s="25" t="str">
        <f>IF(COUNTIFS(tbl_aspeto_impacte[ID_Aspeto],$B7,tbl_aspeto_impacte[ID_Impacte],"IMP-12")&gt;0,"X","")</f>
        <v/>
      </c>
      <c r="Y7" s="25" t="str">
        <f>LEFT(INDEX(Aspetos_Impactes!$R$5:$R$47,1),3)</f>
        <v>(+)</v>
      </c>
      <c r="Z7" s="25">
        <f>INDEX(Aspetos_Impactes!$N$5:$N$47,1)</f>
        <v>5</v>
      </c>
      <c r="AA7" s="25">
        <f>INDEX(Aspetos_Impactes!$O$5:$O$47,1)</f>
        <v>5</v>
      </c>
      <c r="AB7" s="25">
        <f>INDEX(Aspetos_Impactes!$P$5:$P$47,1)</f>
        <v>2</v>
      </c>
      <c r="AC7" s="25">
        <f>INDEX(Aspetos_Impactes!$Q$5:$Q$47,1)</f>
        <v>1</v>
      </c>
      <c r="AD7" s="25">
        <f>INDEX(Aspetos_Impactes!$S$5:$S$47,1)</f>
        <v>20</v>
      </c>
      <c r="AE7" s="25" t="str">
        <f>INDEX(Aspetos_Impactes!$T$5:$T$47,1)</f>
        <v>Moderado</v>
      </c>
      <c r="AF7" s="24" t="str">
        <f>INDEX(Aspetos_Impactes!$W$5:$W$47,1)</f>
        <v>SIM</v>
      </c>
      <c r="AG7" s="24" t="str">
        <f>INDEX(Aspetos_Impactes!$X$5:$X$47,1)</f>
        <v>Critérios de compra com conteúdo reciclado certificado; lightweighting.</v>
      </c>
    </row>
    <row r="8" spans="1:33" ht="48" customHeight="1" x14ac:dyDescent="0.3">
      <c r="A8" s="24" t="str">
        <f>INDEX(Aspetos_Impactes!$C$5:$C$47,2)&amp;" — "&amp;INDEX(Aspetos_Impactes!$D$5:$D$47,2)</f>
        <v>Compras e fornecedores — Transporte de matérias-primas pelos fornecedores</v>
      </c>
      <c r="B8" s="24" t="str">
        <f>INDEX(Aspetos_Impactes!$A$5:$A$47,2)</f>
        <v>AA-002</v>
      </c>
      <c r="C8" s="25" t="str">
        <f>IF(INDEX(Aspetos_Impactes!$E$5:$E$47,2)="Aquisição","X","")</f>
        <v>X</v>
      </c>
      <c r="D8" s="25" t="str">
        <f>IF(INDEX(Aspetos_Impactes!$E$5:$E$47,2)="Design e Conceção","X","")</f>
        <v/>
      </c>
      <c r="E8" s="25" t="str">
        <f>IF(INDEX(Aspetos_Impactes!$E$5:$E$47,2)="Produção","X","")</f>
        <v/>
      </c>
      <c r="F8" s="25" t="str">
        <f>IF(INDEX(Aspetos_Impactes!$E$5:$E$47,2)="Distribuição","X","")</f>
        <v/>
      </c>
      <c r="G8" s="25" t="str">
        <f>IF(INDEX(Aspetos_Impactes!$E$5:$E$47,2)="Uso (Consumidor Final)","X","")</f>
        <v/>
      </c>
      <c r="H8" s="25" t="str">
        <f>IF(INDEX(Aspetos_Impactes!$E$5:$E$47,2)="Fim de Vida","X","")</f>
        <v/>
      </c>
      <c r="I8" s="24" t="str">
        <f>INDEX(Aspetos_Impactes!$G$5:$G$47,2)</f>
        <v>Emissões de gases de escape (CO2, NOx, partículas) no transporte rodoviário e marítimo de resinas</v>
      </c>
      <c r="J8" s="24" t="str">
        <f>INDEX(Aspetos_Impactes!$H$5:$H$47,2)</f>
        <v>Indireto</v>
      </c>
      <c r="K8" s="24" t="str">
        <f>INDEX(Aspetos_Impactes!$I$5:$I$47,2)</f>
        <v>Normal</v>
      </c>
      <c r="L8" s="24" t="str">
        <f>INDEX(Aspetos_Impactes!$J$5:$J$47,2)</f>
        <v>Presente</v>
      </c>
      <c r="M8" s="25" t="str">
        <f>IF(COUNTIFS(tbl_aspeto_impacte[ID_Aspeto],$B8,tbl_aspeto_impacte[ID_Impacte],"IMP-01")&gt;0,"X","")</f>
        <v/>
      </c>
      <c r="N8" s="25" t="str">
        <f>IF(COUNTIFS(tbl_aspeto_impacte[ID_Aspeto],$B8,tbl_aspeto_impacte[ID_Impacte],"IMP-02")&gt;0,"X","")</f>
        <v/>
      </c>
      <c r="O8" s="25" t="str">
        <f>IF(COUNTIFS(tbl_aspeto_impacte[ID_Aspeto],$B8,tbl_aspeto_impacte[ID_Impacte],"IMP-03")&gt;0,"X","")</f>
        <v>X</v>
      </c>
      <c r="P8" s="25" t="str">
        <f>IF(COUNTIFS(tbl_aspeto_impacte[ID_Aspeto],$B8,tbl_aspeto_impacte[ID_Impacte],"IMP-04")&gt;0,"X","")</f>
        <v>X</v>
      </c>
      <c r="Q8" s="25" t="str">
        <f>IF(COUNTIFS(tbl_aspeto_impacte[ID_Aspeto],$B8,tbl_aspeto_impacte[ID_Impacte],"IMP-05")&gt;0,"X","")</f>
        <v/>
      </c>
      <c r="R8" s="25" t="str">
        <f>IF(COUNTIFS(tbl_aspeto_impacte[ID_Aspeto],$B8,tbl_aspeto_impacte[ID_Impacte],"IMP-06")&gt;0,"X","")</f>
        <v/>
      </c>
      <c r="S8" s="25" t="str">
        <f>IF(COUNTIFS(tbl_aspeto_impacte[ID_Aspeto],$B8,tbl_aspeto_impacte[ID_Impacte],"IMP-07")&gt;0,"X","")</f>
        <v/>
      </c>
      <c r="T8" s="25" t="str">
        <f>IF(COUNTIFS(tbl_aspeto_impacte[ID_Aspeto],$B8,tbl_aspeto_impacte[ID_Impacte],"IMP-08")&gt;0,"X","")</f>
        <v/>
      </c>
      <c r="U8" s="25" t="str">
        <f>IF(COUNTIFS(tbl_aspeto_impacte[ID_Aspeto],$B8,tbl_aspeto_impacte[ID_Impacte],"IMP-09")&gt;0,"X","")</f>
        <v/>
      </c>
      <c r="V8" s="25" t="str">
        <f>IF(COUNTIFS(tbl_aspeto_impacte[ID_Aspeto],$B8,tbl_aspeto_impacte[ID_Impacte],"IMP-10")&gt;0,"X","")</f>
        <v/>
      </c>
      <c r="W8" s="25" t="str">
        <f>IF(COUNTIFS(tbl_aspeto_impacte[ID_Aspeto],$B8,tbl_aspeto_impacte[ID_Impacte],"IMP-11")&gt;0,"X","")</f>
        <v/>
      </c>
      <c r="X8" s="25" t="str">
        <f>IF(COUNTIFS(tbl_aspeto_impacte[ID_Aspeto],$B8,tbl_aspeto_impacte[ID_Impacte],"IMP-12")&gt;0,"X","")</f>
        <v/>
      </c>
      <c r="Y8" s="25" t="str">
        <f>LEFT(INDEX(Aspetos_Impactes!$R$5:$R$47,2),3)</f>
        <v>(+)</v>
      </c>
      <c r="Z8" s="25">
        <f>INDEX(Aspetos_Impactes!$N$5:$N$47,2)</f>
        <v>4</v>
      </c>
      <c r="AA8" s="25">
        <f>INDEX(Aspetos_Impactes!$O$5:$O$47,2)</f>
        <v>4</v>
      </c>
      <c r="AB8" s="25">
        <f>INDEX(Aspetos_Impactes!$P$5:$P$47,2)</f>
        <v>3</v>
      </c>
      <c r="AC8" s="25">
        <f>INDEX(Aspetos_Impactes!$Q$5:$Q$47,2)</f>
        <v>1</v>
      </c>
      <c r="AD8" s="25">
        <f>INDEX(Aspetos_Impactes!$S$5:$S$47,2)</f>
        <v>24</v>
      </c>
      <c r="AE8" s="25" t="str">
        <f>INDEX(Aspetos_Impactes!$T$5:$T$47,2)</f>
        <v>Moderado</v>
      </c>
      <c r="AF8" s="24" t="str">
        <f>INDEX(Aspetos_Impactes!$W$5:$W$47,2)</f>
        <v>SIM</v>
      </c>
      <c r="AG8" s="24" t="str">
        <f>INDEX(Aspetos_Impactes!$X$5:$X$47,2)</f>
        <v>Preferir fornecedores ibéricos e cargas completas.</v>
      </c>
    </row>
    <row r="9" spans="1:33" ht="48" customHeight="1" x14ac:dyDescent="0.3">
      <c r="A9" s="24" t="str">
        <f>INDEX(Aspetos_Impactes!$C$5:$C$47,3)&amp;" — "&amp;INDEX(Aspetos_Impactes!$D$5:$D$47,3)</f>
        <v>Receção e silos — Descarga de big bags e transferência pneumática para silos</v>
      </c>
      <c r="B9" s="24" t="str">
        <f>INDEX(Aspetos_Impactes!$A$5:$A$47,3)</f>
        <v>AA-003</v>
      </c>
      <c r="C9" s="25" t="str">
        <f>IF(INDEX(Aspetos_Impactes!$E$5:$E$47,3)="Aquisição","X","")</f>
        <v/>
      </c>
      <c r="D9" s="25" t="str">
        <f>IF(INDEX(Aspetos_Impactes!$E$5:$E$47,3)="Design e Conceção","X","")</f>
        <v/>
      </c>
      <c r="E9" s="25" t="str">
        <f>IF(INDEX(Aspetos_Impactes!$E$5:$E$47,3)="Produção","X","")</f>
        <v>X</v>
      </c>
      <c r="F9" s="25" t="str">
        <f>IF(INDEX(Aspetos_Impactes!$E$5:$E$47,3)="Distribuição","X","")</f>
        <v/>
      </c>
      <c r="G9" s="25" t="str">
        <f>IF(INDEX(Aspetos_Impactes!$E$5:$E$47,3)="Uso (Consumidor Final)","X","")</f>
        <v/>
      </c>
      <c r="H9" s="25" t="str">
        <f>IF(INDEX(Aspetos_Impactes!$E$5:$E$47,3)="Fim de Vida","X","")</f>
        <v/>
      </c>
      <c r="I9" s="24" t="str">
        <f>INDEX(Aspetos_Impactes!$G$5:$G$47,3)</f>
        <v>Perda de granulado de plástico para o pavimento e a rede de águas pluviais</v>
      </c>
      <c r="J9" s="24" t="str">
        <f>INDEX(Aspetos_Impactes!$H$5:$H$47,3)</f>
        <v>Direto</v>
      </c>
      <c r="K9" s="24" t="str">
        <f>INDEX(Aspetos_Impactes!$I$5:$I$47,3)</f>
        <v>Normal</v>
      </c>
      <c r="L9" s="24" t="str">
        <f>INDEX(Aspetos_Impactes!$J$5:$J$47,3)</f>
        <v>Presente</v>
      </c>
      <c r="M9" s="25" t="str">
        <f>IF(COUNTIFS(tbl_aspeto_impacte[ID_Aspeto],$B9,tbl_aspeto_impacte[ID_Impacte],"IMP-01")&gt;0,"X","")</f>
        <v/>
      </c>
      <c r="N9" s="25" t="str">
        <f>IF(COUNTIFS(tbl_aspeto_impacte[ID_Aspeto],$B9,tbl_aspeto_impacte[ID_Impacte],"IMP-02")&gt;0,"X","")</f>
        <v>X</v>
      </c>
      <c r="O9" s="25" t="str">
        <f>IF(COUNTIFS(tbl_aspeto_impacte[ID_Aspeto],$B9,tbl_aspeto_impacte[ID_Impacte],"IMP-03")&gt;0,"X","")</f>
        <v/>
      </c>
      <c r="P9" s="25" t="str">
        <f>IF(COUNTIFS(tbl_aspeto_impacte[ID_Aspeto],$B9,tbl_aspeto_impacte[ID_Impacte],"IMP-04")&gt;0,"X","")</f>
        <v/>
      </c>
      <c r="Q9" s="25" t="str">
        <f>IF(COUNTIFS(tbl_aspeto_impacte[ID_Aspeto],$B9,tbl_aspeto_impacte[ID_Impacte],"IMP-05")&gt;0,"X","")</f>
        <v/>
      </c>
      <c r="R9" s="25" t="str">
        <f>IF(COUNTIFS(tbl_aspeto_impacte[ID_Aspeto],$B9,tbl_aspeto_impacte[ID_Impacte],"IMP-06")&gt;0,"X","")</f>
        <v>X</v>
      </c>
      <c r="S9" s="25" t="str">
        <f>IF(COUNTIFS(tbl_aspeto_impacte[ID_Aspeto],$B9,tbl_aspeto_impacte[ID_Impacte],"IMP-07")&gt;0,"X","")</f>
        <v/>
      </c>
      <c r="T9" s="25" t="str">
        <f>IF(COUNTIFS(tbl_aspeto_impacte[ID_Aspeto],$B9,tbl_aspeto_impacte[ID_Impacte],"IMP-08")&gt;0,"X","")</f>
        <v>X</v>
      </c>
      <c r="U9" s="25" t="str">
        <f>IF(COUNTIFS(tbl_aspeto_impacte[ID_Aspeto],$B9,tbl_aspeto_impacte[ID_Impacte],"IMP-09")&gt;0,"X","")</f>
        <v/>
      </c>
      <c r="V9" s="25" t="str">
        <f>IF(COUNTIFS(tbl_aspeto_impacte[ID_Aspeto],$B9,tbl_aspeto_impacte[ID_Impacte],"IMP-10")&gt;0,"X","")</f>
        <v/>
      </c>
      <c r="W9" s="25" t="str">
        <f>IF(COUNTIFS(tbl_aspeto_impacte[ID_Aspeto],$B9,tbl_aspeto_impacte[ID_Impacte],"IMP-11")&gt;0,"X","")</f>
        <v/>
      </c>
      <c r="X9" s="25" t="str">
        <f>IF(COUNTIFS(tbl_aspeto_impacte[ID_Aspeto],$B9,tbl_aspeto_impacte[ID_Impacte],"IMP-12")&gt;0,"X","")</f>
        <v/>
      </c>
      <c r="Y9" s="25" t="str">
        <f>LEFT(INDEX(Aspetos_Impactes!$R$5:$R$47,3),3)</f>
        <v>(+)</v>
      </c>
      <c r="Z9" s="25">
        <f>INDEX(Aspetos_Impactes!$N$5:$N$47,3)</f>
        <v>4</v>
      </c>
      <c r="AA9" s="25">
        <f>INDEX(Aspetos_Impactes!$O$5:$O$47,3)</f>
        <v>3</v>
      </c>
      <c r="AB9" s="25">
        <f>INDEX(Aspetos_Impactes!$P$5:$P$47,3)</f>
        <v>4</v>
      </c>
      <c r="AC9" s="25">
        <f>INDEX(Aspetos_Impactes!$Q$5:$Q$47,3)</f>
        <v>1</v>
      </c>
      <c r="AD9" s="25">
        <f>INDEX(Aspetos_Impactes!$S$5:$S$47,3)</f>
        <v>28</v>
      </c>
      <c r="AE9" s="25" t="str">
        <f>INDEX(Aspetos_Impactes!$T$5:$T$47,3)</f>
        <v>Moderado</v>
      </c>
      <c r="AF9" s="24" t="str">
        <f>INDEX(Aspetos_Impactes!$W$5:$W$47,3)</f>
        <v>SIM</v>
      </c>
      <c r="AG9" s="24" t="str">
        <f>INDEX(Aspetos_Impactes!$X$5:$X$47,3)</f>
        <v>Operation Clean Sweep: filtros nas sarjetas, tabuleiros de descarga, aspiração, inspeção semanal.</v>
      </c>
    </row>
    <row r="10" spans="1:33" ht="48" customHeight="1" x14ac:dyDescent="0.3">
      <c r="A10" s="24" t="str">
        <f>INDEX(Aspetos_Impactes!$C$5:$C$47,4)&amp;" — "&amp;INDEX(Aspetos_Impactes!$D$5:$D$47,4)</f>
        <v>Receção e silos — Desembalagem de matérias-primas</v>
      </c>
      <c r="B10" s="24" t="str">
        <f>INDEX(Aspetos_Impactes!$A$5:$A$47,4)</f>
        <v>AA-004</v>
      </c>
      <c r="C10" s="25" t="str">
        <f>IF(INDEX(Aspetos_Impactes!$E$5:$E$47,4)="Aquisição","X","")</f>
        <v/>
      </c>
      <c r="D10" s="25" t="str">
        <f>IF(INDEX(Aspetos_Impactes!$E$5:$E$47,4)="Design e Conceção","X","")</f>
        <v/>
      </c>
      <c r="E10" s="25" t="str">
        <f>IF(INDEX(Aspetos_Impactes!$E$5:$E$47,4)="Produção","X","")</f>
        <v>X</v>
      </c>
      <c r="F10" s="25" t="str">
        <f>IF(INDEX(Aspetos_Impactes!$E$5:$E$47,4)="Distribuição","X","")</f>
        <v/>
      </c>
      <c r="G10" s="25" t="str">
        <f>IF(INDEX(Aspetos_Impactes!$E$5:$E$47,4)="Uso (Consumidor Final)","X","")</f>
        <v/>
      </c>
      <c r="H10" s="25" t="str">
        <f>IF(INDEX(Aspetos_Impactes!$E$5:$E$47,4)="Fim de Vida","X","")</f>
        <v/>
      </c>
      <c r="I10" s="24" t="str">
        <f>INDEX(Aspetos_Impactes!$G$5:$G$47,4)</f>
        <v>Geração de resíduos de embalagem de matérias-primas (big bags, sacos, paletes, cartão)</v>
      </c>
      <c r="J10" s="24" t="str">
        <f>INDEX(Aspetos_Impactes!$H$5:$H$47,4)</f>
        <v>Direto</v>
      </c>
      <c r="K10" s="24" t="str">
        <f>INDEX(Aspetos_Impactes!$I$5:$I$47,4)</f>
        <v>Normal</v>
      </c>
      <c r="L10" s="24" t="str">
        <f>INDEX(Aspetos_Impactes!$J$5:$J$47,4)</f>
        <v>Presente</v>
      </c>
      <c r="M10" s="25" t="str">
        <f>IF(COUNTIFS(tbl_aspeto_impacte[ID_Aspeto],$B10,tbl_aspeto_impacte[ID_Impacte],"IMP-01")&gt;0,"X","")</f>
        <v>X</v>
      </c>
      <c r="N10" s="25" t="str">
        <f>IF(COUNTIFS(tbl_aspeto_impacte[ID_Aspeto],$B10,tbl_aspeto_impacte[ID_Impacte],"IMP-02")&gt;0,"X","")</f>
        <v/>
      </c>
      <c r="O10" s="25" t="str">
        <f>IF(COUNTIFS(tbl_aspeto_impacte[ID_Aspeto],$B10,tbl_aspeto_impacte[ID_Impacte],"IMP-03")&gt;0,"X","")</f>
        <v/>
      </c>
      <c r="P10" s="25" t="str">
        <f>IF(COUNTIFS(tbl_aspeto_impacte[ID_Aspeto],$B10,tbl_aspeto_impacte[ID_Impacte],"IMP-04")&gt;0,"X","")</f>
        <v/>
      </c>
      <c r="Q10" s="25" t="str">
        <f>IF(COUNTIFS(tbl_aspeto_impacte[ID_Aspeto],$B10,tbl_aspeto_impacte[ID_Impacte],"IMP-05")&gt;0,"X","")</f>
        <v/>
      </c>
      <c r="R10" s="25" t="str">
        <f>IF(COUNTIFS(tbl_aspeto_impacte[ID_Aspeto],$B10,tbl_aspeto_impacte[ID_Impacte],"IMP-06")&gt;0,"X","")</f>
        <v/>
      </c>
      <c r="S10" s="25" t="str">
        <f>IF(COUNTIFS(tbl_aspeto_impacte[ID_Aspeto],$B10,tbl_aspeto_impacte[ID_Impacte],"IMP-07")&gt;0,"X","")</f>
        <v>X</v>
      </c>
      <c r="T10" s="25" t="str">
        <f>IF(COUNTIFS(tbl_aspeto_impacte[ID_Aspeto],$B10,tbl_aspeto_impacte[ID_Impacte],"IMP-08")&gt;0,"X","")</f>
        <v/>
      </c>
      <c r="U10" s="25" t="str">
        <f>IF(COUNTIFS(tbl_aspeto_impacte[ID_Aspeto],$B10,tbl_aspeto_impacte[ID_Impacte],"IMP-09")&gt;0,"X","")</f>
        <v/>
      </c>
      <c r="V10" s="25" t="str">
        <f>IF(COUNTIFS(tbl_aspeto_impacte[ID_Aspeto],$B10,tbl_aspeto_impacte[ID_Impacte],"IMP-10")&gt;0,"X","")</f>
        <v/>
      </c>
      <c r="W10" s="25" t="str">
        <f>IF(COUNTIFS(tbl_aspeto_impacte[ID_Aspeto],$B10,tbl_aspeto_impacte[ID_Impacte],"IMP-11")&gt;0,"X","")</f>
        <v/>
      </c>
      <c r="X10" s="25" t="str">
        <f>IF(COUNTIFS(tbl_aspeto_impacte[ID_Aspeto],$B10,tbl_aspeto_impacte[ID_Impacte],"IMP-12")&gt;0,"X","")</f>
        <v/>
      </c>
      <c r="Y10" s="25" t="str">
        <f>LEFT(INDEX(Aspetos_Impactes!$R$5:$R$47,4),3)</f>
        <v>(+)</v>
      </c>
      <c r="Z10" s="25">
        <f>INDEX(Aspetos_Impactes!$N$5:$N$47,4)</f>
        <v>4</v>
      </c>
      <c r="AA10" s="25">
        <f>INDEX(Aspetos_Impactes!$O$5:$O$47,4)</f>
        <v>3</v>
      </c>
      <c r="AB10" s="25">
        <f>INDEX(Aspetos_Impactes!$P$5:$P$47,4)</f>
        <v>2</v>
      </c>
      <c r="AC10" s="25">
        <f>INDEX(Aspetos_Impactes!$Q$5:$Q$47,4)</f>
        <v>1</v>
      </c>
      <c r="AD10" s="25">
        <f>INDEX(Aspetos_Impactes!$S$5:$S$47,4)</f>
        <v>14</v>
      </c>
      <c r="AE10" s="25" t="str">
        <f>INDEX(Aspetos_Impactes!$T$5:$T$47,4)</f>
        <v>Não Significativo</v>
      </c>
      <c r="AF10" s="24" t="str">
        <f>INDEX(Aspetos_Impactes!$W$5:$W$47,4)</f>
        <v>NÃO</v>
      </c>
      <c r="AG10" s="24" t="str">
        <f>INDEX(Aspetos_Impactes!$X$5:$X$47,4)</f>
        <v>Segregação por fluxo; big bags retornáveis com fornecedor.</v>
      </c>
    </row>
    <row r="11" spans="1:33" ht="48" customHeight="1" x14ac:dyDescent="0.3">
      <c r="A11" s="24" t="str">
        <f>INDEX(Aspetos_Impactes!$C$5:$C$47,5)&amp;" — "&amp;INDEX(Aspetos_Impactes!$D$5:$D$47,5)</f>
        <v>Armazém de químicos — Armazenagem de tintas, solventes e óleos</v>
      </c>
      <c r="B11" s="24" t="str">
        <f>INDEX(Aspetos_Impactes!$A$5:$A$47,5)</f>
        <v>AA-005</v>
      </c>
      <c r="C11" s="25" t="str">
        <f>IF(INDEX(Aspetos_Impactes!$E$5:$E$47,5)="Aquisição","X","")</f>
        <v/>
      </c>
      <c r="D11" s="25" t="str">
        <f>IF(INDEX(Aspetos_Impactes!$E$5:$E$47,5)="Design e Conceção","X","")</f>
        <v/>
      </c>
      <c r="E11" s="25" t="str">
        <f>IF(INDEX(Aspetos_Impactes!$E$5:$E$47,5)="Produção","X","")</f>
        <v>X</v>
      </c>
      <c r="F11" s="25" t="str">
        <f>IF(INDEX(Aspetos_Impactes!$E$5:$E$47,5)="Distribuição","X","")</f>
        <v/>
      </c>
      <c r="G11" s="25" t="str">
        <f>IF(INDEX(Aspetos_Impactes!$E$5:$E$47,5)="Uso (Consumidor Final)","X","")</f>
        <v/>
      </c>
      <c r="H11" s="25" t="str">
        <f>IF(INDEX(Aspetos_Impactes!$E$5:$E$47,5)="Fim de Vida","X","")</f>
        <v/>
      </c>
      <c r="I11" s="24" t="str">
        <f>INDEX(Aspetos_Impactes!$G$5:$G$47,5)</f>
        <v>Derrame acidental de tintas, solventes ou óleos (rutura de embalagem, queda na movimentação)</v>
      </c>
      <c r="J11" s="24" t="str">
        <f>INDEX(Aspetos_Impactes!$H$5:$H$47,5)</f>
        <v>Direto</v>
      </c>
      <c r="K11" s="24" t="str">
        <f>INDEX(Aspetos_Impactes!$I$5:$I$47,5)</f>
        <v>Emergência</v>
      </c>
      <c r="L11" s="24" t="str">
        <f>INDEX(Aspetos_Impactes!$J$5:$J$47,5)</f>
        <v>Futuro</v>
      </c>
      <c r="M11" s="25" t="str">
        <f>IF(COUNTIFS(tbl_aspeto_impacte[ID_Aspeto],$B11,tbl_aspeto_impacte[ID_Impacte],"IMP-01")&gt;0,"X","")</f>
        <v/>
      </c>
      <c r="N11" s="25" t="str">
        <f>IF(COUNTIFS(tbl_aspeto_impacte[ID_Aspeto],$B11,tbl_aspeto_impacte[ID_Impacte],"IMP-02")&gt;0,"X","")</f>
        <v>X</v>
      </c>
      <c r="O11" s="25" t="str">
        <f>IF(COUNTIFS(tbl_aspeto_impacte[ID_Aspeto],$B11,tbl_aspeto_impacte[ID_Impacte],"IMP-03")&gt;0,"X","")</f>
        <v>X</v>
      </c>
      <c r="P11" s="25" t="str">
        <f>IF(COUNTIFS(tbl_aspeto_impacte[ID_Aspeto],$B11,tbl_aspeto_impacte[ID_Impacte],"IMP-04")&gt;0,"X","")</f>
        <v/>
      </c>
      <c r="Q11" s="25" t="str">
        <f>IF(COUNTIFS(tbl_aspeto_impacte[ID_Aspeto],$B11,tbl_aspeto_impacte[ID_Impacte],"IMP-05")&gt;0,"X","")</f>
        <v/>
      </c>
      <c r="R11" s="25" t="str">
        <f>IF(COUNTIFS(tbl_aspeto_impacte[ID_Aspeto],$B11,tbl_aspeto_impacte[ID_Impacte],"IMP-06")&gt;0,"X","")</f>
        <v/>
      </c>
      <c r="S11" s="25" t="str">
        <f>IF(COUNTIFS(tbl_aspeto_impacte[ID_Aspeto],$B11,tbl_aspeto_impacte[ID_Impacte],"IMP-07")&gt;0,"X","")</f>
        <v/>
      </c>
      <c r="T11" s="25" t="str">
        <f>IF(COUNTIFS(tbl_aspeto_impacte[ID_Aspeto],$B11,tbl_aspeto_impacte[ID_Impacte],"IMP-08")&gt;0,"X","")</f>
        <v/>
      </c>
      <c r="U11" s="25" t="str">
        <f>IF(COUNTIFS(tbl_aspeto_impacte[ID_Aspeto],$B11,tbl_aspeto_impacte[ID_Impacte],"IMP-09")&gt;0,"X","")</f>
        <v/>
      </c>
      <c r="V11" s="25" t="str">
        <f>IF(COUNTIFS(tbl_aspeto_impacte[ID_Aspeto],$B11,tbl_aspeto_impacte[ID_Impacte],"IMP-10")&gt;0,"X","")</f>
        <v/>
      </c>
      <c r="W11" s="25" t="str">
        <f>IF(COUNTIFS(tbl_aspeto_impacte[ID_Aspeto],$B11,tbl_aspeto_impacte[ID_Impacte],"IMP-11")&gt;0,"X","")</f>
        <v/>
      </c>
      <c r="X11" s="25" t="str">
        <f>IF(COUNTIFS(tbl_aspeto_impacte[ID_Aspeto],$B11,tbl_aspeto_impacte[ID_Impacte],"IMP-12")&gt;0,"X","")</f>
        <v/>
      </c>
      <c r="Y11" s="25" t="str">
        <f>LEFT(INDEX(Aspetos_Impactes!$R$5:$R$47,5),3)</f>
        <v>(+)</v>
      </c>
      <c r="Z11" s="25">
        <f>INDEX(Aspetos_Impactes!$N$5:$N$47,5)</f>
        <v>1</v>
      </c>
      <c r="AA11" s="25">
        <f>INDEX(Aspetos_Impactes!$O$5:$O$47,5)</f>
        <v>3</v>
      </c>
      <c r="AB11" s="25">
        <f>INDEX(Aspetos_Impactes!$P$5:$P$47,5)</f>
        <v>5</v>
      </c>
      <c r="AC11" s="25">
        <f>INDEX(Aspetos_Impactes!$Q$5:$Q$47,5)</f>
        <v>1</v>
      </c>
      <c r="AD11" s="25">
        <f>INDEX(Aspetos_Impactes!$S$5:$S$47,5)</f>
        <v>20</v>
      </c>
      <c r="AE11" s="25" t="str">
        <f>INDEX(Aspetos_Impactes!$T$5:$T$47,5)</f>
        <v>Moderado</v>
      </c>
      <c r="AF11" s="24" t="str">
        <f>INDEX(Aspetos_Impactes!$W$5:$W$47,5)</f>
        <v>SIM</v>
      </c>
      <c r="AG11" s="24" t="str">
        <f>INDEX(Aspetos_Impactes!$X$5:$X$47,5)</f>
        <v>Bacias de retenção, kits de derrame completos e selados, IT-SGA-01, simulacro semestral.</v>
      </c>
    </row>
    <row r="12" spans="1:33" ht="48" customHeight="1" x14ac:dyDescent="0.3">
      <c r="A12" s="24" t="str">
        <f>INDEX(Aspetos_Impactes!$C$5:$C$47,6)&amp;" — "&amp;INDEX(Aspetos_Impactes!$D$5:$D$47,6)</f>
        <v>Armazém de químicos — Manuseamento e trasfega de solventes</v>
      </c>
      <c r="B12" s="24" t="str">
        <f>INDEX(Aspetos_Impactes!$A$5:$A$47,6)</f>
        <v>AA-006</v>
      </c>
      <c r="C12" s="25" t="str">
        <f>IF(INDEX(Aspetos_Impactes!$E$5:$E$47,6)="Aquisição","X","")</f>
        <v/>
      </c>
      <c r="D12" s="25" t="str">
        <f>IF(INDEX(Aspetos_Impactes!$E$5:$E$47,6)="Design e Conceção","X","")</f>
        <v/>
      </c>
      <c r="E12" s="25" t="str">
        <f>IF(INDEX(Aspetos_Impactes!$E$5:$E$47,6)="Produção","X","")</f>
        <v>X</v>
      </c>
      <c r="F12" s="25" t="str">
        <f>IF(INDEX(Aspetos_Impactes!$E$5:$E$47,6)="Distribuição","X","")</f>
        <v/>
      </c>
      <c r="G12" s="25" t="str">
        <f>IF(INDEX(Aspetos_Impactes!$E$5:$E$47,6)="Uso (Consumidor Final)","X","")</f>
        <v/>
      </c>
      <c r="H12" s="25" t="str">
        <f>IF(INDEX(Aspetos_Impactes!$E$5:$E$47,6)="Fim de Vida","X","")</f>
        <v/>
      </c>
      <c r="I12" s="24" t="str">
        <f>INDEX(Aspetos_Impactes!$G$5:$G$47,6)</f>
        <v>Evaporação de COV de recipientes abertos ou mal fechados</v>
      </c>
      <c r="J12" s="24" t="str">
        <f>INDEX(Aspetos_Impactes!$H$5:$H$47,6)</f>
        <v>Direto</v>
      </c>
      <c r="K12" s="24" t="str">
        <f>INDEX(Aspetos_Impactes!$I$5:$I$47,6)</f>
        <v>Anormal</v>
      </c>
      <c r="L12" s="24" t="str">
        <f>INDEX(Aspetos_Impactes!$J$5:$J$47,6)</f>
        <v>Presente</v>
      </c>
      <c r="M12" s="25" t="str">
        <f>IF(COUNTIFS(tbl_aspeto_impacte[ID_Aspeto],$B12,tbl_aspeto_impacte[ID_Impacte],"IMP-01")&gt;0,"X","")</f>
        <v/>
      </c>
      <c r="N12" s="25" t="str">
        <f>IF(COUNTIFS(tbl_aspeto_impacte[ID_Aspeto],$B12,tbl_aspeto_impacte[ID_Impacte],"IMP-02")&gt;0,"X","")</f>
        <v/>
      </c>
      <c r="O12" s="25" t="str">
        <f>IF(COUNTIFS(tbl_aspeto_impacte[ID_Aspeto],$B12,tbl_aspeto_impacte[ID_Impacte],"IMP-03")&gt;0,"X","")</f>
        <v>X</v>
      </c>
      <c r="P12" s="25" t="str">
        <f>IF(COUNTIFS(tbl_aspeto_impacte[ID_Aspeto],$B12,tbl_aspeto_impacte[ID_Impacte],"IMP-04")&gt;0,"X","")</f>
        <v>X</v>
      </c>
      <c r="Q12" s="25" t="str">
        <f>IF(COUNTIFS(tbl_aspeto_impacte[ID_Aspeto],$B12,tbl_aspeto_impacte[ID_Impacte],"IMP-05")&gt;0,"X","")</f>
        <v/>
      </c>
      <c r="R12" s="25" t="str">
        <f>IF(COUNTIFS(tbl_aspeto_impacte[ID_Aspeto],$B12,tbl_aspeto_impacte[ID_Impacte],"IMP-06")&gt;0,"X","")</f>
        <v/>
      </c>
      <c r="S12" s="25" t="str">
        <f>IF(COUNTIFS(tbl_aspeto_impacte[ID_Aspeto],$B12,tbl_aspeto_impacte[ID_Impacte],"IMP-07")&gt;0,"X","")</f>
        <v/>
      </c>
      <c r="T12" s="25" t="str">
        <f>IF(COUNTIFS(tbl_aspeto_impacte[ID_Aspeto],$B12,tbl_aspeto_impacte[ID_Impacte],"IMP-08")&gt;0,"X","")</f>
        <v/>
      </c>
      <c r="U12" s="25" t="str">
        <f>IF(COUNTIFS(tbl_aspeto_impacte[ID_Aspeto],$B12,tbl_aspeto_impacte[ID_Impacte],"IMP-09")&gt;0,"X","")</f>
        <v/>
      </c>
      <c r="V12" s="25" t="str">
        <f>IF(COUNTIFS(tbl_aspeto_impacte[ID_Aspeto],$B12,tbl_aspeto_impacte[ID_Impacte],"IMP-10")&gt;0,"X","")</f>
        <v/>
      </c>
      <c r="W12" s="25" t="str">
        <f>IF(COUNTIFS(tbl_aspeto_impacte[ID_Aspeto],$B12,tbl_aspeto_impacte[ID_Impacte],"IMP-11")&gt;0,"X","")</f>
        <v/>
      </c>
      <c r="X12" s="25" t="str">
        <f>IF(COUNTIFS(tbl_aspeto_impacte[ID_Aspeto],$B12,tbl_aspeto_impacte[ID_Impacte],"IMP-12")&gt;0,"X","")</f>
        <v/>
      </c>
      <c r="Y12" s="25" t="str">
        <f>LEFT(INDEX(Aspetos_Impactes!$R$5:$R$47,6),3)</f>
        <v>(+)</v>
      </c>
      <c r="Z12" s="25">
        <f>INDEX(Aspetos_Impactes!$N$5:$N$47,6)</f>
        <v>3</v>
      </c>
      <c r="AA12" s="25">
        <f>INDEX(Aspetos_Impactes!$O$5:$O$47,6)</f>
        <v>2</v>
      </c>
      <c r="AB12" s="25">
        <f>INDEX(Aspetos_Impactes!$P$5:$P$47,6)</f>
        <v>5</v>
      </c>
      <c r="AC12" s="25">
        <f>INDEX(Aspetos_Impactes!$Q$5:$Q$47,6)</f>
        <v>1</v>
      </c>
      <c r="AD12" s="25">
        <f>INDEX(Aspetos_Impactes!$S$5:$S$47,6)</f>
        <v>25</v>
      </c>
      <c r="AE12" s="25" t="str">
        <f>INDEX(Aspetos_Impactes!$T$5:$T$47,6)</f>
        <v>Moderado</v>
      </c>
      <c r="AF12" s="24" t="str">
        <f>INDEX(Aspetos_Impactes!$W$5:$W$47,6)</f>
        <v>SIM</v>
      </c>
      <c r="AG12" s="24" t="str">
        <f>INDEX(Aspetos_Impactes!$X$5:$X$47,6)</f>
        <v>Recipientes fechados, dispensadores de segurança, regra 'tampa fechada'.</v>
      </c>
    </row>
    <row r="13" spans="1:33" ht="48" customHeight="1" x14ac:dyDescent="0.3">
      <c r="A13" s="24" t="str">
        <f>INDEX(Aspetos_Impactes!$C$5:$C$47,7)&amp;" — "&amp;INDEX(Aspetos_Impactes!$D$5:$D$47,7)</f>
        <v>Injeção de tampas — Moldação por injeção (IM-001 a IM-009)</v>
      </c>
      <c r="B13" s="24" t="str">
        <f>INDEX(Aspetos_Impactes!$A$5:$A$47,7)</f>
        <v>AA-007</v>
      </c>
      <c r="C13" s="25" t="str">
        <f>IF(INDEX(Aspetos_Impactes!$E$5:$E$47,7)="Aquisição","X","")</f>
        <v/>
      </c>
      <c r="D13" s="25" t="str">
        <f>IF(INDEX(Aspetos_Impactes!$E$5:$E$47,7)="Design e Conceção","X","")</f>
        <v/>
      </c>
      <c r="E13" s="25" t="str">
        <f>IF(INDEX(Aspetos_Impactes!$E$5:$E$47,7)="Produção","X","")</f>
        <v>X</v>
      </c>
      <c r="F13" s="25" t="str">
        <f>IF(INDEX(Aspetos_Impactes!$E$5:$E$47,7)="Distribuição","X","")</f>
        <v/>
      </c>
      <c r="G13" s="25" t="str">
        <f>IF(INDEX(Aspetos_Impactes!$E$5:$E$47,7)="Uso (Consumidor Final)","X","")</f>
        <v/>
      </c>
      <c r="H13" s="25" t="str">
        <f>IF(INDEX(Aspetos_Impactes!$E$5:$E$47,7)="Fim de Vida","X","")</f>
        <v/>
      </c>
      <c r="I13" s="24" t="str">
        <f>INDEX(Aspetos_Impactes!$G$5:$G$47,7)</f>
        <v>Consumo de energia elétrica (aquecimento do canhão, hidráulica, extração)</v>
      </c>
      <c r="J13" s="24" t="str">
        <f>INDEX(Aspetos_Impactes!$H$5:$H$47,7)</f>
        <v>Direto</v>
      </c>
      <c r="K13" s="24" t="str">
        <f>INDEX(Aspetos_Impactes!$I$5:$I$47,7)</f>
        <v>Normal</v>
      </c>
      <c r="L13" s="24" t="str">
        <f>INDEX(Aspetos_Impactes!$J$5:$J$47,7)</f>
        <v>Presente</v>
      </c>
      <c r="M13" s="25" t="str">
        <f>IF(COUNTIFS(tbl_aspeto_impacte[ID_Aspeto],$B13,tbl_aspeto_impacte[ID_Impacte],"IMP-01")&gt;0,"X","")</f>
        <v>X</v>
      </c>
      <c r="N13" s="25" t="str">
        <f>IF(COUNTIFS(tbl_aspeto_impacte[ID_Aspeto],$B13,tbl_aspeto_impacte[ID_Impacte],"IMP-02")&gt;0,"X","")</f>
        <v/>
      </c>
      <c r="O13" s="25" t="str">
        <f>IF(COUNTIFS(tbl_aspeto_impacte[ID_Aspeto],$B13,tbl_aspeto_impacte[ID_Impacte],"IMP-03")&gt;0,"X","")</f>
        <v/>
      </c>
      <c r="P13" s="25" t="str">
        <f>IF(COUNTIFS(tbl_aspeto_impacte[ID_Aspeto],$B13,tbl_aspeto_impacte[ID_Impacte],"IMP-04")&gt;0,"X","")</f>
        <v>X</v>
      </c>
      <c r="Q13" s="25" t="str">
        <f>IF(COUNTIFS(tbl_aspeto_impacte[ID_Aspeto],$B13,tbl_aspeto_impacte[ID_Impacte],"IMP-05")&gt;0,"X","")</f>
        <v/>
      </c>
      <c r="R13" s="25" t="str">
        <f>IF(COUNTIFS(tbl_aspeto_impacte[ID_Aspeto],$B13,tbl_aspeto_impacte[ID_Impacte],"IMP-06")&gt;0,"X","")</f>
        <v/>
      </c>
      <c r="S13" s="25" t="str">
        <f>IF(COUNTIFS(tbl_aspeto_impacte[ID_Aspeto],$B13,tbl_aspeto_impacte[ID_Impacte],"IMP-07")&gt;0,"X","")</f>
        <v/>
      </c>
      <c r="T13" s="25" t="str">
        <f>IF(COUNTIFS(tbl_aspeto_impacte[ID_Aspeto],$B13,tbl_aspeto_impacte[ID_Impacte],"IMP-08")&gt;0,"X","")</f>
        <v/>
      </c>
      <c r="U13" s="25" t="str">
        <f>IF(COUNTIFS(tbl_aspeto_impacte[ID_Aspeto],$B13,tbl_aspeto_impacte[ID_Impacte],"IMP-09")&gt;0,"X","")</f>
        <v/>
      </c>
      <c r="V13" s="25" t="str">
        <f>IF(COUNTIFS(tbl_aspeto_impacte[ID_Aspeto],$B13,tbl_aspeto_impacte[ID_Impacte],"IMP-10")&gt;0,"X","")</f>
        <v/>
      </c>
      <c r="W13" s="25" t="str">
        <f>IF(COUNTIFS(tbl_aspeto_impacte[ID_Aspeto],$B13,tbl_aspeto_impacte[ID_Impacte],"IMP-11")&gt;0,"X","")</f>
        <v/>
      </c>
      <c r="X13" s="25" t="str">
        <f>IF(COUNTIFS(tbl_aspeto_impacte[ID_Aspeto],$B13,tbl_aspeto_impacte[ID_Impacte],"IMP-12")&gt;0,"X","")</f>
        <v/>
      </c>
      <c r="Y13" s="25" t="str">
        <f>LEFT(INDEX(Aspetos_Impactes!$R$5:$R$47,7),3)</f>
        <v>(+)</v>
      </c>
      <c r="Z13" s="25">
        <f>INDEX(Aspetos_Impactes!$N$5:$N$47,7)</f>
        <v>5</v>
      </c>
      <c r="AA13" s="25">
        <f>INDEX(Aspetos_Impactes!$O$5:$O$47,7)</f>
        <v>5</v>
      </c>
      <c r="AB13" s="25">
        <f>INDEX(Aspetos_Impactes!$P$5:$P$47,7)</f>
        <v>3</v>
      </c>
      <c r="AC13" s="25">
        <f>INDEX(Aspetos_Impactes!$Q$5:$Q$47,7)</f>
        <v>1</v>
      </c>
      <c r="AD13" s="25">
        <f>INDEX(Aspetos_Impactes!$S$5:$S$47,7)</f>
        <v>30</v>
      </c>
      <c r="AE13" s="25" t="str">
        <f>INDEX(Aspetos_Impactes!$T$5:$T$47,7)</f>
        <v>Moderado</v>
      </c>
      <c r="AF13" s="24" t="str">
        <f>INDEX(Aspetos_Impactes!$W$5:$W$47,7)</f>
        <v>SIM</v>
      </c>
      <c r="AG13" s="24" t="str">
        <f>INDEX(Aspetos_Impactes!$X$5:$X$47,7)</f>
        <v>Standby nas pausas (Kaizen KZ-01), manutenção de resistências e isolamento do canhão, submedição.</v>
      </c>
    </row>
    <row r="14" spans="1:33" ht="48" customHeight="1" x14ac:dyDescent="0.3">
      <c r="A14" s="24" t="str">
        <f>INDEX(Aspetos_Impactes!$C$5:$C$47,8)&amp;" — "&amp;INDEX(Aspetos_Impactes!$D$5:$D$47,8)</f>
        <v>Injeção de tampas — Moldação por injeção (IM-001 a IM-009)</v>
      </c>
      <c r="B14" s="24" t="str">
        <f>INDEX(Aspetos_Impactes!$A$5:$A$47,8)</f>
        <v>AA-008</v>
      </c>
      <c r="C14" s="25" t="str">
        <f>IF(INDEX(Aspetos_Impactes!$E$5:$E$47,8)="Aquisição","X","")</f>
        <v/>
      </c>
      <c r="D14" s="25" t="str">
        <f>IF(INDEX(Aspetos_Impactes!$E$5:$E$47,8)="Design e Conceção","X","")</f>
        <v/>
      </c>
      <c r="E14" s="25" t="str">
        <f>IF(INDEX(Aspetos_Impactes!$E$5:$E$47,8)="Produção","X","")</f>
        <v>X</v>
      </c>
      <c r="F14" s="25" t="str">
        <f>IF(INDEX(Aspetos_Impactes!$E$5:$E$47,8)="Distribuição","X","")</f>
        <v/>
      </c>
      <c r="G14" s="25" t="str">
        <f>IF(INDEX(Aspetos_Impactes!$E$5:$E$47,8)="Uso (Consumidor Final)","X","")</f>
        <v/>
      </c>
      <c r="H14" s="25" t="str">
        <f>IF(INDEX(Aspetos_Impactes!$E$5:$E$47,8)="Fim de Vida","X","")</f>
        <v/>
      </c>
      <c r="I14" s="24" t="str">
        <f>INDEX(Aspetos_Impactes!$G$5:$G$47,8)</f>
        <v>Geração de scrap plástico (peças rejeitadas, jitos e purgas de arranque)</v>
      </c>
      <c r="J14" s="24" t="str">
        <f>INDEX(Aspetos_Impactes!$H$5:$H$47,8)</f>
        <v>Direto</v>
      </c>
      <c r="K14" s="24" t="str">
        <f>INDEX(Aspetos_Impactes!$I$5:$I$47,8)</f>
        <v>Normal</v>
      </c>
      <c r="L14" s="24" t="str">
        <f>INDEX(Aspetos_Impactes!$J$5:$J$47,8)</f>
        <v>Presente</v>
      </c>
      <c r="M14" s="25" t="str">
        <f>IF(COUNTIFS(tbl_aspeto_impacte[ID_Aspeto],$B14,tbl_aspeto_impacte[ID_Impacte],"IMP-01")&gt;0,"X","")</f>
        <v>X</v>
      </c>
      <c r="N14" s="25" t="str">
        <f>IF(COUNTIFS(tbl_aspeto_impacte[ID_Aspeto],$B14,tbl_aspeto_impacte[ID_Impacte],"IMP-02")&gt;0,"X","")</f>
        <v/>
      </c>
      <c r="O14" s="25" t="str">
        <f>IF(COUNTIFS(tbl_aspeto_impacte[ID_Aspeto],$B14,tbl_aspeto_impacte[ID_Impacte],"IMP-03")&gt;0,"X","")</f>
        <v/>
      </c>
      <c r="P14" s="25" t="str">
        <f>IF(COUNTIFS(tbl_aspeto_impacte[ID_Aspeto],$B14,tbl_aspeto_impacte[ID_Impacte],"IMP-04")&gt;0,"X","")</f>
        <v/>
      </c>
      <c r="Q14" s="25" t="str">
        <f>IF(COUNTIFS(tbl_aspeto_impacte[ID_Aspeto],$B14,tbl_aspeto_impacte[ID_Impacte],"IMP-05")&gt;0,"X","")</f>
        <v/>
      </c>
      <c r="R14" s="25" t="str">
        <f>IF(COUNTIFS(tbl_aspeto_impacte[ID_Aspeto],$B14,tbl_aspeto_impacte[ID_Impacte],"IMP-06")&gt;0,"X","")</f>
        <v/>
      </c>
      <c r="S14" s="25" t="str">
        <f>IF(COUNTIFS(tbl_aspeto_impacte[ID_Aspeto],$B14,tbl_aspeto_impacte[ID_Impacte],"IMP-07")&gt;0,"X","")</f>
        <v>X</v>
      </c>
      <c r="T14" s="25" t="str">
        <f>IF(COUNTIFS(tbl_aspeto_impacte[ID_Aspeto],$B14,tbl_aspeto_impacte[ID_Impacte],"IMP-08")&gt;0,"X","")</f>
        <v/>
      </c>
      <c r="U14" s="25" t="str">
        <f>IF(COUNTIFS(tbl_aspeto_impacte[ID_Aspeto],$B14,tbl_aspeto_impacte[ID_Impacte],"IMP-09")&gt;0,"X","")</f>
        <v/>
      </c>
      <c r="V14" s="25" t="str">
        <f>IF(COUNTIFS(tbl_aspeto_impacte[ID_Aspeto],$B14,tbl_aspeto_impacte[ID_Impacte],"IMP-10")&gt;0,"X","")</f>
        <v/>
      </c>
      <c r="W14" s="25" t="str">
        <f>IF(COUNTIFS(tbl_aspeto_impacte[ID_Aspeto],$B14,tbl_aspeto_impacte[ID_Impacte],"IMP-11")&gt;0,"X","")</f>
        <v/>
      </c>
      <c r="X14" s="25" t="str">
        <f>IF(COUNTIFS(tbl_aspeto_impacte[ID_Aspeto],$B14,tbl_aspeto_impacte[ID_Impacte],"IMP-12")&gt;0,"X","")</f>
        <v/>
      </c>
      <c r="Y14" s="25" t="str">
        <f>LEFT(INDEX(Aspetos_Impactes!$R$5:$R$47,8),3)</f>
        <v>(+)</v>
      </c>
      <c r="Z14" s="25">
        <f>INDEX(Aspetos_Impactes!$N$5:$N$47,8)</f>
        <v>5</v>
      </c>
      <c r="AA14" s="25">
        <f>INDEX(Aspetos_Impactes!$O$5:$O$47,8)</f>
        <v>3</v>
      </c>
      <c r="AB14" s="25">
        <f>INDEX(Aspetos_Impactes!$P$5:$P$47,8)</f>
        <v>3</v>
      </c>
      <c r="AC14" s="25">
        <f>INDEX(Aspetos_Impactes!$Q$5:$Q$47,8)</f>
        <v>1</v>
      </c>
      <c r="AD14" s="25">
        <f>INDEX(Aspetos_Impactes!$S$5:$S$47,8)</f>
        <v>24</v>
      </c>
      <c r="AE14" s="25" t="str">
        <f>INDEX(Aspetos_Impactes!$T$5:$T$47,8)</f>
        <v>Moderado</v>
      </c>
      <c r="AF14" s="24" t="str">
        <f>INDEX(Aspetos_Impactes!$W$5:$W$47,8)</f>
        <v>SIM</v>
      </c>
      <c r="AG14" s="24" t="str">
        <f>INDEX(Aspetos_Impactes!$X$5:$X$47,8)</f>
        <v>Controlo de processo (DOE IM-002), segregação por cor e reintegração.</v>
      </c>
    </row>
    <row r="15" spans="1:33" ht="48" customHeight="1" x14ac:dyDescent="0.3">
      <c r="A15" s="24" t="str">
        <f>INDEX(Aspetos_Impactes!$C$5:$C$47,9)&amp;" — "&amp;INDEX(Aspetos_Impactes!$D$5:$D$47,9)</f>
        <v>Injeção de tampas — Mudança de óleo hidráulico e fugas em mangueiras</v>
      </c>
      <c r="B15" s="24" t="str">
        <f>INDEX(Aspetos_Impactes!$A$5:$A$47,9)</f>
        <v>AA-009</v>
      </c>
      <c r="C15" s="25" t="str">
        <f>IF(INDEX(Aspetos_Impactes!$E$5:$E$47,9)="Aquisição","X","")</f>
        <v/>
      </c>
      <c r="D15" s="25" t="str">
        <f>IF(INDEX(Aspetos_Impactes!$E$5:$E$47,9)="Design e Conceção","X","")</f>
        <v/>
      </c>
      <c r="E15" s="25" t="str">
        <f>IF(INDEX(Aspetos_Impactes!$E$5:$E$47,9)="Produção","X","")</f>
        <v>X</v>
      </c>
      <c r="F15" s="25" t="str">
        <f>IF(INDEX(Aspetos_Impactes!$E$5:$E$47,9)="Distribuição","X","")</f>
        <v/>
      </c>
      <c r="G15" s="25" t="str">
        <f>IF(INDEX(Aspetos_Impactes!$E$5:$E$47,9)="Uso (Consumidor Final)","X","")</f>
        <v/>
      </c>
      <c r="H15" s="25" t="str">
        <f>IF(INDEX(Aspetos_Impactes!$E$5:$E$47,9)="Fim de Vida","X","")</f>
        <v/>
      </c>
      <c r="I15" s="24" t="str">
        <f>INDEX(Aspetos_Impactes!$G$5:$G$47,9)</f>
        <v>Fuga de óleo hidráulico durante manutenção ou por rotura de mangueira</v>
      </c>
      <c r="J15" s="24" t="str">
        <f>INDEX(Aspetos_Impactes!$H$5:$H$47,9)</f>
        <v>Direto</v>
      </c>
      <c r="K15" s="24" t="str">
        <f>INDEX(Aspetos_Impactes!$I$5:$I$47,9)</f>
        <v>Anormal</v>
      </c>
      <c r="L15" s="24" t="str">
        <f>INDEX(Aspetos_Impactes!$J$5:$J$47,9)</f>
        <v>Presente</v>
      </c>
      <c r="M15" s="25" t="str">
        <f>IF(COUNTIFS(tbl_aspeto_impacte[ID_Aspeto],$B15,tbl_aspeto_impacte[ID_Impacte],"IMP-01")&gt;0,"X","")</f>
        <v/>
      </c>
      <c r="N15" s="25" t="str">
        <f>IF(COUNTIFS(tbl_aspeto_impacte[ID_Aspeto],$B15,tbl_aspeto_impacte[ID_Impacte],"IMP-02")&gt;0,"X","")</f>
        <v>X</v>
      </c>
      <c r="O15" s="25" t="str">
        <f>IF(COUNTIFS(tbl_aspeto_impacte[ID_Aspeto],$B15,tbl_aspeto_impacte[ID_Impacte],"IMP-03")&gt;0,"X","")</f>
        <v/>
      </c>
      <c r="P15" s="25" t="str">
        <f>IF(COUNTIFS(tbl_aspeto_impacte[ID_Aspeto],$B15,tbl_aspeto_impacte[ID_Impacte],"IMP-04")&gt;0,"X","")</f>
        <v/>
      </c>
      <c r="Q15" s="25" t="str">
        <f>IF(COUNTIFS(tbl_aspeto_impacte[ID_Aspeto],$B15,tbl_aspeto_impacte[ID_Impacte],"IMP-05")&gt;0,"X","")</f>
        <v/>
      </c>
      <c r="R15" s="25" t="str">
        <f>IF(COUNTIFS(tbl_aspeto_impacte[ID_Aspeto],$B15,tbl_aspeto_impacte[ID_Impacte],"IMP-06")&gt;0,"X","")</f>
        <v/>
      </c>
      <c r="S15" s="25" t="str">
        <f>IF(COUNTIFS(tbl_aspeto_impacte[ID_Aspeto],$B15,tbl_aspeto_impacte[ID_Impacte],"IMP-07")&gt;0,"X","")</f>
        <v/>
      </c>
      <c r="T15" s="25" t="str">
        <f>IF(COUNTIFS(tbl_aspeto_impacte[ID_Aspeto],$B15,tbl_aspeto_impacte[ID_Impacte],"IMP-08")&gt;0,"X","")</f>
        <v/>
      </c>
      <c r="U15" s="25" t="str">
        <f>IF(COUNTIFS(tbl_aspeto_impacte[ID_Aspeto],$B15,tbl_aspeto_impacte[ID_Impacte],"IMP-09")&gt;0,"X","")</f>
        <v/>
      </c>
      <c r="V15" s="25" t="str">
        <f>IF(COUNTIFS(tbl_aspeto_impacte[ID_Aspeto],$B15,tbl_aspeto_impacte[ID_Impacte],"IMP-10")&gt;0,"X","")</f>
        <v/>
      </c>
      <c r="W15" s="25" t="str">
        <f>IF(COUNTIFS(tbl_aspeto_impacte[ID_Aspeto],$B15,tbl_aspeto_impacte[ID_Impacte],"IMP-11")&gt;0,"X","")</f>
        <v/>
      </c>
      <c r="X15" s="25" t="str">
        <f>IF(COUNTIFS(tbl_aspeto_impacte[ID_Aspeto],$B15,tbl_aspeto_impacte[ID_Impacte],"IMP-12")&gt;0,"X","")</f>
        <v/>
      </c>
      <c r="Y15" s="25" t="str">
        <f>LEFT(INDEX(Aspetos_Impactes!$R$5:$R$47,9),3)</f>
        <v>(+)</v>
      </c>
      <c r="Z15" s="25">
        <f>INDEX(Aspetos_Impactes!$N$5:$N$47,9)</f>
        <v>2</v>
      </c>
      <c r="AA15" s="25">
        <f>INDEX(Aspetos_Impactes!$O$5:$O$47,9)</f>
        <v>2</v>
      </c>
      <c r="AB15" s="25">
        <f>INDEX(Aspetos_Impactes!$P$5:$P$47,9)</f>
        <v>4</v>
      </c>
      <c r="AC15" s="25">
        <f>INDEX(Aspetos_Impactes!$Q$5:$Q$47,9)</f>
        <v>1</v>
      </c>
      <c r="AD15" s="25">
        <f>INDEX(Aspetos_Impactes!$S$5:$S$47,9)</f>
        <v>16</v>
      </c>
      <c r="AE15" s="25" t="str">
        <f>INDEX(Aspetos_Impactes!$T$5:$T$47,9)</f>
        <v>Não Significativo</v>
      </c>
      <c r="AF15" s="24" t="str">
        <f>INDEX(Aspetos_Impactes!$W$5:$W$47,9)</f>
        <v>NÃO</v>
      </c>
      <c r="AG15" s="24" t="str">
        <f>INDEX(Aspetos_Impactes!$X$5:$X$47,9)</f>
        <v>Tabuleiros de retenção sob a hidráulica; inspeção de mangueiras.</v>
      </c>
    </row>
    <row r="16" spans="1:33" ht="48" customHeight="1" x14ac:dyDescent="0.3">
      <c r="A16" s="24" t="str">
        <f>INDEX(Aspetos_Impactes!$C$5:$C$47,10)&amp;" — "&amp;INDEX(Aspetos_Impactes!$D$5:$D$47,10)</f>
        <v>Sopro de frascos (ISBM) — Moldação por injeção-sopro (ISBM-001 a 010)</v>
      </c>
      <c r="B16" s="24" t="str">
        <f>INDEX(Aspetos_Impactes!$A$5:$A$47,10)</f>
        <v>AA-010</v>
      </c>
      <c r="C16" s="25" t="str">
        <f>IF(INDEX(Aspetos_Impactes!$E$5:$E$47,10)="Aquisição","X","")</f>
        <v/>
      </c>
      <c r="D16" s="25" t="str">
        <f>IF(INDEX(Aspetos_Impactes!$E$5:$E$47,10)="Design e Conceção","X","")</f>
        <v/>
      </c>
      <c r="E16" s="25" t="str">
        <f>IF(INDEX(Aspetos_Impactes!$E$5:$E$47,10)="Produção","X","")</f>
        <v>X</v>
      </c>
      <c r="F16" s="25" t="str">
        <f>IF(INDEX(Aspetos_Impactes!$E$5:$E$47,10)="Distribuição","X","")</f>
        <v/>
      </c>
      <c r="G16" s="25" t="str">
        <f>IF(INDEX(Aspetos_Impactes!$E$5:$E$47,10)="Uso (Consumidor Final)","X","")</f>
        <v/>
      </c>
      <c r="H16" s="25" t="str">
        <f>IF(INDEX(Aspetos_Impactes!$E$5:$E$47,10)="Fim de Vida","X","")</f>
        <v/>
      </c>
      <c r="I16" s="24" t="str">
        <f>INDEX(Aspetos_Impactes!$G$5:$G$47,10)</f>
        <v>Consumo de energia elétrica (aquecimento de pré-formas, sopro, hidráulica)</v>
      </c>
      <c r="J16" s="24" t="str">
        <f>INDEX(Aspetos_Impactes!$H$5:$H$47,10)</f>
        <v>Direto</v>
      </c>
      <c r="K16" s="24" t="str">
        <f>INDEX(Aspetos_Impactes!$I$5:$I$47,10)</f>
        <v>Normal</v>
      </c>
      <c r="L16" s="24" t="str">
        <f>INDEX(Aspetos_Impactes!$J$5:$J$47,10)</f>
        <v>Presente</v>
      </c>
      <c r="M16" s="25" t="str">
        <f>IF(COUNTIFS(tbl_aspeto_impacte[ID_Aspeto],$B16,tbl_aspeto_impacte[ID_Impacte],"IMP-01")&gt;0,"X","")</f>
        <v>X</v>
      </c>
      <c r="N16" s="25" t="str">
        <f>IF(COUNTIFS(tbl_aspeto_impacte[ID_Aspeto],$B16,tbl_aspeto_impacte[ID_Impacte],"IMP-02")&gt;0,"X","")</f>
        <v/>
      </c>
      <c r="O16" s="25" t="str">
        <f>IF(COUNTIFS(tbl_aspeto_impacte[ID_Aspeto],$B16,tbl_aspeto_impacte[ID_Impacte],"IMP-03")&gt;0,"X","")</f>
        <v/>
      </c>
      <c r="P16" s="25" t="str">
        <f>IF(COUNTIFS(tbl_aspeto_impacte[ID_Aspeto],$B16,tbl_aspeto_impacte[ID_Impacte],"IMP-04")&gt;0,"X","")</f>
        <v>X</v>
      </c>
      <c r="Q16" s="25" t="str">
        <f>IF(COUNTIFS(tbl_aspeto_impacte[ID_Aspeto],$B16,tbl_aspeto_impacte[ID_Impacte],"IMP-05")&gt;0,"X","")</f>
        <v/>
      </c>
      <c r="R16" s="25" t="str">
        <f>IF(COUNTIFS(tbl_aspeto_impacte[ID_Aspeto],$B16,tbl_aspeto_impacte[ID_Impacte],"IMP-06")&gt;0,"X","")</f>
        <v/>
      </c>
      <c r="S16" s="25" t="str">
        <f>IF(COUNTIFS(tbl_aspeto_impacte[ID_Aspeto],$B16,tbl_aspeto_impacte[ID_Impacte],"IMP-07")&gt;0,"X","")</f>
        <v/>
      </c>
      <c r="T16" s="25" t="str">
        <f>IF(COUNTIFS(tbl_aspeto_impacte[ID_Aspeto],$B16,tbl_aspeto_impacte[ID_Impacte],"IMP-08")&gt;0,"X","")</f>
        <v/>
      </c>
      <c r="U16" s="25" t="str">
        <f>IF(COUNTIFS(tbl_aspeto_impacte[ID_Aspeto],$B16,tbl_aspeto_impacte[ID_Impacte],"IMP-09")&gt;0,"X","")</f>
        <v/>
      </c>
      <c r="V16" s="25" t="str">
        <f>IF(COUNTIFS(tbl_aspeto_impacte[ID_Aspeto],$B16,tbl_aspeto_impacte[ID_Impacte],"IMP-10")&gt;0,"X","")</f>
        <v/>
      </c>
      <c r="W16" s="25" t="str">
        <f>IF(COUNTIFS(tbl_aspeto_impacte[ID_Aspeto],$B16,tbl_aspeto_impacte[ID_Impacte],"IMP-11")&gt;0,"X","")</f>
        <v/>
      </c>
      <c r="X16" s="25" t="str">
        <f>IF(COUNTIFS(tbl_aspeto_impacte[ID_Aspeto],$B16,tbl_aspeto_impacte[ID_Impacte],"IMP-12")&gt;0,"X","")</f>
        <v/>
      </c>
      <c r="Y16" s="25" t="str">
        <f>LEFT(INDEX(Aspetos_Impactes!$R$5:$R$47,10),3)</f>
        <v>(+)</v>
      </c>
      <c r="Z16" s="25">
        <f>INDEX(Aspetos_Impactes!$N$5:$N$47,10)</f>
        <v>5</v>
      </c>
      <c r="AA16" s="25">
        <f>INDEX(Aspetos_Impactes!$O$5:$O$47,10)</f>
        <v>5</v>
      </c>
      <c r="AB16" s="25">
        <f>INDEX(Aspetos_Impactes!$P$5:$P$47,10)</f>
        <v>3</v>
      </c>
      <c r="AC16" s="25">
        <f>INDEX(Aspetos_Impactes!$Q$5:$Q$47,10)</f>
        <v>1</v>
      </c>
      <c r="AD16" s="25">
        <f>INDEX(Aspetos_Impactes!$S$5:$S$47,10)</f>
        <v>30</v>
      </c>
      <c r="AE16" s="25" t="str">
        <f>INDEX(Aspetos_Impactes!$T$5:$T$47,10)</f>
        <v>Moderado</v>
      </c>
      <c r="AF16" s="24" t="str">
        <f>INDEX(Aspetos_Impactes!$W$5:$W$47,10)</f>
        <v>SIM</v>
      </c>
      <c r="AG16" s="24" t="str">
        <f>INDEX(Aspetos_Impactes!$X$5:$X$47,10)</f>
        <v>Submedição, ajuste de temperaturas de condicionamento, standby nas pausas.</v>
      </c>
    </row>
    <row r="17" spans="1:33" ht="48" customHeight="1" x14ac:dyDescent="0.3">
      <c r="A17" s="24" t="str">
        <f>INDEX(Aspetos_Impactes!$C$5:$C$47,11)&amp;" — "&amp;INDEX(Aspetos_Impactes!$D$5:$D$47,11)</f>
        <v>Sopro de frascos (ISBM) — Moldação por injeção-sopro (ISBM-001 a 010)</v>
      </c>
      <c r="B17" s="24" t="str">
        <f>INDEX(Aspetos_Impactes!$A$5:$A$47,11)</f>
        <v>AA-011</v>
      </c>
      <c r="C17" s="25" t="str">
        <f>IF(INDEX(Aspetos_Impactes!$E$5:$E$47,11)="Aquisição","X","")</f>
        <v/>
      </c>
      <c r="D17" s="25" t="str">
        <f>IF(INDEX(Aspetos_Impactes!$E$5:$E$47,11)="Design e Conceção","X","")</f>
        <v/>
      </c>
      <c r="E17" s="25" t="str">
        <f>IF(INDEX(Aspetos_Impactes!$E$5:$E$47,11)="Produção","X","")</f>
        <v>X</v>
      </c>
      <c r="F17" s="25" t="str">
        <f>IF(INDEX(Aspetos_Impactes!$E$5:$E$47,11)="Distribuição","X","")</f>
        <v/>
      </c>
      <c r="G17" s="25" t="str">
        <f>IF(INDEX(Aspetos_Impactes!$E$5:$E$47,11)="Uso (Consumidor Final)","X","")</f>
        <v/>
      </c>
      <c r="H17" s="25" t="str">
        <f>IF(INDEX(Aspetos_Impactes!$E$5:$E$47,11)="Fim de Vida","X","")</f>
        <v/>
      </c>
      <c r="I17" s="24" t="str">
        <f>INDEX(Aspetos_Impactes!$G$5:$G$47,11)</f>
        <v>Geração de scrap plástico (frascos rejeitados e purgas)</v>
      </c>
      <c r="J17" s="24" t="str">
        <f>INDEX(Aspetos_Impactes!$H$5:$H$47,11)</f>
        <v>Direto</v>
      </c>
      <c r="K17" s="24" t="str">
        <f>INDEX(Aspetos_Impactes!$I$5:$I$47,11)</f>
        <v>Normal</v>
      </c>
      <c r="L17" s="24" t="str">
        <f>INDEX(Aspetos_Impactes!$J$5:$J$47,11)</f>
        <v>Presente</v>
      </c>
      <c r="M17" s="25" t="str">
        <f>IF(COUNTIFS(tbl_aspeto_impacte[ID_Aspeto],$B17,tbl_aspeto_impacte[ID_Impacte],"IMP-01")&gt;0,"X","")</f>
        <v>X</v>
      </c>
      <c r="N17" s="25" t="str">
        <f>IF(COUNTIFS(tbl_aspeto_impacte[ID_Aspeto],$B17,tbl_aspeto_impacte[ID_Impacte],"IMP-02")&gt;0,"X","")</f>
        <v/>
      </c>
      <c r="O17" s="25" t="str">
        <f>IF(COUNTIFS(tbl_aspeto_impacte[ID_Aspeto],$B17,tbl_aspeto_impacte[ID_Impacte],"IMP-03")&gt;0,"X","")</f>
        <v/>
      </c>
      <c r="P17" s="25" t="str">
        <f>IF(COUNTIFS(tbl_aspeto_impacte[ID_Aspeto],$B17,tbl_aspeto_impacte[ID_Impacte],"IMP-04")&gt;0,"X","")</f>
        <v/>
      </c>
      <c r="Q17" s="25" t="str">
        <f>IF(COUNTIFS(tbl_aspeto_impacte[ID_Aspeto],$B17,tbl_aspeto_impacte[ID_Impacte],"IMP-05")&gt;0,"X","")</f>
        <v/>
      </c>
      <c r="R17" s="25" t="str">
        <f>IF(COUNTIFS(tbl_aspeto_impacte[ID_Aspeto],$B17,tbl_aspeto_impacte[ID_Impacte],"IMP-06")&gt;0,"X","")</f>
        <v/>
      </c>
      <c r="S17" s="25" t="str">
        <f>IF(COUNTIFS(tbl_aspeto_impacte[ID_Aspeto],$B17,tbl_aspeto_impacte[ID_Impacte],"IMP-07")&gt;0,"X","")</f>
        <v>X</v>
      </c>
      <c r="T17" s="25" t="str">
        <f>IF(COUNTIFS(tbl_aspeto_impacte[ID_Aspeto],$B17,tbl_aspeto_impacte[ID_Impacte],"IMP-08")&gt;0,"X","")</f>
        <v/>
      </c>
      <c r="U17" s="25" t="str">
        <f>IF(COUNTIFS(tbl_aspeto_impacte[ID_Aspeto],$B17,tbl_aspeto_impacte[ID_Impacte],"IMP-09")&gt;0,"X","")</f>
        <v/>
      </c>
      <c r="V17" s="25" t="str">
        <f>IF(COUNTIFS(tbl_aspeto_impacte[ID_Aspeto],$B17,tbl_aspeto_impacte[ID_Impacte],"IMP-10")&gt;0,"X","")</f>
        <v/>
      </c>
      <c r="W17" s="25" t="str">
        <f>IF(COUNTIFS(tbl_aspeto_impacte[ID_Aspeto],$B17,tbl_aspeto_impacte[ID_Impacte],"IMP-11")&gt;0,"X","")</f>
        <v/>
      </c>
      <c r="X17" s="25" t="str">
        <f>IF(COUNTIFS(tbl_aspeto_impacte[ID_Aspeto],$B17,tbl_aspeto_impacte[ID_Impacte],"IMP-12")&gt;0,"X","")</f>
        <v/>
      </c>
      <c r="Y17" s="25" t="str">
        <f>LEFT(INDEX(Aspetos_Impactes!$R$5:$R$47,11),3)</f>
        <v>(+)</v>
      </c>
      <c r="Z17" s="25">
        <f>INDEX(Aspetos_Impactes!$N$5:$N$47,11)</f>
        <v>5</v>
      </c>
      <c r="AA17" s="25">
        <f>INDEX(Aspetos_Impactes!$O$5:$O$47,11)</f>
        <v>4</v>
      </c>
      <c r="AB17" s="25">
        <f>INDEX(Aspetos_Impactes!$P$5:$P$47,11)</f>
        <v>3</v>
      </c>
      <c r="AC17" s="25">
        <f>INDEX(Aspetos_Impactes!$Q$5:$Q$47,11)</f>
        <v>1</v>
      </c>
      <c r="AD17" s="25">
        <f>INDEX(Aspetos_Impactes!$S$5:$S$47,11)</f>
        <v>27</v>
      </c>
      <c r="AE17" s="25" t="str">
        <f>INDEX(Aspetos_Impactes!$T$5:$T$47,11)</f>
        <v>Moderado</v>
      </c>
      <c r="AF17" s="24" t="str">
        <f>INDEX(Aspetos_Impactes!$W$5:$W$47,11)</f>
        <v>SIM</v>
      </c>
      <c r="AG17" s="24" t="str">
        <f>INDEX(Aspetos_Impactes!$X$5:$X$47,11)</f>
        <v>Controlo da espessura de parede (ISBM-003), manutenção de moldes, reintegração.</v>
      </c>
    </row>
    <row r="18" spans="1:33" ht="48" customHeight="1" x14ac:dyDescent="0.3">
      <c r="A18" s="24" t="str">
        <f>INDEX(Aspetos_Impactes!$C$5:$C$47,12)&amp;" — "&amp;INDEX(Aspetos_Impactes!$D$5:$D$47,12)</f>
        <v>Sopro de frascos (ISBM) — Arranque e paragem de máquinas / mudança de molde</v>
      </c>
      <c r="B18" s="24" t="str">
        <f>INDEX(Aspetos_Impactes!$A$5:$A$47,12)</f>
        <v>AA-012</v>
      </c>
      <c r="C18" s="25" t="str">
        <f>IF(INDEX(Aspetos_Impactes!$E$5:$E$47,12)="Aquisição","X","")</f>
        <v/>
      </c>
      <c r="D18" s="25" t="str">
        <f>IF(INDEX(Aspetos_Impactes!$E$5:$E$47,12)="Design e Conceção","X","")</f>
        <v/>
      </c>
      <c r="E18" s="25" t="str">
        <f>IF(INDEX(Aspetos_Impactes!$E$5:$E$47,12)="Produção","X","")</f>
        <v>X</v>
      </c>
      <c r="F18" s="25" t="str">
        <f>IF(INDEX(Aspetos_Impactes!$E$5:$E$47,12)="Distribuição","X","")</f>
        <v/>
      </c>
      <c r="G18" s="25" t="str">
        <f>IF(INDEX(Aspetos_Impactes!$E$5:$E$47,12)="Uso (Consumidor Final)","X","")</f>
        <v/>
      </c>
      <c r="H18" s="25" t="str">
        <f>IF(INDEX(Aspetos_Impactes!$E$5:$E$47,12)="Fim de Vida","X","")</f>
        <v/>
      </c>
      <c r="I18" s="24" t="str">
        <f>INDEX(Aspetos_Impactes!$G$5:$G$47,12)</f>
        <v>Purgas e peças de arranque após mudança de molde ou paragem</v>
      </c>
      <c r="J18" s="24" t="str">
        <f>INDEX(Aspetos_Impactes!$H$5:$H$47,12)</f>
        <v>Direto</v>
      </c>
      <c r="K18" s="24" t="str">
        <f>INDEX(Aspetos_Impactes!$I$5:$I$47,12)</f>
        <v>Anormal</v>
      </c>
      <c r="L18" s="24" t="str">
        <f>INDEX(Aspetos_Impactes!$J$5:$J$47,12)</f>
        <v>Presente</v>
      </c>
      <c r="M18" s="25" t="str">
        <f>IF(COUNTIFS(tbl_aspeto_impacte[ID_Aspeto],$B18,tbl_aspeto_impacte[ID_Impacte],"IMP-01")&gt;0,"X","")</f>
        <v>X</v>
      </c>
      <c r="N18" s="25" t="str">
        <f>IF(COUNTIFS(tbl_aspeto_impacte[ID_Aspeto],$B18,tbl_aspeto_impacte[ID_Impacte],"IMP-02")&gt;0,"X","")</f>
        <v/>
      </c>
      <c r="O18" s="25" t="str">
        <f>IF(COUNTIFS(tbl_aspeto_impacte[ID_Aspeto],$B18,tbl_aspeto_impacte[ID_Impacte],"IMP-03")&gt;0,"X","")</f>
        <v/>
      </c>
      <c r="P18" s="25" t="str">
        <f>IF(COUNTIFS(tbl_aspeto_impacte[ID_Aspeto],$B18,tbl_aspeto_impacte[ID_Impacte],"IMP-04")&gt;0,"X","")</f>
        <v/>
      </c>
      <c r="Q18" s="25" t="str">
        <f>IF(COUNTIFS(tbl_aspeto_impacte[ID_Aspeto],$B18,tbl_aspeto_impacte[ID_Impacte],"IMP-05")&gt;0,"X","")</f>
        <v/>
      </c>
      <c r="R18" s="25" t="str">
        <f>IF(COUNTIFS(tbl_aspeto_impacte[ID_Aspeto],$B18,tbl_aspeto_impacte[ID_Impacte],"IMP-06")&gt;0,"X","")</f>
        <v/>
      </c>
      <c r="S18" s="25" t="str">
        <f>IF(COUNTIFS(tbl_aspeto_impacte[ID_Aspeto],$B18,tbl_aspeto_impacte[ID_Impacte],"IMP-07")&gt;0,"X","")</f>
        <v>X</v>
      </c>
      <c r="T18" s="25" t="str">
        <f>IF(COUNTIFS(tbl_aspeto_impacte[ID_Aspeto],$B18,tbl_aspeto_impacte[ID_Impacte],"IMP-08")&gt;0,"X","")</f>
        <v/>
      </c>
      <c r="U18" s="25" t="str">
        <f>IF(COUNTIFS(tbl_aspeto_impacte[ID_Aspeto],$B18,tbl_aspeto_impacte[ID_Impacte],"IMP-09")&gt;0,"X","")</f>
        <v/>
      </c>
      <c r="V18" s="25" t="str">
        <f>IF(COUNTIFS(tbl_aspeto_impacte[ID_Aspeto],$B18,tbl_aspeto_impacte[ID_Impacte],"IMP-10")&gt;0,"X","")</f>
        <v/>
      </c>
      <c r="W18" s="25" t="str">
        <f>IF(COUNTIFS(tbl_aspeto_impacte[ID_Aspeto],$B18,tbl_aspeto_impacte[ID_Impacte],"IMP-11")&gt;0,"X","")</f>
        <v/>
      </c>
      <c r="X18" s="25" t="str">
        <f>IF(COUNTIFS(tbl_aspeto_impacte[ID_Aspeto],$B18,tbl_aspeto_impacte[ID_Impacte],"IMP-12")&gt;0,"X","")</f>
        <v/>
      </c>
      <c r="Y18" s="25" t="str">
        <f>LEFT(INDEX(Aspetos_Impactes!$R$5:$R$47,12),3)</f>
        <v>(+)</v>
      </c>
      <c r="Z18" s="25">
        <f>INDEX(Aspetos_Impactes!$N$5:$N$47,12)</f>
        <v>4</v>
      </c>
      <c r="AA18" s="25">
        <f>INDEX(Aspetos_Impactes!$O$5:$O$47,12)</f>
        <v>3</v>
      </c>
      <c r="AB18" s="25">
        <f>INDEX(Aspetos_Impactes!$P$5:$P$47,12)</f>
        <v>3</v>
      </c>
      <c r="AC18" s="25">
        <f>INDEX(Aspetos_Impactes!$Q$5:$Q$47,12)</f>
        <v>1</v>
      </c>
      <c r="AD18" s="25">
        <f>INDEX(Aspetos_Impactes!$S$5:$S$47,12)</f>
        <v>21</v>
      </c>
      <c r="AE18" s="25" t="str">
        <f>INDEX(Aspetos_Impactes!$T$5:$T$47,12)</f>
        <v>Moderado</v>
      </c>
      <c r="AF18" s="24" t="str">
        <f>INDEX(Aspetos_Impactes!$W$5:$W$47,12)</f>
        <v>SIM</v>
      </c>
      <c r="AG18" s="24" t="str">
        <f>INDEX(Aspetos_Impactes!$X$5:$X$47,12)</f>
        <v>SMED e receitas de arranque validadas.</v>
      </c>
    </row>
    <row r="19" spans="1:33" ht="48" customHeight="1" x14ac:dyDescent="0.3">
      <c r="A19" s="24" t="str">
        <f>INDEX(Aspetos_Impactes!$C$5:$C$47,13)&amp;" — "&amp;INDEX(Aspetos_Impactes!$D$5:$D$47,13)</f>
        <v>Sopro de frascos (ISBM) — Hidráulica envelhecida da ISBM-005</v>
      </c>
      <c r="B19" s="24" t="str">
        <f>INDEX(Aspetos_Impactes!$A$5:$A$47,13)</f>
        <v>AA-013</v>
      </c>
      <c r="C19" s="25" t="str">
        <f>IF(INDEX(Aspetos_Impactes!$E$5:$E$47,13)="Aquisição","X","")</f>
        <v/>
      </c>
      <c r="D19" s="25" t="str">
        <f>IF(INDEX(Aspetos_Impactes!$E$5:$E$47,13)="Design e Conceção","X","")</f>
        <v/>
      </c>
      <c r="E19" s="25" t="str">
        <f>IF(INDEX(Aspetos_Impactes!$E$5:$E$47,13)="Produção","X","")</f>
        <v>X</v>
      </c>
      <c r="F19" s="25" t="str">
        <f>IF(INDEX(Aspetos_Impactes!$E$5:$E$47,13)="Distribuição","X","")</f>
        <v/>
      </c>
      <c r="G19" s="25" t="str">
        <f>IF(INDEX(Aspetos_Impactes!$E$5:$E$47,13)="Uso (Consumidor Final)","X","")</f>
        <v/>
      </c>
      <c r="H19" s="25" t="str">
        <f>IF(INDEX(Aspetos_Impactes!$E$5:$E$47,13)="Fim de Vida","X","")</f>
        <v/>
      </c>
      <c r="I19" s="24" t="str">
        <f>INDEX(Aspetos_Impactes!$G$5:$G$47,13)</f>
        <v>Fugas de óleo hidráulico na ISBM-005 (paragens não planeadas 2,3× a média)</v>
      </c>
      <c r="J19" s="24" t="str">
        <f>INDEX(Aspetos_Impactes!$H$5:$H$47,13)</f>
        <v>Direto</v>
      </c>
      <c r="K19" s="24" t="str">
        <f>INDEX(Aspetos_Impactes!$I$5:$I$47,13)</f>
        <v>Anormal</v>
      </c>
      <c r="L19" s="24" t="str">
        <f>INDEX(Aspetos_Impactes!$J$5:$J$47,13)</f>
        <v>Presente</v>
      </c>
      <c r="M19" s="25" t="str">
        <f>IF(COUNTIFS(tbl_aspeto_impacte[ID_Aspeto],$B19,tbl_aspeto_impacte[ID_Impacte],"IMP-01")&gt;0,"X","")</f>
        <v/>
      </c>
      <c r="N19" s="25" t="str">
        <f>IF(COUNTIFS(tbl_aspeto_impacte[ID_Aspeto],$B19,tbl_aspeto_impacte[ID_Impacte],"IMP-02")&gt;0,"X","")</f>
        <v>X</v>
      </c>
      <c r="O19" s="25" t="str">
        <f>IF(COUNTIFS(tbl_aspeto_impacte[ID_Aspeto],$B19,tbl_aspeto_impacte[ID_Impacte],"IMP-03")&gt;0,"X","")</f>
        <v/>
      </c>
      <c r="P19" s="25" t="str">
        <f>IF(COUNTIFS(tbl_aspeto_impacte[ID_Aspeto],$B19,tbl_aspeto_impacte[ID_Impacte],"IMP-04")&gt;0,"X","")</f>
        <v/>
      </c>
      <c r="Q19" s="25" t="str">
        <f>IF(COUNTIFS(tbl_aspeto_impacte[ID_Aspeto],$B19,tbl_aspeto_impacte[ID_Impacte],"IMP-05")&gt;0,"X","")</f>
        <v/>
      </c>
      <c r="R19" s="25" t="str">
        <f>IF(COUNTIFS(tbl_aspeto_impacte[ID_Aspeto],$B19,tbl_aspeto_impacte[ID_Impacte],"IMP-06")&gt;0,"X","")</f>
        <v/>
      </c>
      <c r="S19" s="25" t="str">
        <f>IF(COUNTIFS(tbl_aspeto_impacte[ID_Aspeto],$B19,tbl_aspeto_impacte[ID_Impacte],"IMP-07")&gt;0,"X","")</f>
        <v/>
      </c>
      <c r="T19" s="25" t="str">
        <f>IF(COUNTIFS(tbl_aspeto_impacte[ID_Aspeto],$B19,tbl_aspeto_impacte[ID_Impacte],"IMP-08")&gt;0,"X","")</f>
        <v/>
      </c>
      <c r="U19" s="25" t="str">
        <f>IF(COUNTIFS(tbl_aspeto_impacte[ID_Aspeto],$B19,tbl_aspeto_impacte[ID_Impacte],"IMP-09")&gt;0,"X","")</f>
        <v/>
      </c>
      <c r="V19" s="25" t="str">
        <f>IF(COUNTIFS(tbl_aspeto_impacte[ID_Aspeto],$B19,tbl_aspeto_impacte[ID_Impacte],"IMP-10")&gt;0,"X","")</f>
        <v/>
      </c>
      <c r="W19" s="25" t="str">
        <f>IF(COUNTIFS(tbl_aspeto_impacte[ID_Aspeto],$B19,tbl_aspeto_impacte[ID_Impacte],"IMP-11")&gt;0,"X","")</f>
        <v/>
      </c>
      <c r="X19" s="25" t="str">
        <f>IF(COUNTIFS(tbl_aspeto_impacte[ID_Aspeto],$B19,tbl_aspeto_impacte[ID_Impacte],"IMP-12")&gt;0,"X","")</f>
        <v/>
      </c>
      <c r="Y19" s="25" t="str">
        <f>LEFT(INDEX(Aspetos_Impactes!$R$5:$R$47,13),3)</f>
        <v>(+)</v>
      </c>
      <c r="Z19" s="25">
        <f>INDEX(Aspetos_Impactes!$N$5:$N$47,13)</f>
        <v>4</v>
      </c>
      <c r="AA19" s="25">
        <f>INDEX(Aspetos_Impactes!$O$5:$O$47,13)</f>
        <v>2</v>
      </c>
      <c r="AB19" s="25">
        <f>INDEX(Aspetos_Impactes!$P$5:$P$47,13)</f>
        <v>4</v>
      </c>
      <c r="AC19" s="25">
        <f>INDEX(Aspetos_Impactes!$Q$5:$Q$47,13)</f>
        <v>1</v>
      </c>
      <c r="AD19" s="25">
        <f>INDEX(Aspetos_Impactes!$S$5:$S$47,13)</f>
        <v>24</v>
      </c>
      <c r="AE19" s="25" t="str">
        <f>INDEX(Aspetos_Impactes!$T$5:$T$47,13)</f>
        <v>Moderado</v>
      </c>
      <c r="AF19" s="24" t="str">
        <f>INDEX(Aspetos_Impactes!$W$5:$W$47,13)</f>
        <v>SIM</v>
      </c>
      <c r="AG19" s="24" t="str">
        <f>INDEX(Aspetos_Impactes!$X$5:$X$47,13)</f>
        <v>Plano de manutenção por horas de operação; tabuleiro de retenção.</v>
      </c>
    </row>
    <row r="20" spans="1:33" ht="48" customHeight="1" x14ac:dyDescent="0.3">
      <c r="A20" s="24" t="str">
        <f>INDEX(Aspetos_Impactes!$C$5:$C$47,14)&amp;" — "&amp;INDEX(Aspetos_Impactes!$D$5:$D$47,14)</f>
        <v>Serigrafia — Limpeza de ecrãs e rodos com solvente</v>
      </c>
      <c r="B20" s="24" t="str">
        <f>INDEX(Aspetos_Impactes!$A$5:$A$47,14)</f>
        <v>AA-014</v>
      </c>
      <c r="C20" s="25" t="str">
        <f>IF(INDEX(Aspetos_Impactes!$E$5:$E$47,14)="Aquisição","X","")</f>
        <v/>
      </c>
      <c r="D20" s="25" t="str">
        <f>IF(INDEX(Aspetos_Impactes!$E$5:$E$47,14)="Design e Conceção","X","")</f>
        <v/>
      </c>
      <c r="E20" s="25" t="str">
        <f>IF(INDEX(Aspetos_Impactes!$E$5:$E$47,14)="Produção","X","")</f>
        <v>X</v>
      </c>
      <c r="F20" s="25" t="str">
        <f>IF(INDEX(Aspetos_Impactes!$E$5:$E$47,14)="Distribuição","X","")</f>
        <v/>
      </c>
      <c r="G20" s="25" t="str">
        <f>IF(INDEX(Aspetos_Impactes!$E$5:$E$47,14)="Uso (Consumidor Final)","X","")</f>
        <v/>
      </c>
      <c r="H20" s="25" t="str">
        <f>IF(INDEX(Aspetos_Impactes!$E$5:$E$47,14)="Fim de Vida","X","")</f>
        <v/>
      </c>
      <c r="I20" s="24" t="str">
        <f>INDEX(Aspetos_Impactes!$G$5:$G$47,14)</f>
        <v>Emissão difusa de COV na limpeza de ecrãs e rodos com solvente</v>
      </c>
      <c r="J20" s="24" t="str">
        <f>INDEX(Aspetos_Impactes!$H$5:$H$47,14)</f>
        <v>Direto</v>
      </c>
      <c r="K20" s="24" t="str">
        <f>INDEX(Aspetos_Impactes!$I$5:$I$47,14)</f>
        <v>Normal</v>
      </c>
      <c r="L20" s="24" t="str">
        <f>INDEX(Aspetos_Impactes!$J$5:$J$47,14)</f>
        <v>Presente</v>
      </c>
      <c r="M20" s="25" t="str">
        <f>IF(COUNTIFS(tbl_aspeto_impacte[ID_Aspeto],$B20,tbl_aspeto_impacte[ID_Impacte],"IMP-01")&gt;0,"X","")</f>
        <v/>
      </c>
      <c r="N20" s="25" t="str">
        <f>IF(COUNTIFS(tbl_aspeto_impacte[ID_Aspeto],$B20,tbl_aspeto_impacte[ID_Impacte],"IMP-02")&gt;0,"X","")</f>
        <v/>
      </c>
      <c r="O20" s="25" t="str">
        <f>IF(COUNTIFS(tbl_aspeto_impacte[ID_Aspeto],$B20,tbl_aspeto_impacte[ID_Impacte],"IMP-03")&gt;0,"X","")</f>
        <v>X</v>
      </c>
      <c r="P20" s="25" t="str">
        <f>IF(COUNTIFS(tbl_aspeto_impacte[ID_Aspeto],$B20,tbl_aspeto_impacte[ID_Impacte],"IMP-04")&gt;0,"X","")</f>
        <v>X</v>
      </c>
      <c r="Q20" s="25" t="str">
        <f>IF(COUNTIFS(tbl_aspeto_impacte[ID_Aspeto],$B20,tbl_aspeto_impacte[ID_Impacte],"IMP-05")&gt;0,"X","")</f>
        <v/>
      </c>
      <c r="R20" s="25" t="str">
        <f>IF(COUNTIFS(tbl_aspeto_impacte[ID_Aspeto],$B20,tbl_aspeto_impacte[ID_Impacte],"IMP-06")&gt;0,"X","")</f>
        <v/>
      </c>
      <c r="S20" s="25" t="str">
        <f>IF(COUNTIFS(tbl_aspeto_impacte[ID_Aspeto],$B20,tbl_aspeto_impacte[ID_Impacte],"IMP-07")&gt;0,"X","")</f>
        <v/>
      </c>
      <c r="T20" s="25" t="str">
        <f>IF(COUNTIFS(tbl_aspeto_impacte[ID_Aspeto],$B20,tbl_aspeto_impacte[ID_Impacte],"IMP-08")&gt;0,"X","")</f>
        <v/>
      </c>
      <c r="U20" s="25" t="str">
        <f>IF(COUNTIFS(tbl_aspeto_impacte[ID_Aspeto],$B20,tbl_aspeto_impacte[ID_Impacte],"IMP-09")&gt;0,"X","")</f>
        <v/>
      </c>
      <c r="V20" s="25" t="str">
        <f>IF(COUNTIFS(tbl_aspeto_impacte[ID_Aspeto],$B20,tbl_aspeto_impacte[ID_Impacte],"IMP-10")&gt;0,"X","")</f>
        <v/>
      </c>
      <c r="W20" s="25" t="str">
        <f>IF(COUNTIFS(tbl_aspeto_impacte[ID_Aspeto],$B20,tbl_aspeto_impacte[ID_Impacte],"IMP-11")&gt;0,"X","")</f>
        <v/>
      </c>
      <c r="X20" s="25" t="str">
        <f>IF(COUNTIFS(tbl_aspeto_impacte[ID_Aspeto],$B20,tbl_aspeto_impacte[ID_Impacte],"IMP-12")&gt;0,"X","")</f>
        <v/>
      </c>
      <c r="Y20" s="25" t="str">
        <f>LEFT(INDEX(Aspetos_Impactes!$R$5:$R$47,14),3)</f>
        <v>(+)</v>
      </c>
      <c r="Z20" s="25">
        <f>INDEX(Aspetos_Impactes!$N$5:$N$47,14)</f>
        <v>5</v>
      </c>
      <c r="AA20" s="25">
        <f>INDEX(Aspetos_Impactes!$O$5:$O$47,14)</f>
        <v>3</v>
      </c>
      <c r="AB20" s="25">
        <f>INDEX(Aspetos_Impactes!$P$5:$P$47,14)</f>
        <v>5</v>
      </c>
      <c r="AC20" s="25">
        <f>INDEX(Aspetos_Impactes!$Q$5:$Q$47,14)</f>
        <v>1</v>
      </c>
      <c r="AD20" s="25">
        <f>INDEX(Aspetos_Impactes!$S$5:$S$47,14)</f>
        <v>40</v>
      </c>
      <c r="AE20" s="25" t="str">
        <f>INDEX(Aspetos_Impactes!$T$5:$T$47,14)</f>
        <v>ASPETO AMBIENTAL SIGNIFICATIVO (AAS)</v>
      </c>
      <c r="AF20" s="24" t="str">
        <f>INDEX(Aspetos_Impactes!$W$5:$W$47,14)</f>
        <v>SIM</v>
      </c>
      <c r="AG20" s="24" t="str">
        <f>INDEX(Aspetos_Impactes!$X$5:$X$47,14)</f>
        <v>Dispensadores de segurança, panos pré-dosados, limpeza por necessidade, avaliação de solvente de menor volatilidade.</v>
      </c>
    </row>
    <row r="21" spans="1:33" ht="48" customHeight="1" x14ac:dyDescent="0.3">
      <c r="A21" s="24" t="str">
        <f>INDEX(Aspetos_Impactes!$C$5:$C$47,15)&amp;" — "&amp;INDEX(Aspetos_Impactes!$D$5:$D$47,15)</f>
        <v>Serigrafia — Impressão serigráfica (SS-001, SS-002)</v>
      </c>
      <c r="B21" s="24" t="str">
        <f>INDEX(Aspetos_Impactes!$A$5:$A$47,15)</f>
        <v>AA-015</v>
      </c>
      <c r="C21" s="25" t="str">
        <f>IF(INDEX(Aspetos_Impactes!$E$5:$E$47,15)="Aquisição","X","")</f>
        <v/>
      </c>
      <c r="D21" s="25" t="str">
        <f>IF(INDEX(Aspetos_Impactes!$E$5:$E$47,15)="Design e Conceção","X","")</f>
        <v/>
      </c>
      <c r="E21" s="25" t="str">
        <f>IF(INDEX(Aspetos_Impactes!$E$5:$E$47,15)="Produção","X","")</f>
        <v>X</v>
      </c>
      <c r="F21" s="25" t="str">
        <f>IF(INDEX(Aspetos_Impactes!$E$5:$E$47,15)="Distribuição","X","")</f>
        <v/>
      </c>
      <c r="G21" s="25" t="str">
        <f>IF(INDEX(Aspetos_Impactes!$E$5:$E$47,15)="Uso (Consumidor Final)","X","")</f>
        <v/>
      </c>
      <c r="H21" s="25" t="str">
        <f>IF(INDEX(Aspetos_Impactes!$E$5:$E$47,15)="Fim de Vida","X","")</f>
        <v/>
      </c>
      <c r="I21" s="24" t="str">
        <f>INDEX(Aspetos_Impactes!$G$5:$G$47,15)</f>
        <v>Consumo de tintas de serigrafia</v>
      </c>
      <c r="J21" s="24" t="str">
        <f>INDEX(Aspetos_Impactes!$H$5:$H$47,15)</f>
        <v>Direto</v>
      </c>
      <c r="K21" s="24" t="str">
        <f>INDEX(Aspetos_Impactes!$I$5:$I$47,15)</f>
        <v>Normal</v>
      </c>
      <c r="L21" s="24" t="str">
        <f>INDEX(Aspetos_Impactes!$J$5:$J$47,15)</f>
        <v>Presente</v>
      </c>
      <c r="M21" s="25" t="str">
        <f>IF(COUNTIFS(tbl_aspeto_impacte[ID_Aspeto],$B21,tbl_aspeto_impacte[ID_Impacte],"IMP-01")&gt;0,"X","")</f>
        <v>X</v>
      </c>
      <c r="N21" s="25" t="str">
        <f>IF(COUNTIFS(tbl_aspeto_impacte[ID_Aspeto],$B21,tbl_aspeto_impacte[ID_Impacte],"IMP-02")&gt;0,"X","")</f>
        <v/>
      </c>
      <c r="O21" s="25" t="str">
        <f>IF(COUNTIFS(tbl_aspeto_impacte[ID_Aspeto],$B21,tbl_aspeto_impacte[ID_Impacte],"IMP-03")&gt;0,"X","")</f>
        <v>X</v>
      </c>
      <c r="P21" s="25" t="str">
        <f>IF(COUNTIFS(tbl_aspeto_impacte[ID_Aspeto],$B21,tbl_aspeto_impacte[ID_Impacte],"IMP-04")&gt;0,"X","")</f>
        <v/>
      </c>
      <c r="Q21" s="25" t="str">
        <f>IF(COUNTIFS(tbl_aspeto_impacte[ID_Aspeto],$B21,tbl_aspeto_impacte[ID_Impacte],"IMP-05")&gt;0,"X","")</f>
        <v/>
      </c>
      <c r="R21" s="25" t="str">
        <f>IF(COUNTIFS(tbl_aspeto_impacte[ID_Aspeto],$B21,tbl_aspeto_impacte[ID_Impacte],"IMP-06")&gt;0,"X","")</f>
        <v/>
      </c>
      <c r="S21" s="25" t="str">
        <f>IF(COUNTIFS(tbl_aspeto_impacte[ID_Aspeto],$B21,tbl_aspeto_impacte[ID_Impacte],"IMP-07")&gt;0,"X","")</f>
        <v/>
      </c>
      <c r="T21" s="25" t="str">
        <f>IF(COUNTIFS(tbl_aspeto_impacte[ID_Aspeto],$B21,tbl_aspeto_impacte[ID_Impacte],"IMP-08")&gt;0,"X","")</f>
        <v/>
      </c>
      <c r="U21" s="25" t="str">
        <f>IF(COUNTIFS(tbl_aspeto_impacte[ID_Aspeto],$B21,tbl_aspeto_impacte[ID_Impacte],"IMP-09")&gt;0,"X","")</f>
        <v/>
      </c>
      <c r="V21" s="25" t="str">
        <f>IF(COUNTIFS(tbl_aspeto_impacte[ID_Aspeto],$B21,tbl_aspeto_impacte[ID_Impacte],"IMP-10")&gt;0,"X","")</f>
        <v/>
      </c>
      <c r="W21" s="25" t="str">
        <f>IF(COUNTIFS(tbl_aspeto_impacte[ID_Aspeto],$B21,tbl_aspeto_impacte[ID_Impacte],"IMP-11")&gt;0,"X","")</f>
        <v/>
      </c>
      <c r="X21" s="25" t="str">
        <f>IF(COUNTIFS(tbl_aspeto_impacte[ID_Aspeto],$B21,tbl_aspeto_impacte[ID_Impacte],"IMP-12")&gt;0,"X","")</f>
        <v/>
      </c>
      <c r="Y21" s="25" t="str">
        <f>LEFT(INDEX(Aspetos_Impactes!$R$5:$R$47,15),3)</f>
        <v>(+)</v>
      </c>
      <c r="Z21" s="25">
        <f>INDEX(Aspetos_Impactes!$N$5:$N$47,15)</f>
        <v>5</v>
      </c>
      <c r="AA21" s="25">
        <f>INDEX(Aspetos_Impactes!$O$5:$O$47,15)</f>
        <v>3</v>
      </c>
      <c r="AB21" s="25">
        <f>INDEX(Aspetos_Impactes!$P$5:$P$47,15)</f>
        <v>4</v>
      </c>
      <c r="AC21" s="25">
        <f>INDEX(Aspetos_Impactes!$Q$5:$Q$47,15)</f>
        <v>1</v>
      </c>
      <c r="AD21" s="25">
        <f>INDEX(Aspetos_Impactes!$S$5:$S$47,15)</f>
        <v>32</v>
      </c>
      <c r="AE21" s="25" t="str">
        <f>INDEX(Aspetos_Impactes!$T$5:$T$47,15)</f>
        <v>Moderado</v>
      </c>
      <c r="AF21" s="24" t="str">
        <f>INDEX(Aspetos_Impactes!$W$5:$W$47,15)</f>
        <v>SIM</v>
      </c>
      <c r="AG21" s="24" t="str">
        <f>INDEX(Aspetos_Impactes!$X$5:$X$47,15)</f>
        <v>Dosagem controlada; recuperação de tinta do ecrã.</v>
      </c>
    </row>
    <row r="22" spans="1:33" ht="48" customHeight="1" x14ac:dyDescent="0.3">
      <c r="A22" s="24" t="str">
        <f>INDEX(Aspetos_Impactes!$C$5:$C$47,16)&amp;" — "&amp;INDEX(Aspetos_Impactes!$D$5:$D$47,16)</f>
        <v>Serigrafia — Limpeza e troca de tintas</v>
      </c>
      <c r="B22" s="24" t="str">
        <f>INDEX(Aspetos_Impactes!$A$5:$A$47,16)</f>
        <v>AA-016</v>
      </c>
      <c r="C22" s="25" t="str">
        <f>IF(INDEX(Aspetos_Impactes!$E$5:$E$47,16)="Aquisição","X","")</f>
        <v/>
      </c>
      <c r="D22" s="25" t="str">
        <f>IF(INDEX(Aspetos_Impactes!$E$5:$E$47,16)="Design e Conceção","X","")</f>
        <v/>
      </c>
      <c r="E22" s="25" t="str">
        <f>IF(INDEX(Aspetos_Impactes!$E$5:$E$47,16)="Produção","X","")</f>
        <v>X</v>
      </c>
      <c r="F22" s="25" t="str">
        <f>IF(INDEX(Aspetos_Impactes!$E$5:$E$47,16)="Distribuição","X","")</f>
        <v/>
      </c>
      <c r="G22" s="25" t="str">
        <f>IF(INDEX(Aspetos_Impactes!$E$5:$E$47,16)="Uso (Consumidor Final)","X","")</f>
        <v/>
      </c>
      <c r="H22" s="25" t="str">
        <f>IF(INDEX(Aspetos_Impactes!$E$5:$E$47,16)="Fim de Vida","X","")</f>
        <v/>
      </c>
      <c r="I22" s="24" t="str">
        <f>INDEX(Aspetos_Impactes!$G$5:$G$47,16)</f>
        <v>Resíduos perigosos: tinta residual (08 03 12*), panos/absorventes (15 02 02*) e embalagens contaminadas (15 01 10*)</v>
      </c>
      <c r="J22" s="24" t="str">
        <f>INDEX(Aspetos_Impactes!$H$5:$H$47,16)</f>
        <v>Direto</v>
      </c>
      <c r="K22" s="24" t="str">
        <f>INDEX(Aspetos_Impactes!$I$5:$I$47,16)</f>
        <v>Normal</v>
      </c>
      <c r="L22" s="24" t="str">
        <f>INDEX(Aspetos_Impactes!$J$5:$J$47,16)</f>
        <v>Presente</v>
      </c>
      <c r="M22" s="25" t="str">
        <f>IF(COUNTIFS(tbl_aspeto_impacte[ID_Aspeto],$B22,tbl_aspeto_impacte[ID_Impacte],"IMP-01")&gt;0,"X","")</f>
        <v/>
      </c>
      <c r="N22" s="25" t="str">
        <f>IF(COUNTIFS(tbl_aspeto_impacte[ID_Aspeto],$B22,tbl_aspeto_impacte[ID_Impacte],"IMP-02")&gt;0,"X","")</f>
        <v>X</v>
      </c>
      <c r="O22" s="25" t="str">
        <f>IF(COUNTIFS(tbl_aspeto_impacte[ID_Aspeto],$B22,tbl_aspeto_impacte[ID_Impacte],"IMP-03")&gt;0,"X","")</f>
        <v/>
      </c>
      <c r="P22" s="25" t="str">
        <f>IF(COUNTIFS(tbl_aspeto_impacte[ID_Aspeto],$B22,tbl_aspeto_impacte[ID_Impacte],"IMP-04")&gt;0,"X","")</f>
        <v/>
      </c>
      <c r="Q22" s="25" t="str">
        <f>IF(COUNTIFS(tbl_aspeto_impacte[ID_Aspeto],$B22,tbl_aspeto_impacte[ID_Impacte],"IMP-05")&gt;0,"X","")</f>
        <v/>
      </c>
      <c r="R22" s="25" t="str">
        <f>IF(COUNTIFS(tbl_aspeto_impacte[ID_Aspeto],$B22,tbl_aspeto_impacte[ID_Impacte],"IMP-06")&gt;0,"X","")</f>
        <v/>
      </c>
      <c r="S22" s="25" t="str">
        <f>IF(COUNTIFS(tbl_aspeto_impacte[ID_Aspeto],$B22,tbl_aspeto_impacte[ID_Impacte],"IMP-07")&gt;0,"X","")</f>
        <v>X</v>
      </c>
      <c r="T22" s="25" t="str">
        <f>IF(COUNTIFS(tbl_aspeto_impacte[ID_Aspeto],$B22,tbl_aspeto_impacte[ID_Impacte],"IMP-08")&gt;0,"X","")</f>
        <v/>
      </c>
      <c r="U22" s="25" t="str">
        <f>IF(COUNTIFS(tbl_aspeto_impacte[ID_Aspeto],$B22,tbl_aspeto_impacte[ID_Impacte],"IMP-09")&gt;0,"X","")</f>
        <v/>
      </c>
      <c r="V22" s="25" t="str">
        <f>IF(COUNTIFS(tbl_aspeto_impacte[ID_Aspeto],$B22,tbl_aspeto_impacte[ID_Impacte],"IMP-10")&gt;0,"X","")</f>
        <v/>
      </c>
      <c r="W22" s="25" t="str">
        <f>IF(COUNTIFS(tbl_aspeto_impacte[ID_Aspeto],$B22,tbl_aspeto_impacte[ID_Impacte],"IMP-11")&gt;0,"X","")</f>
        <v/>
      </c>
      <c r="X22" s="25" t="str">
        <f>IF(COUNTIFS(tbl_aspeto_impacte[ID_Aspeto],$B22,tbl_aspeto_impacte[ID_Impacte],"IMP-12")&gt;0,"X","")</f>
        <v/>
      </c>
      <c r="Y22" s="25" t="str">
        <f>LEFT(INDEX(Aspetos_Impactes!$R$5:$R$47,16),3)</f>
        <v>(+)</v>
      </c>
      <c r="Z22" s="25">
        <f>INDEX(Aspetos_Impactes!$N$5:$N$47,16)</f>
        <v>4</v>
      </c>
      <c r="AA22" s="25">
        <f>INDEX(Aspetos_Impactes!$O$5:$O$47,16)</f>
        <v>3</v>
      </c>
      <c r="AB22" s="25">
        <f>INDEX(Aspetos_Impactes!$P$5:$P$47,16)</f>
        <v>4</v>
      </c>
      <c r="AC22" s="25">
        <f>INDEX(Aspetos_Impactes!$Q$5:$Q$47,16)</f>
        <v>1</v>
      </c>
      <c r="AD22" s="25">
        <f>INDEX(Aspetos_Impactes!$S$5:$S$47,16)</f>
        <v>28</v>
      </c>
      <c r="AE22" s="25" t="str">
        <f>INDEX(Aspetos_Impactes!$T$5:$T$47,16)</f>
        <v>Moderado</v>
      </c>
      <c r="AF22" s="24" t="str">
        <f>INDEX(Aspetos_Impactes!$W$5:$W$47,16)</f>
        <v>SIM</v>
      </c>
      <c r="AG22" s="24" t="str">
        <f>INDEX(Aspetos_Impactes!$X$5:$X$47,16)</f>
        <v>Recipientes fechados e identificados; encaminhamento por operador licenciado; e-GAR.</v>
      </c>
    </row>
    <row r="23" spans="1:33" ht="48" customHeight="1" x14ac:dyDescent="0.3">
      <c r="A23" s="24" t="str">
        <f>INDEX(Aspetos_Impactes!$C$5:$C$47,17)&amp;" — "&amp;INDEX(Aspetos_Impactes!$D$5:$D$47,17)</f>
        <v>Serigrafia — Mudança de tinta na linha</v>
      </c>
      <c r="B23" s="24" t="str">
        <f>INDEX(Aspetos_Impactes!$A$5:$A$47,17)</f>
        <v>AA-017</v>
      </c>
      <c r="C23" s="25" t="str">
        <f>IF(INDEX(Aspetos_Impactes!$E$5:$E$47,17)="Aquisição","X","")</f>
        <v/>
      </c>
      <c r="D23" s="25" t="str">
        <f>IF(INDEX(Aspetos_Impactes!$E$5:$E$47,17)="Design e Conceção","X","")</f>
        <v/>
      </c>
      <c r="E23" s="25" t="str">
        <f>IF(INDEX(Aspetos_Impactes!$E$5:$E$47,17)="Produção","X","")</f>
        <v>X</v>
      </c>
      <c r="F23" s="25" t="str">
        <f>IF(INDEX(Aspetos_Impactes!$E$5:$E$47,17)="Distribuição","X","")</f>
        <v/>
      </c>
      <c r="G23" s="25" t="str">
        <f>IF(INDEX(Aspetos_Impactes!$E$5:$E$47,17)="Uso (Consumidor Final)","X","")</f>
        <v/>
      </c>
      <c r="H23" s="25" t="str">
        <f>IF(INDEX(Aspetos_Impactes!$E$5:$E$47,17)="Fim de Vida","X","")</f>
        <v/>
      </c>
      <c r="I23" s="24" t="str">
        <f>INDEX(Aspetos_Impactes!$G$5:$G$47,17)</f>
        <v>Derrame de tinta ou solvente na linha de serigrafia</v>
      </c>
      <c r="J23" s="24" t="str">
        <f>INDEX(Aspetos_Impactes!$H$5:$H$47,17)</f>
        <v>Direto</v>
      </c>
      <c r="K23" s="24" t="str">
        <f>INDEX(Aspetos_Impactes!$I$5:$I$47,17)</f>
        <v>Emergência</v>
      </c>
      <c r="L23" s="24" t="str">
        <f>INDEX(Aspetos_Impactes!$J$5:$J$47,17)</f>
        <v>Futuro</v>
      </c>
      <c r="M23" s="25" t="str">
        <f>IF(COUNTIFS(tbl_aspeto_impacte[ID_Aspeto],$B23,tbl_aspeto_impacte[ID_Impacte],"IMP-01")&gt;0,"X","")</f>
        <v/>
      </c>
      <c r="N23" s="25" t="str">
        <f>IF(COUNTIFS(tbl_aspeto_impacte[ID_Aspeto],$B23,tbl_aspeto_impacte[ID_Impacte],"IMP-02")&gt;0,"X","")</f>
        <v>X</v>
      </c>
      <c r="O23" s="25" t="str">
        <f>IF(COUNTIFS(tbl_aspeto_impacte[ID_Aspeto],$B23,tbl_aspeto_impacte[ID_Impacte],"IMP-03")&gt;0,"X","")</f>
        <v>X</v>
      </c>
      <c r="P23" s="25" t="str">
        <f>IF(COUNTIFS(tbl_aspeto_impacte[ID_Aspeto],$B23,tbl_aspeto_impacte[ID_Impacte],"IMP-04")&gt;0,"X","")</f>
        <v/>
      </c>
      <c r="Q23" s="25" t="str">
        <f>IF(COUNTIFS(tbl_aspeto_impacte[ID_Aspeto],$B23,tbl_aspeto_impacte[ID_Impacte],"IMP-05")&gt;0,"X","")</f>
        <v/>
      </c>
      <c r="R23" s="25" t="str">
        <f>IF(COUNTIFS(tbl_aspeto_impacte[ID_Aspeto],$B23,tbl_aspeto_impacte[ID_Impacte],"IMP-06")&gt;0,"X","")</f>
        <v/>
      </c>
      <c r="S23" s="25" t="str">
        <f>IF(COUNTIFS(tbl_aspeto_impacte[ID_Aspeto],$B23,tbl_aspeto_impacte[ID_Impacte],"IMP-07")&gt;0,"X","")</f>
        <v/>
      </c>
      <c r="T23" s="25" t="str">
        <f>IF(COUNTIFS(tbl_aspeto_impacte[ID_Aspeto],$B23,tbl_aspeto_impacte[ID_Impacte],"IMP-08")&gt;0,"X","")</f>
        <v/>
      </c>
      <c r="U23" s="25" t="str">
        <f>IF(COUNTIFS(tbl_aspeto_impacte[ID_Aspeto],$B23,tbl_aspeto_impacte[ID_Impacte],"IMP-09")&gt;0,"X","")</f>
        <v/>
      </c>
      <c r="V23" s="25" t="str">
        <f>IF(COUNTIFS(tbl_aspeto_impacte[ID_Aspeto],$B23,tbl_aspeto_impacte[ID_Impacte],"IMP-10")&gt;0,"X","")</f>
        <v/>
      </c>
      <c r="W23" s="25" t="str">
        <f>IF(COUNTIFS(tbl_aspeto_impacte[ID_Aspeto],$B23,tbl_aspeto_impacte[ID_Impacte],"IMP-11")&gt;0,"X","")</f>
        <v/>
      </c>
      <c r="X23" s="25" t="str">
        <f>IF(COUNTIFS(tbl_aspeto_impacte[ID_Aspeto],$B23,tbl_aspeto_impacte[ID_Impacte],"IMP-12")&gt;0,"X","")</f>
        <v/>
      </c>
      <c r="Y23" s="25" t="str">
        <f>LEFT(INDEX(Aspetos_Impactes!$R$5:$R$47,17),3)</f>
        <v>(+)</v>
      </c>
      <c r="Z23" s="25">
        <f>INDEX(Aspetos_Impactes!$N$5:$N$47,17)</f>
        <v>1</v>
      </c>
      <c r="AA23" s="25">
        <f>INDEX(Aspetos_Impactes!$O$5:$O$47,17)</f>
        <v>2</v>
      </c>
      <c r="AB23" s="25">
        <f>INDEX(Aspetos_Impactes!$P$5:$P$47,17)</f>
        <v>5</v>
      </c>
      <c r="AC23" s="25">
        <f>INDEX(Aspetos_Impactes!$Q$5:$Q$47,17)</f>
        <v>1</v>
      </c>
      <c r="AD23" s="25">
        <f>INDEX(Aspetos_Impactes!$S$5:$S$47,17)</f>
        <v>15</v>
      </c>
      <c r="AE23" s="25" t="str">
        <f>INDEX(Aspetos_Impactes!$T$5:$T$47,17)</f>
        <v>Não Significativo</v>
      </c>
      <c r="AF23" s="24" t="str">
        <f>INDEX(Aspetos_Impactes!$W$5:$W$47,17)</f>
        <v>NÃO</v>
      </c>
      <c r="AG23" s="24" t="str">
        <f>INDEX(Aspetos_Impactes!$X$5:$X$47,17)</f>
        <v>Kit de derrame junto à linha; IT-SGA-01.</v>
      </c>
    </row>
    <row r="24" spans="1:33" ht="48" customHeight="1" x14ac:dyDescent="0.3">
      <c r="A24" s="24" t="str">
        <f>INDEX(Aspetos_Impactes!$C$5:$C$47,18)&amp;" — "&amp;INDEX(Aspetos_Impactes!$D$5:$D$47,18)</f>
        <v>Hot foil stamping — Decoração por hot foil (HF-001, HF-002)</v>
      </c>
      <c r="B24" s="24" t="str">
        <f>INDEX(Aspetos_Impactes!$A$5:$A$47,18)</f>
        <v>AA-018</v>
      </c>
      <c r="C24" s="25" t="str">
        <f>IF(INDEX(Aspetos_Impactes!$E$5:$E$47,18)="Aquisição","X","")</f>
        <v/>
      </c>
      <c r="D24" s="25" t="str">
        <f>IF(INDEX(Aspetos_Impactes!$E$5:$E$47,18)="Design e Conceção","X","")</f>
        <v/>
      </c>
      <c r="E24" s="25" t="str">
        <f>IF(INDEX(Aspetos_Impactes!$E$5:$E$47,18)="Produção","X","")</f>
        <v>X</v>
      </c>
      <c r="F24" s="25" t="str">
        <f>IF(INDEX(Aspetos_Impactes!$E$5:$E$47,18)="Distribuição","X","")</f>
        <v/>
      </c>
      <c r="G24" s="25" t="str">
        <f>IF(INDEX(Aspetos_Impactes!$E$5:$E$47,18)="Uso (Consumidor Final)","X","")</f>
        <v/>
      </c>
      <c r="H24" s="25" t="str">
        <f>IF(INDEX(Aspetos_Impactes!$E$5:$E$47,18)="Fim de Vida","X","")</f>
        <v/>
      </c>
      <c r="I24" s="24" t="str">
        <f>INDEX(Aspetos_Impactes!$G$5:$G$47,18)</f>
        <v>Resíduo de foil (filme de suporte com restos de metalização)</v>
      </c>
      <c r="J24" s="24" t="str">
        <f>INDEX(Aspetos_Impactes!$H$5:$H$47,18)</f>
        <v>Direto</v>
      </c>
      <c r="K24" s="24" t="str">
        <f>INDEX(Aspetos_Impactes!$I$5:$I$47,18)</f>
        <v>Normal</v>
      </c>
      <c r="L24" s="24" t="str">
        <f>INDEX(Aspetos_Impactes!$J$5:$J$47,18)</f>
        <v>Presente</v>
      </c>
      <c r="M24" s="25" t="str">
        <f>IF(COUNTIFS(tbl_aspeto_impacte[ID_Aspeto],$B24,tbl_aspeto_impacte[ID_Impacte],"IMP-01")&gt;0,"X","")</f>
        <v>X</v>
      </c>
      <c r="N24" s="25" t="str">
        <f>IF(COUNTIFS(tbl_aspeto_impacte[ID_Aspeto],$B24,tbl_aspeto_impacte[ID_Impacte],"IMP-02")&gt;0,"X","")</f>
        <v/>
      </c>
      <c r="O24" s="25" t="str">
        <f>IF(COUNTIFS(tbl_aspeto_impacte[ID_Aspeto],$B24,tbl_aspeto_impacte[ID_Impacte],"IMP-03")&gt;0,"X","")</f>
        <v/>
      </c>
      <c r="P24" s="25" t="str">
        <f>IF(COUNTIFS(tbl_aspeto_impacte[ID_Aspeto],$B24,tbl_aspeto_impacte[ID_Impacte],"IMP-04")&gt;0,"X","")</f>
        <v/>
      </c>
      <c r="Q24" s="25" t="str">
        <f>IF(COUNTIFS(tbl_aspeto_impacte[ID_Aspeto],$B24,tbl_aspeto_impacte[ID_Impacte],"IMP-05")&gt;0,"X","")</f>
        <v/>
      </c>
      <c r="R24" s="25" t="str">
        <f>IF(COUNTIFS(tbl_aspeto_impacte[ID_Aspeto],$B24,tbl_aspeto_impacte[ID_Impacte],"IMP-06")&gt;0,"X","")</f>
        <v/>
      </c>
      <c r="S24" s="25" t="str">
        <f>IF(COUNTIFS(tbl_aspeto_impacte[ID_Aspeto],$B24,tbl_aspeto_impacte[ID_Impacte],"IMP-07")&gt;0,"X","")</f>
        <v>X</v>
      </c>
      <c r="T24" s="25" t="str">
        <f>IF(COUNTIFS(tbl_aspeto_impacte[ID_Aspeto],$B24,tbl_aspeto_impacte[ID_Impacte],"IMP-08")&gt;0,"X","")</f>
        <v/>
      </c>
      <c r="U24" s="25" t="str">
        <f>IF(COUNTIFS(tbl_aspeto_impacte[ID_Aspeto],$B24,tbl_aspeto_impacte[ID_Impacte],"IMP-09")&gt;0,"X","")</f>
        <v/>
      </c>
      <c r="V24" s="25" t="str">
        <f>IF(COUNTIFS(tbl_aspeto_impacte[ID_Aspeto],$B24,tbl_aspeto_impacte[ID_Impacte],"IMP-10")&gt;0,"X","")</f>
        <v/>
      </c>
      <c r="W24" s="25" t="str">
        <f>IF(COUNTIFS(tbl_aspeto_impacte[ID_Aspeto],$B24,tbl_aspeto_impacte[ID_Impacte],"IMP-11")&gt;0,"X","")</f>
        <v/>
      </c>
      <c r="X24" s="25" t="str">
        <f>IF(COUNTIFS(tbl_aspeto_impacte[ID_Aspeto],$B24,tbl_aspeto_impacte[ID_Impacte],"IMP-12")&gt;0,"X","")</f>
        <v/>
      </c>
      <c r="Y24" s="25" t="str">
        <f>LEFT(INDEX(Aspetos_Impactes!$R$5:$R$47,18),3)</f>
        <v>(+)</v>
      </c>
      <c r="Z24" s="25">
        <f>INDEX(Aspetos_Impactes!$N$5:$N$47,18)</f>
        <v>5</v>
      </c>
      <c r="AA24" s="25">
        <f>INDEX(Aspetos_Impactes!$O$5:$O$47,18)</f>
        <v>3</v>
      </c>
      <c r="AB24" s="25">
        <f>INDEX(Aspetos_Impactes!$P$5:$P$47,18)</f>
        <v>2</v>
      </c>
      <c r="AC24" s="25">
        <f>INDEX(Aspetos_Impactes!$Q$5:$Q$47,18)</f>
        <v>1</v>
      </c>
      <c r="AD24" s="25">
        <f>INDEX(Aspetos_Impactes!$S$5:$S$47,18)</f>
        <v>16</v>
      </c>
      <c r="AE24" s="25" t="str">
        <f>INDEX(Aspetos_Impactes!$T$5:$T$47,18)</f>
        <v>Não Significativo</v>
      </c>
      <c r="AF24" s="24" t="str">
        <f>INDEX(Aspetos_Impactes!$W$5:$W$47,18)</f>
        <v>NÃO</v>
      </c>
      <c r="AG24" s="24" t="str">
        <f>INDEX(Aspetos_Impactes!$X$5:$X$47,18)</f>
        <v>Otimizar passo do foil; valorizar filme como plástico.</v>
      </c>
    </row>
    <row r="25" spans="1:33" ht="48" customHeight="1" x14ac:dyDescent="0.3">
      <c r="A25" s="24" t="str">
        <f>INDEX(Aspetos_Impactes!$C$5:$C$47,19)&amp;" — "&amp;INDEX(Aspetos_Impactes!$D$5:$D$47,19)</f>
        <v>Hot foil stamping — Decoração por hot foil (HF-001, HF-002)</v>
      </c>
      <c r="B25" s="24" t="str">
        <f>INDEX(Aspetos_Impactes!$A$5:$A$47,19)</f>
        <v>AA-019</v>
      </c>
      <c r="C25" s="25" t="str">
        <f>IF(INDEX(Aspetos_Impactes!$E$5:$E$47,19)="Aquisição","X","")</f>
        <v/>
      </c>
      <c r="D25" s="25" t="str">
        <f>IF(INDEX(Aspetos_Impactes!$E$5:$E$47,19)="Design e Conceção","X","")</f>
        <v/>
      </c>
      <c r="E25" s="25" t="str">
        <f>IF(INDEX(Aspetos_Impactes!$E$5:$E$47,19)="Produção","X","")</f>
        <v>X</v>
      </c>
      <c r="F25" s="25" t="str">
        <f>IF(INDEX(Aspetos_Impactes!$E$5:$E$47,19)="Distribuição","X","")</f>
        <v/>
      </c>
      <c r="G25" s="25" t="str">
        <f>IF(INDEX(Aspetos_Impactes!$E$5:$E$47,19)="Uso (Consumidor Final)","X","")</f>
        <v/>
      </c>
      <c r="H25" s="25" t="str">
        <f>IF(INDEX(Aspetos_Impactes!$E$5:$E$47,19)="Fim de Vida","X","")</f>
        <v/>
      </c>
      <c r="I25" s="24" t="str">
        <f>INDEX(Aspetos_Impactes!$G$5:$G$47,19)</f>
        <v>Consumo de energia elétrica (placas aquecidas)</v>
      </c>
      <c r="J25" s="24" t="str">
        <f>INDEX(Aspetos_Impactes!$H$5:$H$47,19)</f>
        <v>Direto</v>
      </c>
      <c r="K25" s="24" t="str">
        <f>INDEX(Aspetos_Impactes!$I$5:$I$47,19)</f>
        <v>Normal</v>
      </c>
      <c r="L25" s="24" t="str">
        <f>INDEX(Aspetos_Impactes!$J$5:$J$47,19)</f>
        <v>Presente</v>
      </c>
      <c r="M25" s="25" t="str">
        <f>IF(COUNTIFS(tbl_aspeto_impacte[ID_Aspeto],$B25,tbl_aspeto_impacte[ID_Impacte],"IMP-01")&gt;0,"X","")</f>
        <v>X</v>
      </c>
      <c r="N25" s="25" t="str">
        <f>IF(COUNTIFS(tbl_aspeto_impacte[ID_Aspeto],$B25,tbl_aspeto_impacte[ID_Impacte],"IMP-02")&gt;0,"X","")</f>
        <v/>
      </c>
      <c r="O25" s="25" t="str">
        <f>IF(COUNTIFS(tbl_aspeto_impacte[ID_Aspeto],$B25,tbl_aspeto_impacte[ID_Impacte],"IMP-03")&gt;0,"X","")</f>
        <v/>
      </c>
      <c r="P25" s="25" t="str">
        <f>IF(COUNTIFS(tbl_aspeto_impacte[ID_Aspeto],$B25,tbl_aspeto_impacte[ID_Impacte],"IMP-04")&gt;0,"X","")</f>
        <v>X</v>
      </c>
      <c r="Q25" s="25" t="str">
        <f>IF(COUNTIFS(tbl_aspeto_impacte[ID_Aspeto],$B25,tbl_aspeto_impacte[ID_Impacte],"IMP-05")&gt;0,"X","")</f>
        <v/>
      </c>
      <c r="R25" s="25" t="str">
        <f>IF(COUNTIFS(tbl_aspeto_impacte[ID_Aspeto],$B25,tbl_aspeto_impacte[ID_Impacte],"IMP-06")&gt;0,"X","")</f>
        <v/>
      </c>
      <c r="S25" s="25" t="str">
        <f>IF(COUNTIFS(tbl_aspeto_impacte[ID_Aspeto],$B25,tbl_aspeto_impacte[ID_Impacte],"IMP-07")&gt;0,"X","")</f>
        <v/>
      </c>
      <c r="T25" s="25" t="str">
        <f>IF(COUNTIFS(tbl_aspeto_impacte[ID_Aspeto],$B25,tbl_aspeto_impacte[ID_Impacte],"IMP-08")&gt;0,"X","")</f>
        <v/>
      </c>
      <c r="U25" s="25" t="str">
        <f>IF(COUNTIFS(tbl_aspeto_impacte[ID_Aspeto],$B25,tbl_aspeto_impacte[ID_Impacte],"IMP-09")&gt;0,"X","")</f>
        <v/>
      </c>
      <c r="V25" s="25" t="str">
        <f>IF(COUNTIFS(tbl_aspeto_impacte[ID_Aspeto],$B25,tbl_aspeto_impacte[ID_Impacte],"IMP-10")&gt;0,"X","")</f>
        <v/>
      </c>
      <c r="W25" s="25" t="str">
        <f>IF(COUNTIFS(tbl_aspeto_impacte[ID_Aspeto],$B25,tbl_aspeto_impacte[ID_Impacte],"IMP-11")&gt;0,"X","")</f>
        <v/>
      </c>
      <c r="X25" s="25" t="str">
        <f>IF(COUNTIFS(tbl_aspeto_impacte[ID_Aspeto],$B25,tbl_aspeto_impacte[ID_Impacte],"IMP-12")&gt;0,"X","")</f>
        <v/>
      </c>
      <c r="Y25" s="25" t="str">
        <f>LEFT(INDEX(Aspetos_Impactes!$R$5:$R$47,19),3)</f>
        <v>(+)</v>
      </c>
      <c r="Z25" s="25">
        <f>INDEX(Aspetos_Impactes!$N$5:$N$47,19)</f>
        <v>5</v>
      </c>
      <c r="AA25" s="25">
        <f>INDEX(Aspetos_Impactes!$O$5:$O$47,19)</f>
        <v>2</v>
      </c>
      <c r="AB25" s="25">
        <f>INDEX(Aspetos_Impactes!$P$5:$P$47,19)</f>
        <v>3</v>
      </c>
      <c r="AC25" s="25">
        <f>INDEX(Aspetos_Impactes!$Q$5:$Q$47,19)</f>
        <v>1</v>
      </c>
      <c r="AD25" s="25">
        <f>INDEX(Aspetos_Impactes!$S$5:$S$47,19)</f>
        <v>21</v>
      </c>
      <c r="AE25" s="25" t="str">
        <f>INDEX(Aspetos_Impactes!$T$5:$T$47,19)</f>
        <v>Moderado</v>
      </c>
      <c r="AF25" s="24" t="str">
        <f>INDEX(Aspetos_Impactes!$W$5:$W$47,19)</f>
        <v>SIM</v>
      </c>
      <c r="AG25" s="24" t="str">
        <f>INDEX(Aspetos_Impactes!$X$5:$X$47,19)</f>
        <v>Desligar placas nas paragens.</v>
      </c>
    </row>
    <row r="26" spans="1:33" ht="48" customHeight="1" x14ac:dyDescent="0.3">
      <c r="A26" s="24" t="str">
        <f>INDEX(Aspetos_Impactes!$C$5:$C$47,20)&amp;" — "&amp;INDEX(Aspetos_Impactes!$D$5:$D$47,20)</f>
        <v>Moagem de scrap — Moagem e reintegração de rebarbas</v>
      </c>
      <c r="B26" s="24" t="str">
        <f>INDEX(Aspetos_Impactes!$A$5:$A$47,20)</f>
        <v>AA-020</v>
      </c>
      <c r="C26" s="25" t="str">
        <f>IF(INDEX(Aspetos_Impactes!$E$5:$E$47,20)="Aquisição","X","")</f>
        <v/>
      </c>
      <c r="D26" s="25" t="str">
        <f>IF(INDEX(Aspetos_Impactes!$E$5:$E$47,20)="Design e Conceção","X","")</f>
        <v/>
      </c>
      <c r="E26" s="25" t="str">
        <f>IF(INDEX(Aspetos_Impactes!$E$5:$E$47,20)="Produção","X","")</f>
        <v>X</v>
      </c>
      <c r="F26" s="25" t="str">
        <f>IF(INDEX(Aspetos_Impactes!$E$5:$E$47,20)="Distribuição","X","")</f>
        <v/>
      </c>
      <c r="G26" s="25" t="str">
        <f>IF(INDEX(Aspetos_Impactes!$E$5:$E$47,20)="Uso (Consumidor Final)","X","")</f>
        <v/>
      </c>
      <c r="H26" s="25" t="str">
        <f>IF(INDEX(Aspetos_Impactes!$E$5:$E$47,20)="Fim de Vida","X","")</f>
        <v/>
      </c>
      <c r="I26" s="24" t="str">
        <f>INDEX(Aspetos_Impactes!$G$5:$G$47,20)</f>
        <v>Reintegração de scrap limpo (regrind) em substituição de polímero novo</v>
      </c>
      <c r="J26" s="24" t="str">
        <f>INDEX(Aspetos_Impactes!$H$5:$H$47,20)</f>
        <v>Direto</v>
      </c>
      <c r="K26" s="24" t="str">
        <f>INDEX(Aspetos_Impactes!$I$5:$I$47,20)</f>
        <v>Normal</v>
      </c>
      <c r="L26" s="24" t="str">
        <f>INDEX(Aspetos_Impactes!$J$5:$J$47,20)</f>
        <v>Presente</v>
      </c>
      <c r="M26" s="25" t="str">
        <f>IF(COUNTIFS(tbl_aspeto_impacte[ID_Aspeto],$B26,tbl_aspeto_impacte[ID_Impacte],"IMP-01")&gt;0,"X","")</f>
        <v/>
      </c>
      <c r="N26" s="25" t="str">
        <f>IF(COUNTIFS(tbl_aspeto_impacte[ID_Aspeto],$B26,tbl_aspeto_impacte[ID_Impacte],"IMP-02")&gt;0,"X","")</f>
        <v/>
      </c>
      <c r="O26" s="25" t="str">
        <f>IF(COUNTIFS(tbl_aspeto_impacte[ID_Aspeto],$B26,tbl_aspeto_impacte[ID_Impacte],"IMP-03")&gt;0,"X","")</f>
        <v/>
      </c>
      <c r="P26" s="25" t="str">
        <f>IF(COUNTIFS(tbl_aspeto_impacte[ID_Aspeto],$B26,tbl_aspeto_impacte[ID_Impacte],"IMP-04")&gt;0,"X","")</f>
        <v/>
      </c>
      <c r="Q26" s="25" t="str">
        <f>IF(COUNTIFS(tbl_aspeto_impacte[ID_Aspeto],$B26,tbl_aspeto_impacte[ID_Impacte],"IMP-05")&gt;0,"X","")</f>
        <v/>
      </c>
      <c r="R26" s="25" t="str">
        <f>IF(COUNTIFS(tbl_aspeto_impacte[ID_Aspeto],$B26,tbl_aspeto_impacte[ID_Impacte],"IMP-06")&gt;0,"X","")</f>
        <v/>
      </c>
      <c r="S26" s="25" t="str">
        <f>IF(COUNTIFS(tbl_aspeto_impacte[ID_Aspeto],$B26,tbl_aspeto_impacte[ID_Impacte],"IMP-07")&gt;0,"X","")</f>
        <v/>
      </c>
      <c r="T26" s="25" t="str">
        <f>IF(COUNTIFS(tbl_aspeto_impacte[ID_Aspeto],$B26,tbl_aspeto_impacte[ID_Impacte],"IMP-08")&gt;0,"X","")</f>
        <v/>
      </c>
      <c r="U26" s="25" t="str">
        <f>IF(COUNTIFS(tbl_aspeto_impacte[ID_Aspeto],$B26,tbl_aspeto_impacte[ID_Impacte],"IMP-09")&gt;0,"X","")</f>
        <v>X</v>
      </c>
      <c r="V26" s="25" t="str">
        <f>IF(COUNTIFS(tbl_aspeto_impacte[ID_Aspeto],$B26,tbl_aspeto_impacte[ID_Impacte],"IMP-10")&gt;0,"X","")</f>
        <v>X</v>
      </c>
      <c r="W26" s="25" t="str">
        <f>IF(COUNTIFS(tbl_aspeto_impacte[ID_Aspeto],$B26,tbl_aspeto_impacte[ID_Impacte],"IMP-11")&gt;0,"X","")</f>
        <v/>
      </c>
      <c r="X26" s="25" t="str">
        <f>IF(COUNTIFS(tbl_aspeto_impacte[ID_Aspeto],$B26,tbl_aspeto_impacte[ID_Impacte],"IMP-12")&gt;0,"X","")</f>
        <v/>
      </c>
      <c r="Y26" s="25" t="str">
        <f>LEFT(INDEX(Aspetos_Impactes!$R$5:$R$47,20),3)</f>
        <v>(-)</v>
      </c>
      <c r="Z26" s="25">
        <f>INDEX(Aspetos_Impactes!$N$5:$N$47,20)</f>
        <v>5</v>
      </c>
      <c r="AA26" s="25">
        <f>INDEX(Aspetos_Impactes!$O$5:$O$47,20)</f>
        <v>4</v>
      </c>
      <c r="AB26" s="25">
        <f>INDEX(Aspetos_Impactes!$P$5:$P$47,20)</f>
        <v>-1</v>
      </c>
      <c r="AC26" s="25">
        <f>INDEX(Aspetos_Impactes!$Q$5:$Q$47,20)</f>
        <v>1</v>
      </c>
      <c r="AD26" s="25">
        <f>INDEX(Aspetos_Impactes!$S$5:$S$47,20)</f>
        <v>-9</v>
      </c>
      <c r="AE26" s="25" t="str">
        <f>INDEX(Aspetos_Impactes!$T$5:$T$47,20)</f>
        <v>Oportunidade Tática</v>
      </c>
      <c r="AF26" s="24" t="str">
        <f>INDEX(Aspetos_Impactes!$W$5:$W$47,20)</f>
        <v>NÃO</v>
      </c>
      <c r="AG26" s="24" t="str">
        <f>INDEX(Aspetos_Impactes!$X$5:$X$47,20)</f>
        <v>Segregar por polímero/cor para aumentar a taxa.</v>
      </c>
    </row>
    <row r="27" spans="1:33" ht="48" customHeight="1" x14ac:dyDescent="0.3">
      <c r="A27" s="24" t="str">
        <f>INDEX(Aspetos_Impactes!$C$5:$C$47,21)&amp;" — "&amp;INDEX(Aspetos_Impactes!$D$5:$D$47,21)</f>
        <v>Utilidades — Produção de ar comprimido (CMP-01/02)</v>
      </c>
      <c r="B27" s="24" t="str">
        <f>INDEX(Aspetos_Impactes!$A$5:$A$47,21)</f>
        <v>AA-021</v>
      </c>
      <c r="C27" s="25" t="str">
        <f>IF(INDEX(Aspetos_Impactes!$E$5:$E$47,21)="Aquisição","X","")</f>
        <v/>
      </c>
      <c r="D27" s="25" t="str">
        <f>IF(INDEX(Aspetos_Impactes!$E$5:$E$47,21)="Design e Conceção","X","")</f>
        <v/>
      </c>
      <c r="E27" s="25" t="str">
        <f>IF(INDEX(Aspetos_Impactes!$E$5:$E$47,21)="Produção","X","")</f>
        <v>X</v>
      </c>
      <c r="F27" s="25" t="str">
        <f>IF(INDEX(Aspetos_Impactes!$E$5:$E$47,21)="Distribuição","X","")</f>
        <v/>
      </c>
      <c r="G27" s="25" t="str">
        <f>IF(INDEX(Aspetos_Impactes!$E$5:$E$47,21)="Uso (Consumidor Final)","X","")</f>
        <v/>
      </c>
      <c r="H27" s="25" t="str">
        <f>IF(INDEX(Aspetos_Impactes!$E$5:$E$47,21)="Fim de Vida","X","")</f>
        <v/>
      </c>
      <c r="I27" s="24" t="str">
        <f>INDEX(Aspetos_Impactes!$G$5:$G$47,21)</f>
        <v>Consumo de energia dos compressores, agravado por fugas na rede de ar comprimido</v>
      </c>
      <c r="J27" s="24" t="str">
        <f>INDEX(Aspetos_Impactes!$H$5:$H$47,21)</f>
        <v>Direto</v>
      </c>
      <c r="K27" s="24" t="str">
        <f>INDEX(Aspetos_Impactes!$I$5:$I$47,21)</f>
        <v>Normal</v>
      </c>
      <c r="L27" s="24" t="str">
        <f>INDEX(Aspetos_Impactes!$J$5:$J$47,21)</f>
        <v>Presente</v>
      </c>
      <c r="M27" s="25" t="str">
        <f>IF(COUNTIFS(tbl_aspeto_impacte[ID_Aspeto],$B27,tbl_aspeto_impacte[ID_Impacte],"IMP-01")&gt;0,"X","")</f>
        <v>X</v>
      </c>
      <c r="N27" s="25" t="str">
        <f>IF(COUNTIFS(tbl_aspeto_impacte[ID_Aspeto],$B27,tbl_aspeto_impacte[ID_Impacte],"IMP-02")&gt;0,"X","")</f>
        <v/>
      </c>
      <c r="O27" s="25" t="str">
        <f>IF(COUNTIFS(tbl_aspeto_impacte[ID_Aspeto],$B27,tbl_aspeto_impacte[ID_Impacte],"IMP-03")&gt;0,"X","")</f>
        <v/>
      </c>
      <c r="P27" s="25" t="str">
        <f>IF(COUNTIFS(tbl_aspeto_impacte[ID_Aspeto],$B27,tbl_aspeto_impacte[ID_Impacte],"IMP-04")&gt;0,"X","")</f>
        <v>X</v>
      </c>
      <c r="Q27" s="25" t="str">
        <f>IF(COUNTIFS(tbl_aspeto_impacte[ID_Aspeto],$B27,tbl_aspeto_impacte[ID_Impacte],"IMP-05")&gt;0,"X","")</f>
        <v/>
      </c>
      <c r="R27" s="25" t="str">
        <f>IF(COUNTIFS(tbl_aspeto_impacte[ID_Aspeto],$B27,tbl_aspeto_impacte[ID_Impacte],"IMP-06")&gt;0,"X","")</f>
        <v/>
      </c>
      <c r="S27" s="25" t="str">
        <f>IF(COUNTIFS(tbl_aspeto_impacte[ID_Aspeto],$B27,tbl_aspeto_impacte[ID_Impacte],"IMP-07")&gt;0,"X","")</f>
        <v/>
      </c>
      <c r="T27" s="25" t="str">
        <f>IF(COUNTIFS(tbl_aspeto_impacte[ID_Aspeto],$B27,tbl_aspeto_impacte[ID_Impacte],"IMP-08")&gt;0,"X","")</f>
        <v/>
      </c>
      <c r="U27" s="25" t="str">
        <f>IF(COUNTIFS(tbl_aspeto_impacte[ID_Aspeto],$B27,tbl_aspeto_impacte[ID_Impacte],"IMP-09")&gt;0,"X","")</f>
        <v/>
      </c>
      <c r="V27" s="25" t="str">
        <f>IF(COUNTIFS(tbl_aspeto_impacte[ID_Aspeto],$B27,tbl_aspeto_impacte[ID_Impacte],"IMP-10")&gt;0,"X","")</f>
        <v/>
      </c>
      <c r="W27" s="25" t="str">
        <f>IF(COUNTIFS(tbl_aspeto_impacte[ID_Aspeto],$B27,tbl_aspeto_impacte[ID_Impacte],"IMP-11")&gt;0,"X","")</f>
        <v/>
      </c>
      <c r="X27" s="25" t="str">
        <f>IF(COUNTIFS(tbl_aspeto_impacte[ID_Aspeto],$B27,tbl_aspeto_impacte[ID_Impacte],"IMP-12")&gt;0,"X","")</f>
        <v/>
      </c>
      <c r="Y27" s="25" t="str">
        <f>LEFT(INDEX(Aspetos_Impactes!$R$5:$R$47,21),3)</f>
        <v>(+)</v>
      </c>
      <c r="Z27" s="25">
        <f>INDEX(Aspetos_Impactes!$N$5:$N$47,21)</f>
        <v>5</v>
      </c>
      <c r="AA27" s="25">
        <f>INDEX(Aspetos_Impactes!$O$5:$O$47,21)</f>
        <v>4</v>
      </c>
      <c r="AB27" s="25">
        <f>INDEX(Aspetos_Impactes!$P$5:$P$47,21)</f>
        <v>3</v>
      </c>
      <c r="AC27" s="25">
        <f>INDEX(Aspetos_Impactes!$Q$5:$Q$47,21)</f>
        <v>1</v>
      </c>
      <c r="AD27" s="25">
        <f>INDEX(Aspetos_Impactes!$S$5:$S$47,21)</f>
        <v>27</v>
      </c>
      <c r="AE27" s="25" t="str">
        <f>INDEX(Aspetos_Impactes!$T$5:$T$47,21)</f>
        <v>Moderado</v>
      </c>
      <c r="AF27" s="24" t="str">
        <f>INDEX(Aspetos_Impactes!$W$5:$W$47,21)</f>
        <v>SIM</v>
      </c>
      <c r="AG27" s="24" t="str">
        <f>INDEX(Aspetos_Impactes!$X$5:$X$47,21)</f>
        <v>Caça a fugas por ultrassom; reduzir pressão de 7,5 para 6,8 bar.</v>
      </c>
    </row>
    <row r="28" spans="1:33" ht="48" customHeight="1" x14ac:dyDescent="0.3">
      <c r="A28" s="24" t="str">
        <f>INDEX(Aspetos_Impactes!$C$5:$C$47,22)&amp;" — "&amp;INDEX(Aspetos_Impactes!$D$5:$D$47,22)</f>
        <v>Utilidades — Operação dos compressores novos (2026)</v>
      </c>
      <c r="B28" s="24" t="str">
        <f>INDEX(Aspetos_Impactes!$A$5:$A$47,22)</f>
        <v>AA-022</v>
      </c>
      <c r="C28" s="25" t="str">
        <f>IF(INDEX(Aspetos_Impactes!$E$5:$E$47,22)="Aquisição","X","")</f>
        <v/>
      </c>
      <c r="D28" s="25" t="str">
        <f>IF(INDEX(Aspetos_Impactes!$E$5:$E$47,22)="Design e Conceção","X","")</f>
        <v/>
      </c>
      <c r="E28" s="25" t="str">
        <f>IF(INDEX(Aspetos_Impactes!$E$5:$E$47,22)="Produção","X","")</f>
        <v>X</v>
      </c>
      <c r="F28" s="25" t="str">
        <f>IF(INDEX(Aspetos_Impactes!$E$5:$E$47,22)="Distribuição","X","")</f>
        <v/>
      </c>
      <c r="G28" s="25" t="str">
        <f>IF(INDEX(Aspetos_Impactes!$E$5:$E$47,22)="Uso (Consumidor Final)","X","")</f>
        <v/>
      </c>
      <c r="H28" s="25" t="str">
        <f>IF(INDEX(Aspetos_Impactes!$E$5:$E$47,22)="Fim de Vida","X","")</f>
        <v/>
      </c>
      <c r="I28" s="24" t="str">
        <f>INDEX(Aspetos_Impactes!$G$5:$G$47,22)</f>
        <v>Emissão de ruído para o exterior pelos compressores e torre de arrefecimento</v>
      </c>
      <c r="J28" s="24" t="str">
        <f>INDEX(Aspetos_Impactes!$H$5:$H$47,22)</f>
        <v>Direto</v>
      </c>
      <c r="K28" s="24" t="str">
        <f>INDEX(Aspetos_Impactes!$I$5:$I$47,22)</f>
        <v>Normal</v>
      </c>
      <c r="L28" s="24" t="str">
        <f>INDEX(Aspetos_Impactes!$J$5:$J$47,22)</f>
        <v>Presente</v>
      </c>
      <c r="M28" s="25" t="str">
        <f>IF(COUNTIFS(tbl_aspeto_impacte[ID_Aspeto],$B28,tbl_aspeto_impacte[ID_Impacte],"IMP-01")&gt;0,"X","")</f>
        <v/>
      </c>
      <c r="N28" s="25" t="str">
        <f>IF(COUNTIFS(tbl_aspeto_impacte[ID_Aspeto],$B28,tbl_aspeto_impacte[ID_Impacte],"IMP-02")&gt;0,"X","")</f>
        <v/>
      </c>
      <c r="O28" s="25" t="str">
        <f>IF(COUNTIFS(tbl_aspeto_impacte[ID_Aspeto],$B28,tbl_aspeto_impacte[ID_Impacte],"IMP-03")&gt;0,"X","")</f>
        <v/>
      </c>
      <c r="P28" s="25" t="str">
        <f>IF(COUNTIFS(tbl_aspeto_impacte[ID_Aspeto],$B28,tbl_aspeto_impacte[ID_Impacte],"IMP-04")&gt;0,"X","")</f>
        <v/>
      </c>
      <c r="Q28" s="25" t="str">
        <f>IF(COUNTIFS(tbl_aspeto_impacte[ID_Aspeto],$B28,tbl_aspeto_impacte[ID_Impacte],"IMP-05")&gt;0,"X","")</f>
        <v>X</v>
      </c>
      <c r="R28" s="25" t="str">
        <f>IF(COUNTIFS(tbl_aspeto_impacte[ID_Aspeto],$B28,tbl_aspeto_impacte[ID_Impacte],"IMP-06")&gt;0,"X","")</f>
        <v/>
      </c>
      <c r="S28" s="25" t="str">
        <f>IF(COUNTIFS(tbl_aspeto_impacte[ID_Aspeto],$B28,tbl_aspeto_impacte[ID_Impacte],"IMP-07")&gt;0,"X","")</f>
        <v/>
      </c>
      <c r="T28" s="25" t="str">
        <f>IF(COUNTIFS(tbl_aspeto_impacte[ID_Aspeto],$B28,tbl_aspeto_impacte[ID_Impacte],"IMP-08")&gt;0,"X","")</f>
        <v/>
      </c>
      <c r="U28" s="25" t="str">
        <f>IF(COUNTIFS(tbl_aspeto_impacte[ID_Aspeto],$B28,tbl_aspeto_impacte[ID_Impacte],"IMP-09")&gt;0,"X","")</f>
        <v/>
      </c>
      <c r="V28" s="25" t="str">
        <f>IF(COUNTIFS(tbl_aspeto_impacte[ID_Aspeto],$B28,tbl_aspeto_impacte[ID_Impacte],"IMP-10")&gt;0,"X","")</f>
        <v/>
      </c>
      <c r="W28" s="25" t="str">
        <f>IF(COUNTIFS(tbl_aspeto_impacte[ID_Aspeto],$B28,tbl_aspeto_impacte[ID_Impacte],"IMP-11")&gt;0,"X","")</f>
        <v/>
      </c>
      <c r="X28" s="25" t="str">
        <f>IF(COUNTIFS(tbl_aspeto_impacte[ID_Aspeto],$B28,tbl_aspeto_impacte[ID_Impacte],"IMP-12")&gt;0,"X","")</f>
        <v/>
      </c>
      <c r="Y28" s="25" t="str">
        <f>LEFT(INDEX(Aspetos_Impactes!$R$5:$R$47,22),3)</f>
        <v>(+)</v>
      </c>
      <c r="Z28" s="25">
        <f>INDEX(Aspetos_Impactes!$N$5:$N$47,22)</f>
        <v>5</v>
      </c>
      <c r="AA28" s="25">
        <f>INDEX(Aspetos_Impactes!$O$5:$O$47,22)</f>
        <v>3</v>
      </c>
      <c r="AB28" s="25">
        <f>INDEX(Aspetos_Impactes!$P$5:$P$47,22)</f>
        <v>2</v>
      </c>
      <c r="AC28" s="25">
        <f>INDEX(Aspetos_Impactes!$Q$5:$Q$47,22)</f>
        <v>2</v>
      </c>
      <c r="AD28" s="25">
        <f>INDEX(Aspetos_Impactes!$S$5:$S$47,22)</f>
        <v>32</v>
      </c>
      <c r="AE28" s="25" t="str">
        <f>INDEX(Aspetos_Impactes!$T$5:$T$47,22)</f>
        <v>ASPETO AMBIENTAL SIGNIFICATIVO (AAS)</v>
      </c>
      <c r="AF28" s="24" t="str">
        <f>INDEX(Aspetos_Impactes!$W$5:$W$47,22)</f>
        <v>SIM</v>
      </c>
      <c r="AG28" s="24" t="str">
        <f>INDEX(Aspetos_Impactes!$X$5:$X$47,22)</f>
        <v>Avaliação acústica por laboratório acreditado; atenuadores se necessário.</v>
      </c>
    </row>
    <row r="29" spans="1:33" ht="48" customHeight="1" x14ac:dyDescent="0.3">
      <c r="A29" s="24" t="str">
        <f>INDEX(Aspetos_Impactes!$C$5:$C$47,23)&amp;" — "&amp;INDEX(Aspetos_Impactes!$D$5:$D$47,23)</f>
        <v>Utilidades — Torre de arrefecimento TR-01</v>
      </c>
      <c r="B29" s="24" t="str">
        <f>INDEX(Aspetos_Impactes!$A$5:$A$47,23)</f>
        <v>AA-023</v>
      </c>
      <c r="C29" s="25" t="str">
        <f>IF(INDEX(Aspetos_Impactes!$E$5:$E$47,23)="Aquisição","X","")</f>
        <v/>
      </c>
      <c r="D29" s="25" t="str">
        <f>IF(INDEX(Aspetos_Impactes!$E$5:$E$47,23)="Design e Conceção","X","")</f>
        <v/>
      </c>
      <c r="E29" s="25" t="str">
        <f>IF(INDEX(Aspetos_Impactes!$E$5:$E$47,23)="Produção","X","")</f>
        <v>X</v>
      </c>
      <c r="F29" s="25" t="str">
        <f>IF(INDEX(Aspetos_Impactes!$E$5:$E$47,23)="Distribuição","X","")</f>
        <v/>
      </c>
      <c r="G29" s="25" t="str">
        <f>IF(INDEX(Aspetos_Impactes!$E$5:$E$47,23)="Uso (Consumidor Final)","X","")</f>
        <v/>
      </c>
      <c r="H29" s="25" t="str">
        <f>IF(INDEX(Aspetos_Impactes!$E$5:$E$47,23)="Fim de Vida","X","")</f>
        <v/>
      </c>
      <c r="I29" s="24" t="str">
        <f>INDEX(Aspetos_Impactes!$G$5:$G$47,23)</f>
        <v>Consumo de água de rede para reposição da torre de arrefecimento (evaporação e purga)</v>
      </c>
      <c r="J29" s="24" t="str">
        <f>INDEX(Aspetos_Impactes!$H$5:$H$47,23)</f>
        <v>Direto</v>
      </c>
      <c r="K29" s="24" t="str">
        <f>INDEX(Aspetos_Impactes!$I$5:$I$47,23)</f>
        <v>Normal</v>
      </c>
      <c r="L29" s="24" t="str">
        <f>INDEX(Aspetos_Impactes!$J$5:$J$47,23)</f>
        <v>Presente</v>
      </c>
      <c r="M29" s="25" t="str">
        <f>IF(COUNTIFS(tbl_aspeto_impacte[ID_Aspeto],$B29,tbl_aspeto_impacte[ID_Impacte],"IMP-01")&gt;0,"X","")</f>
        <v>X</v>
      </c>
      <c r="N29" s="25" t="str">
        <f>IF(COUNTIFS(tbl_aspeto_impacte[ID_Aspeto],$B29,tbl_aspeto_impacte[ID_Impacte],"IMP-02")&gt;0,"X","")</f>
        <v/>
      </c>
      <c r="O29" s="25" t="str">
        <f>IF(COUNTIFS(tbl_aspeto_impacte[ID_Aspeto],$B29,tbl_aspeto_impacte[ID_Impacte],"IMP-03")&gt;0,"X","")</f>
        <v/>
      </c>
      <c r="P29" s="25" t="str">
        <f>IF(COUNTIFS(tbl_aspeto_impacte[ID_Aspeto],$B29,tbl_aspeto_impacte[ID_Impacte],"IMP-04")&gt;0,"X","")</f>
        <v/>
      </c>
      <c r="Q29" s="25" t="str">
        <f>IF(COUNTIFS(tbl_aspeto_impacte[ID_Aspeto],$B29,tbl_aspeto_impacte[ID_Impacte],"IMP-05")&gt;0,"X","")</f>
        <v/>
      </c>
      <c r="R29" s="25" t="str">
        <f>IF(COUNTIFS(tbl_aspeto_impacte[ID_Aspeto],$B29,tbl_aspeto_impacte[ID_Impacte],"IMP-06")&gt;0,"X","")</f>
        <v/>
      </c>
      <c r="S29" s="25" t="str">
        <f>IF(COUNTIFS(tbl_aspeto_impacte[ID_Aspeto],$B29,tbl_aspeto_impacte[ID_Impacte],"IMP-07")&gt;0,"X","")</f>
        <v/>
      </c>
      <c r="T29" s="25" t="str">
        <f>IF(COUNTIFS(tbl_aspeto_impacte[ID_Aspeto],$B29,tbl_aspeto_impacte[ID_Impacte],"IMP-08")&gt;0,"X","")</f>
        <v/>
      </c>
      <c r="U29" s="25" t="str">
        <f>IF(COUNTIFS(tbl_aspeto_impacte[ID_Aspeto],$B29,tbl_aspeto_impacte[ID_Impacte],"IMP-09")&gt;0,"X","")</f>
        <v/>
      </c>
      <c r="V29" s="25" t="str">
        <f>IF(COUNTIFS(tbl_aspeto_impacte[ID_Aspeto],$B29,tbl_aspeto_impacte[ID_Impacte],"IMP-10")&gt;0,"X","")</f>
        <v/>
      </c>
      <c r="W29" s="25" t="str">
        <f>IF(COUNTIFS(tbl_aspeto_impacte[ID_Aspeto],$B29,tbl_aspeto_impacte[ID_Impacte],"IMP-11")&gt;0,"X","")</f>
        <v/>
      </c>
      <c r="X29" s="25" t="str">
        <f>IF(COUNTIFS(tbl_aspeto_impacte[ID_Aspeto],$B29,tbl_aspeto_impacte[ID_Impacte],"IMP-12")&gt;0,"X","")</f>
        <v/>
      </c>
      <c r="Y29" s="25" t="str">
        <f>LEFT(INDEX(Aspetos_Impactes!$R$5:$R$47,23),3)</f>
        <v>(+)</v>
      </c>
      <c r="Z29" s="25">
        <f>INDEX(Aspetos_Impactes!$N$5:$N$47,23)</f>
        <v>5</v>
      </c>
      <c r="AA29" s="25">
        <f>INDEX(Aspetos_Impactes!$O$5:$O$47,23)</f>
        <v>4</v>
      </c>
      <c r="AB29" s="25">
        <f>INDEX(Aspetos_Impactes!$P$5:$P$47,23)</f>
        <v>3</v>
      </c>
      <c r="AC29" s="25">
        <f>INDEX(Aspetos_Impactes!$Q$5:$Q$47,23)</f>
        <v>1</v>
      </c>
      <c r="AD29" s="25">
        <f>INDEX(Aspetos_Impactes!$S$5:$S$47,23)</f>
        <v>27</v>
      </c>
      <c r="AE29" s="25" t="str">
        <f>INDEX(Aspetos_Impactes!$T$5:$T$47,23)</f>
        <v>Moderado</v>
      </c>
      <c r="AF29" s="24" t="str">
        <f>INDEX(Aspetos_Impactes!$W$5:$W$47,23)</f>
        <v>SIM</v>
      </c>
      <c r="AG29" s="24" t="str">
        <f>INDEX(Aspetos_Impactes!$X$5:$X$47,23)</f>
        <v>Circuito fechado / torre adiabática; controlo da purga por condutividade.</v>
      </c>
    </row>
    <row r="30" spans="1:33" ht="48" customHeight="1" x14ac:dyDescent="0.3">
      <c r="A30" s="24" t="str">
        <f>INDEX(Aspetos_Impactes!$C$5:$C$47,24)&amp;" — "&amp;INDEX(Aspetos_Impactes!$D$5:$D$47,24)</f>
        <v>Utilidades — Purga da torre de arrefecimento</v>
      </c>
      <c r="B30" s="24" t="str">
        <f>INDEX(Aspetos_Impactes!$A$5:$A$47,24)</f>
        <v>AA-024</v>
      </c>
      <c r="C30" s="25" t="str">
        <f>IF(INDEX(Aspetos_Impactes!$E$5:$E$47,24)="Aquisição","X","")</f>
        <v/>
      </c>
      <c r="D30" s="25" t="str">
        <f>IF(INDEX(Aspetos_Impactes!$E$5:$E$47,24)="Design e Conceção","X","")</f>
        <v/>
      </c>
      <c r="E30" s="25" t="str">
        <f>IF(INDEX(Aspetos_Impactes!$E$5:$E$47,24)="Produção","X","")</f>
        <v>X</v>
      </c>
      <c r="F30" s="25" t="str">
        <f>IF(INDEX(Aspetos_Impactes!$E$5:$E$47,24)="Distribuição","X","")</f>
        <v/>
      </c>
      <c r="G30" s="25" t="str">
        <f>IF(INDEX(Aspetos_Impactes!$E$5:$E$47,24)="Uso (Consumidor Final)","X","")</f>
        <v/>
      </c>
      <c r="H30" s="25" t="str">
        <f>IF(INDEX(Aspetos_Impactes!$E$5:$E$47,24)="Fim de Vida","X","")</f>
        <v/>
      </c>
      <c r="I30" s="24" t="str">
        <f>INDEX(Aspetos_Impactes!$G$5:$G$47,24)</f>
        <v>Descarga da purga da torre (com biocida e anti-incrustante) no coletor municipal</v>
      </c>
      <c r="J30" s="24" t="str">
        <f>INDEX(Aspetos_Impactes!$H$5:$H$47,24)</f>
        <v>Direto</v>
      </c>
      <c r="K30" s="24" t="str">
        <f>INDEX(Aspetos_Impactes!$I$5:$I$47,24)</f>
        <v>Normal</v>
      </c>
      <c r="L30" s="24" t="str">
        <f>INDEX(Aspetos_Impactes!$J$5:$J$47,24)</f>
        <v>Presente</v>
      </c>
      <c r="M30" s="25" t="str">
        <f>IF(COUNTIFS(tbl_aspeto_impacte[ID_Aspeto],$B30,tbl_aspeto_impacte[ID_Impacte],"IMP-01")&gt;0,"X","")</f>
        <v/>
      </c>
      <c r="N30" s="25" t="str">
        <f>IF(COUNTIFS(tbl_aspeto_impacte[ID_Aspeto],$B30,tbl_aspeto_impacte[ID_Impacte],"IMP-02")&gt;0,"X","")</f>
        <v>X</v>
      </c>
      <c r="O30" s="25" t="str">
        <f>IF(COUNTIFS(tbl_aspeto_impacte[ID_Aspeto],$B30,tbl_aspeto_impacte[ID_Impacte],"IMP-03")&gt;0,"X","")</f>
        <v/>
      </c>
      <c r="P30" s="25" t="str">
        <f>IF(COUNTIFS(tbl_aspeto_impacte[ID_Aspeto],$B30,tbl_aspeto_impacte[ID_Impacte],"IMP-04")&gt;0,"X","")</f>
        <v/>
      </c>
      <c r="Q30" s="25" t="str">
        <f>IF(COUNTIFS(tbl_aspeto_impacte[ID_Aspeto],$B30,tbl_aspeto_impacte[ID_Impacte],"IMP-05")&gt;0,"X","")</f>
        <v/>
      </c>
      <c r="R30" s="25" t="str">
        <f>IF(COUNTIFS(tbl_aspeto_impacte[ID_Aspeto],$B30,tbl_aspeto_impacte[ID_Impacte],"IMP-06")&gt;0,"X","")</f>
        <v/>
      </c>
      <c r="S30" s="25" t="str">
        <f>IF(COUNTIFS(tbl_aspeto_impacte[ID_Aspeto],$B30,tbl_aspeto_impacte[ID_Impacte],"IMP-07")&gt;0,"X","")</f>
        <v/>
      </c>
      <c r="T30" s="25" t="str">
        <f>IF(COUNTIFS(tbl_aspeto_impacte[ID_Aspeto],$B30,tbl_aspeto_impacte[ID_Impacte],"IMP-08")&gt;0,"X","")</f>
        <v/>
      </c>
      <c r="U30" s="25" t="str">
        <f>IF(COUNTIFS(tbl_aspeto_impacte[ID_Aspeto],$B30,tbl_aspeto_impacte[ID_Impacte],"IMP-09")&gt;0,"X","")</f>
        <v/>
      </c>
      <c r="V30" s="25" t="str">
        <f>IF(COUNTIFS(tbl_aspeto_impacte[ID_Aspeto],$B30,tbl_aspeto_impacte[ID_Impacte],"IMP-10")&gt;0,"X","")</f>
        <v/>
      </c>
      <c r="W30" s="25" t="str">
        <f>IF(COUNTIFS(tbl_aspeto_impacte[ID_Aspeto],$B30,tbl_aspeto_impacte[ID_Impacte],"IMP-11")&gt;0,"X","")</f>
        <v/>
      </c>
      <c r="X30" s="25" t="str">
        <f>IF(COUNTIFS(tbl_aspeto_impacte[ID_Aspeto],$B30,tbl_aspeto_impacte[ID_Impacte],"IMP-12")&gt;0,"X","")</f>
        <v/>
      </c>
      <c r="Y30" s="25" t="str">
        <f>LEFT(INDEX(Aspetos_Impactes!$R$5:$R$47,24),3)</f>
        <v>(+)</v>
      </c>
      <c r="Z30" s="25">
        <f>INDEX(Aspetos_Impactes!$N$5:$N$47,24)</f>
        <v>4</v>
      </c>
      <c r="AA30" s="25">
        <f>INDEX(Aspetos_Impactes!$O$5:$O$47,24)</f>
        <v>3</v>
      </c>
      <c r="AB30" s="25">
        <f>INDEX(Aspetos_Impactes!$P$5:$P$47,24)</f>
        <v>4</v>
      </c>
      <c r="AC30" s="25">
        <f>INDEX(Aspetos_Impactes!$Q$5:$Q$47,24)</f>
        <v>1</v>
      </c>
      <c r="AD30" s="25">
        <f>INDEX(Aspetos_Impactes!$S$5:$S$47,24)</f>
        <v>28</v>
      </c>
      <c r="AE30" s="25" t="str">
        <f>INDEX(Aspetos_Impactes!$T$5:$T$47,24)</f>
        <v>Moderado</v>
      </c>
      <c r="AF30" s="24" t="str">
        <f>INDEX(Aspetos_Impactes!$W$5:$W$47,24)</f>
        <v>SIM</v>
      </c>
      <c r="AG30" s="24" t="str">
        <f>INDEX(Aspetos_Impactes!$X$5:$X$47,24)</f>
        <v>Dosagem automática; análises; limites do regulamento municipal.</v>
      </c>
    </row>
    <row r="31" spans="1:33" ht="48" customHeight="1" x14ac:dyDescent="0.3">
      <c r="A31" s="24" t="str">
        <f>INDEX(Aspetos_Impactes!$C$5:$C$47,25)&amp;" — "&amp;INDEX(Aspetos_Impactes!$D$5:$D$47,25)</f>
        <v>Utilidades — Chiller CH-01 (R410A)</v>
      </c>
      <c r="B31" s="24" t="str">
        <f>INDEX(Aspetos_Impactes!$A$5:$A$47,25)</f>
        <v>AA-025</v>
      </c>
      <c r="C31" s="25" t="str">
        <f>IF(INDEX(Aspetos_Impactes!$E$5:$E$47,25)="Aquisição","X","")</f>
        <v/>
      </c>
      <c r="D31" s="25" t="str">
        <f>IF(INDEX(Aspetos_Impactes!$E$5:$E$47,25)="Design e Conceção","X","")</f>
        <v/>
      </c>
      <c r="E31" s="25" t="str">
        <f>IF(INDEX(Aspetos_Impactes!$E$5:$E$47,25)="Produção","X","")</f>
        <v>X</v>
      </c>
      <c r="F31" s="25" t="str">
        <f>IF(INDEX(Aspetos_Impactes!$E$5:$E$47,25)="Distribuição","X","")</f>
        <v/>
      </c>
      <c r="G31" s="25" t="str">
        <f>IF(INDEX(Aspetos_Impactes!$E$5:$E$47,25)="Uso (Consumidor Final)","X","")</f>
        <v/>
      </c>
      <c r="H31" s="25" t="str">
        <f>IF(INDEX(Aspetos_Impactes!$E$5:$E$47,25)="Fim de Vida","X","")</f>
        <v/>
      </c>
      <c r="I31" s="24" t="str">
        <f>INDEX(Aspetos_Impactes!$G$5:$G$47,25)</f>
        <v>Fuga de gás fluorado R410A do chiller</v>
      </c>
      <c r="J31" s="24" t="str">
        <f>INDEX(Aspetos_Impactes!$H$5:$H$47,25)</f>
        <v>Direto</v>
      </c>
      <c r="K31" s="24" t="str">
        <f>INDEX(Aspetos_Impactes!$I$5:$I$47,25)</f>
        <v>Emergência</v>
      </c>
      <c r="L31" s="24" t="str">
        <f>INDEX(Aspetos_Impactes!$J$5:$J$47,25)</f>
        <v>Passado</v>
      </c>
      <c r="M31" s="25" t="str">
        <f>IF(COUNTIFS(tbl_aspeto_impacte[ID_Aspeto],$B31,tbl_aspeto_impacte[ID_Impacte],"IMP-01")&gt;0,"X","")</f>
        <v/>
      </c>
      <c r="N31" s="25" t="str">
        <f>IF(COUNTIFS(tbl_aspeto_impacte[ID_Aspeto],$B31,tbl_aspeto_impacte[ID_Impacte],"IMP-02")&gt;0,"X","")</f>
        <v/>
      </c>
      <c r="O31" s="25" t="str">
        <f>IF(COUNTIFS(tbl_aspeto_impacte[ID_Aspeto],$B31,tbl_aspeto_impacte[ID_Impacte],"IMP-03")&gt;0,"X","")</f>
        <v/>
      </c>
      <c r="P31" s="25" t="str">
        <f>IF(COUNTIFS(tbl_aspeto_impacte[ID_Aspeto],$B31,tbl_aspeto_impacte[ID_Impacte],"IMP-04")&gt;0,"X","")</f>
        <v>X</v>
      </c>
      <c r="Q31" s="25" t="str">
        <f>IF(COUNTIFS(tbl_aspeto_impacte[ID_Aspeto],$B31,tbl_aspeto_impacte[ID_Impacte],"IMP-05")&gt;0,"X","")</f>
        <v/>
      </c>
      <c r="R31" s="25" t="str">
        <f>IF(COUNTIFS(tbl_aspeto_impacte[ID_Aspeto],$B31,tbl_aspeto_impacte[ID_Impacte],"IMP-06")&gt;0,"X","")</f>
        <v/>
      </c>
      <c r="S31" s="25" t="str">
        <f>IF(COUNTIFS(tbl_aspeto_impacte[ID_Aspeto],$B31,tbl_aspeto_impacte[ID_Impacte],"IMP-07")&gt;0,"X","")</f>
        <v/>
      </c>
      <c r="T31" s="25" t="str">
        <f>IF(COUNTIFS(tbl_aspeto_impacte[ID_Aspeto],$B31,tbl_aspeto_impacte[ID_Impacte],"IMP-08")&gt;0,"X","")</f>
        <v/>
      </c>
      <c r="U31" s="25" t="str">
        <f>IF(COUNTIFS(tbl_aspeto_impacte[ID_Aspeto],$B31,tbl_aspeto_impacte[ID_Impacte],"IMP-09")&gt;0,"X","")</f>
        <v/>
      </c>
      <c r="V31" s="25" t="str">
        <f>IF(COUNTIFS(tbl_aspeto_impacte[ID_Aspeto],$B31,tbl_aspeto_impacte[ID_Impacte],"IMP-10")&gt;0,"X","")</f>
        <v/>
      </c>
      <c r="W31" s="25" t="str">
        <f>IF(COUNTIFS(tbl_aspeto_impacte[ID_Aspeto],$B31,tbl_aspeto_impacte[ID_Impacte],"IMP-11")&gt;0,"X","")</f>
        <v/>
      </c>
      <c r="X31" s="25" t="str">
        <f>IF(COUNTIFS(tbl_aspeto_impacte[ID_Aspeto],$B31,tbl_aspeto_impacte[ID_Impacte],"IMP-12")&gt;0,"X","")</f>
        <v/>
      </c>
      <c r="Y31" s="25" t="str">
        <f>LEFT(INDEX(Aspetos_Impactes!$R$5:$R$47,25),3)</f>
        <v>(+)</v>
      </c>
      <c r="Z31" s="25">
        <f>INDEX(Aspetos_Impactes!$N$5:$N$47,25)</f>
        <v>1</v>
      </c>
      <c r="AA31" s="25">
        <f>INDEX(Aspetos_Impactes!$O$5:$O$47,25)</f>
        <v>1</v>
      </c>
      <c r="AB31" s="25">
        <f>INDEX(Aspetos_Impactes!$P$5:$P$47,25)</f>
        <v>5</v>
      </c>
      <c r="AC31" s="25">
        <f>INDEX(Aspetos_Impactes!$Q$5:$Q$47,25)</f>
        <v>1</v>
      </c>
      <c r="AD31" s="25">
        <f>INDEX(Aspetos_Impactes!$S$5:$S$47,25)</f>
        <v>10</v>
      </c>
      <c r="AE31" s="25" t="str">
        <f>INDEX(Aspetos_Impactes!$T$5:$T$47,25)</f>
        <v>Não Significativo</v>
      </c>
      <c r="AF31" s="24" t="str">
        <f>INDEX(Aspetos_Impactes!$W$5:$W$47,25)</f>
        <v>NÃO</v>
      </c>
      <c r="AG31" s="24" t="str">
        <f>INDEX(Aspetos_Impactes!$X$5:$X$47,25)</f>
        <v>Controlo de fugas conforme carga em tCO2e; técnico certificado.</v>
      </c>
    </row>
    <row r="32" spans="1:33" ht="48" customHeight="1" x14ac:dyDescent="0.3">
      <c r="A32" s="24" t="str">
        <f>INDEX(Aspetos_Impactes!$C$5:$C$47,26)&amp;" — "&amp;INDEX(Aspetos_Impactes!$D$5:$D$47,26)</f>
        <v>Manutenção — Manutenção mecânica e elétrica</v>
      </c>
      <c r="B32" s="24" t="str">
        <f>INDEX(Aspetos_Impactes!$A$5:$A$47,26)</f>
        <v>AA-026</v>
      </c>
      <c r="C32" s="25" t="str">
        <f>IF(INDEX(Aspetos_Impactes!$E$5:$E$47,26)="Aquisição","X","")</f>
        <v/>
      </c>
      <c r="D32" s="25" t="str">
        <f>IF(INDEX(Aspetos_Impactes!$E$5:$E$47,26)="Design e Conceção","X","")</f>
        <v/>
      </c>
      <c r="E32" s="25" t="str">
        <f>IF(INDEX(Aspetos_Impactes!$E$5:$E$47,26)="Produção","X","")</f>
        <v>X</v>
      </c>
      <c r="F32" s="25" t="str">
        <f>IF(INDEX(Aspetos_Impactes!$E$5:$E$47,26)="Distribuição","X","")</f>
        <v/>
      </c>
      <c r="G32" s="25" t="str">
        <f>IF(INDEX(Aspetos_Impactes!$E$5:$E$47,26)="Uso (Consumidor Final)","X","")</f>
        <v/>
      </c>
      <c r="H32" s="25" t="str">
        <f>IF(INDEX(Aspetos_Impactes!$E$5:$E$47,26)="Fim de Vida","X","")</f>
        <v/>
      </c>
      <c r="I32" s="24" t="str">
        <f>INDEX(Aspetos_Impactes!$G$5:$G$47,26)</f>
        <v>Geração de óleos usados (13 02 05*), lâmpadas (20 01 21*) e sucata metálica</v>
      </c>
      <c r="J32" s="24" t="str">
        <f>INDEX(Aspetos_Impactes!$H$5:$H$47,26)</f>
        <v>Direto</v>
      </c>
      <c r="K32" s="24" t="str">
        <f>INDEX(Aspetos_Impactes!$I$5:$I$47,26)</f>
        <v>Anormal</v>
      </c>
      <c r="L32" s="24" t="str">
        <f>INDEX(Aspetos_Impactes!$J$5:$J$47,26)</f>
        <v>Presente</v>
      </c>
      <c r="M32" s="25" t="str">
        <f>IF(COUNTIFS(tbl_aspeto_impacte[ID_Aspeto],$B32,tbl_aspeto_impacte[ID_Impacte],"IMP-01")&gt;0,"X","")</f>
        <v/>
      </c>
      <c r="N32" s="25" t="str">
        <f>IF(COUNTIFS(tbl_aspeto_impacte[ID_Aspeto],$B32,tbl_aspeto_impacte[ID_Impacte],"IMP-02")&gt;0,"X","")</f>
        <v>X</v>
      </c>
      <c r="O32" s="25" t="str">
        <f>IF(COUNTIFS(tbl_aspeto_impacte[ID_Aspeto],$B32,tbl_aspeto_impacte[ID_Impacte],"IMP-03")&gt;0,"X","")</f>
        <v/>
      </c>
      <c r="P32" s="25" t="str">
        <f>IF(COUNTIFS(tbl_aspeto_impacte[ID_Aspeto],$B32,tbl_aspeto_impacte[ID_Impacte],"IMP-04")&gt;0,"X","")</f>
        <v/>
      </c>
      <c r="Q32" s="25" t="str">
        <f>IF(COUNTIFS(tbl_aspeto_impacte[ID_Aspeto],$B32,tbl_aspeto_impacte[ID_Impacte],"IMP-05")&gt;0,"X","")</f>
        <v/>
      </c>
      <c r="R32" s="25" t="str">
        <f>IF(COUNTIFS(tbl_aspeto_impacte[ID_Aspeto],$B32,tbl_aspeto_impacte[ID_Impacte],"IMP-06")&gt;0,"X","")</f>
        <v/>
      </c>
      <c r="S32" s="25" t="str">
        <f>IF(COUNTIFS(tbl_aspeto_impacte[ID_Aspeto],$B32,tbl_aspeto_impacte[ID_Impacte],"IMP-07")&gt;0,"X","")</f>
        <v>X</v>
      </c>
      <c r="T32" s="25" t="str">
        <f>IF(COUNTIFS(tbl_aspeto_impacte[ID_Aspeto],$B32,tbl_aspeto_impacte[ID_Impacte],"IMP-08")&gt;0,"X","")</f>
        <v/>
      </c>
      <c r="U32" s="25" t="str">
        <f>IF(COUNTIFS(tbl_aspeto_impacte[ID_Aspeto],$B32,tbl_aspeto_impacte[ID_Impacte],"IMP-09")&gt;0,"X","")</f>
        <v/>
      </c>
      <c r="V32" s="25" t="str">
        <f>IF(COUNTIFS(tbl_aspeto_impacte[ID_Aspeto],$B32,tbl_aspeto_impacte[ID_Impacte],"IMP-10")&gt;0,"X","")</f>
        <v/>
      </c>
      <c r="W32" s="25" t="str">
        <f>IF(COUNTIFS(tbl_aspeto_impacte[ID_Aspeto],$B32,tbl_aspeto_impacte[ID_Impacte],"IMP-11")&gt;0,"X","")</f>
        <v/>
      </c>
      <c r="X32" s="25" t="str">
        <f>IF(COUNTIFS(tbl_aspeto_impacte[ID_Aspeto],$B32,tbl_aspeto_impacte[ID_Impacte],"IMP-12")&gt;0,"X","")</f>
        <v/>
      </c>
      <c r="Y32" s="25" t="str">
        <f>LEFT(INDEX(Aspetos_Impactes!$R$5:$R$47,26),3)</f>
        <v>(+)</v>
      </c>
      <c r="Z32" s="25">
        <f>INDEX(Aspetos_Impactes!$N$5:$N$47,26)</f>
        <v>2</v>
      </c>
      <c r="AA32" s="25">
        <f>INDEX(Aspetos_Impactes!$O$5:$O$47,26)</f>
        <v>3</v>
      </c>
      <c r="AB32" s="25">
        <f>INDEX(Aspetos_Impactes!$P$5:$P$47,26)</f>
        <v>4</v>
      </c>
      <c r="AC32" s="25">
        <f>INDEX(Aspetos_Impactes!$Q$5:$Q$47,26)</f>
        <v>1</v>
      </c>
      <c r="AD32" s="25">
        <f>INDEX(Aspetos_Impactes!$S$5:$S$47,26)</f>
        <v>20</v>
      </c>
      <c r="AE32" s="25" t="str">
        <f>INDEX(Aspetos_Impactes!$T$5:$T$47,26)</f>
        <v>Moderado</v>
      </c>
      <c r="AF32" s="24" t="str">
        <f>INDEX(Aspetos_Impactes!$W$5:$W$47,26)</f>
        <v>SIM</v>
      </c>
      <c r="AG32" s="24" t="str">
        <f>INDEX(Aspetos_Impactes!$X$5:$X$47,26)</f>
        <v>Recolha por operadores licenciados; armazenagem em bacia.</v>
      </c>
    </row>
    <row r="33" spans="1:33" ht="48" customHeight="1" x14ac:dyDescent="0.3">
      <c r="A33" s="24" t="str">
        <f>INDEX(Aspetos_Impactes!$C$5:$C$47,27)&amp;" — "&amp;INDEX(Aspetos_Impactes!$D$5:$D$47,27)</f>
        <v>Parque de resíduos — Armazenagem temporária de resíduos</v>
      </c>
      <c r="B33" s="24" t="str">
        <f>INDEX(Aspetos_Impactes!$A$5:$A$47,27)</f>
        <v>AA-027</v>
      </c>
      <c r="C33" s="25" t="str">
        <f>IF(INDEX(Aspetos_Impactes!$E$5:$E$47,27)="Aquisição","X","")</f>
        <v/>
      </c>
      <c r="D33" s="25" t="str">
        <f>IF(INDEX(Aspetos_Impactes!$E$5:$E$47,27)="Design e Conceção","X","")</f>
        <v/>
      </c>
      <c r="E33" s="25" t="str">
        <f>IF(INDEX(Aspetos_Impactes!$E$5:$E$47,27)="Produção","X","")</f>
        <v/>
      </c>
      <c r="F33" s="25" t="str">
        <f>IF(INDEX(Aspetos_Impactes!$E$5:$E$47,27)="Distribuição","X","")</f>
        <v/>
      </c>
      <c r="G33" s="25" t="str">
        <f>IF(INDEX(Aspetos_Impactes!$E$5:$E$47,27)="Uso (Consumidor Final)","X","")</f>
        <v/>
      </c>
      <c r="H33" s="25" t="str">
        <f>IF(INDEX(Aspetos_Impactes!$E$5:$E$47,27)="Fim de Vida","X","")</f>
        <v>X</v>
      </c>
      <c r="I33" s="24" t="str">
        <f>INDEX(Aspetos_Impactes!$G$5:$G$47,27)</f>
        <v>Escorrência de resíduos perigosos armazenados para a rede pluvial em dia de chuva</v>
      </c>
      <c r="J33" s="24" t="str">
        <f>INDEX(Aspetos_Impactes!$H$5:$H$47,27)</f>
        <v>Direto</v>
      </c>
      <c r="K33" s="24" t="str">
        <f>INDEX(Aspetos_Impactes!$I$5:$I$47,27)</f>
        <v>Anormal</v>
      </c>
      <c r="L33" s="24" t="str">
        <f>INDEX(Aspetos_Impactes!$J$5:$J$47,27)</f>
        <v>Presente</v>
      </c>
      <c r="M33" s="25" t="str">
        <f>IF(COUNTIFS(tbl_aspeto_impacte[ID_Aspeto],$B33,tbl_aspeto_impacte[ID_Impacte],"IMP-01")&gt;0,"X","")</f>
        <v/>
      </c>
      <c r="N33" s="25" t="str">
        <f>IF(COUNTIFS(tbl_aspeto_impacte[ID_Aspeto],$B33,tbl_aspeto_impacte[ID_Impacte],"IMP-02")&gt;0,"X","")</f>
        <v>X</v>
      </c>
      <c r="O33" s="25" t="str">
        <f>IF(COUNTIFS(tbl_aspeto_impacte[ID_Aspeto],$B33,tbl_aspeto_impacte[ID_Impacte],"IMP-03")&gt;0,"X","")</f>
        <v/>
      </c>
      <c r="P33" s="25" t="str">
        <f>IF(COUNTIFS(tbl_aspeto_impacte[ID_Aspeto],$B33,tbl_aspeto_impacte[ID_Impacte],"IMP-04")&gt;0,"X","")</f>
        <v/>
      </c>
      <c r="Q33" s="25" t="str">
        <f>IF(COUNTIFS(tbl_aspeto_impacte[ID_Aspeto],$B33,tbl_aspeto_impacte[ID_Impacte],"IMP-05")&gt;0,"X","")</f>
        <v/>
      </c>
      <c r="R33" s="25" t="str">
        <f>IF(COUNTIFS(tbl_aspeto_impacte[ID_Aspeto],$B33,tbl_aspeto_impacte[ID_Impacte],"IMP-06")&gt;0,"X","")</f>
        <v/>
      </c>
      <c r="S33" s="25" t="str">
        <f>IF(COUNTIFS(tbl_aspeto_impacte[ID_Aspeto],$B33,tbl_aspeto_impacte[ID_Impacte],"IMP-07")&gt;0,"X","")</f>
        <v/>
      </c>
      <c r="T33" s="25" t="str">
        <f>IF(COUNTIFS(tbl_aspeto_impacte[ID_Aspeto],$B33,tbl_aspeto_impacte[ID_Impacte],"IMP-08")&gt;0,"X","")</f>
        <v/>
      </c>
      <c r="U33" s="25" t="str">
        <f>IF(COUNTIFS(tbl_aspeto_impacte[ID_Aspeto],$B33,tbl_aspeto_impacte[ID_Impacte],"IMP-09")&gt;0,"X","")</f>
        <v/>
      </c>
      <c r="V33" s="25" t="str">
        <f>IF(COUNTIFS(tbl_aspeto_impacte[ID_Aspeto],$B33,tbl_aspeto_impacte[ID_Impacte],"IMP-10")&gt;0,"X","")</f>
        <v/>
      </c>
      <c r="W33" s="25" t="str">
        <f>IF(COUNTIFS(tbl_aspeto_impacte[ID_Aspeto],$B33,tbl_aspeto_impacte[ID_Impacte],"IMP-11")&gt;0,"X","")</f>
        <v/>
      </c>
      <c r="X33" s="25" t="str">
        <f>IF(COUNTIFS(tbl_aspeto_impacte[ID_Aspeto],$B33,tbl_aspeto_impacte[ID_Impacte],"IMP-12")&gt;0,"X","")</f>
        <v/>
      </c>
      <c r="Y33" s="25" t="str">
        <f>LEFT(INDEX(Aspetos_Impactes!$R$5:$R$47,27),3)</f>
        <v>(+)</v>
      </c>
      <c r="Z33" s="25">
        <f>INDEX(Aspetos_Impactes!$N$5:$N$47,27)</f>
        <v>2</v>
      </c>
      <c r="AA33" s="25">
        <f>INDEX(Aspetos_Impactes!$O$5:$O$47,27)</f>
        <v>2</v>
      </c>
      <c r="AB33" s="25">
        <f>INDEX(Aspetos_Impactes!$P$5:$P$47,27)</f>
        <v>4</v>
      </c>
      <c r="AC33" s="25">
        <f>INDEX(Aspetos_Impactes!$Q$5:$Q$47,27)</f>
        <v>1</v>
      </c>
      <c r="AD33" s="25">
        <f>INDEX(Aspetos_Impactes!$S$5:$S$47,27)</f>
        <v>16</v>
      </c>
      <c r="AE33" s="25" t="str">
        <f>INDEX(Aspetos_Impactes!$T$5:$T$47,27)</f>
        <v>Não Significativo</v>
      </c>
      <c r="AF33" s="24" t="str">
        <f>INDEX(Aspetos_Impactes!$W$5:$W$47,27)</f>
        <v>NÃO</v>
      </c>
      <c r="AG33" s="24" t="str">
        <f>INDEX(Aspetos_Impactes!$X$5:$X$47,27)</f>
        <v>Cobertura e bacia no ponto de resíduos perigosos.</v>
      </c>
    </row>
    <row r="34" spans="1:33" ht="48" customHeight="1" x14ac:dyDescent="0.3">
      <c r="A34" s="24" t="str">
        <f>INDEX(Aspetos_Impactes!$C$5:$C$47,28)&amp;" — "&amp;INDEX(Aspetos_Impactes!$D$5:$D$47,28)</f>
        <v>Parque de resíduos — Encaminhamento de resíduos</v>
      </c>
      <c r="B34" s="24" t="str">
        <f>INDEX(Aspetos_Impactes!$A$5:$A$47,28)</f>
        <v>AA-028</v>
      </c>
      <c r="C34" s="25" t="str">
        <f>IF(INDEX(Aspetos_Impactes!$E$5:$E$47,28)="Aquisição","X","")</f>
        <v/>
      </c>
      <c r="D34" s="25" t="str">
        <f>IF(INDEX(Aspetos_Impactes!$E$5:$E$47,28)="Design e Conceção","X","")</f>
        <v/>
      </c>
      <c r="E34" s="25" t="str">
        <f>IF(INDEX(Aspetos_Impactes!$E$5:$E$47,28)="Produção","X","")</f>
        <v/>
      </c>
      <c r="F34" s="25" t="str">
        <f>IF(INDEX(Aspetos_Impactes!$E$5:$E$47,28)="Distribuição","X","")</f>
        <v/>
      </c>
      <c r="G34" s="25" t="str">
        <f>IF(INDEX(Aspetos_Impactes!$E$5:$E$47,28)="Uso (Consumidor Final)","X","")</f>
        <v/>
      </c>
      <c r="H34" s="25" t="str">
        <f>IF(INDEX(Aspetos_Impactes!$E$5:$E$47,28)="Fim de Vida","X","")</f>
        <v>X</v>
      </c>
      <c r="I34" s="24" t="str">
        <f>INDEX(Aspetos_Impactes!$G$5:$G$47,28)</f>
        <v>Envio de scrap sujo e embalagens para reciclagem por operador licenciado (R3)</v>
      </c>
      <c r="J34" s="24" t="str">
        <f>INDEX(Aspetos_Impactes!$H$5:$H$47,28)</f>
        <v>Indireto</v>
      </c>
      <c r="K34" s="24" t="str">
        <f>INDEX(Aspetos_Impactes!$I$5:$I$47,28)</f>
        <v>Normal</v>
      </c>
      <c r="L34" s="24" t="str">
        <f>INDEX(Aspetos_Impactes!$J$5:$J$47,28)</f>
        <v>Presente</v>
      </c>
      <c r="M34" s="25" t="str">
        <f>IF(COUNTIFS(tbl_aspeto_impacte[ID_Aspeto],$B34,tbl_aspeto_impacte[ID_Impacte],"IMP-01")&gt;0,"X","")</f>
        <v/>
      </c>
      <c r="N34" s="25" t="str">
        <f>IF(COUNTIFS(tbl_aspeto_impacte[ID_Aspeto],$B34,tbl_aspeto_impacte[ID_Impacte],"IMP-02")&gt;0,"X","")</f>
        <v/>
      </c>
      <c r="O34" s="25" t="str">
        <f>IF(COUNTIFS(tbl_aspeto_impacte[ID_Aspeto],$B34,tbl_aspeto_impacte[ID_Impacte],"IMP-03")&gt;0,"X","")</f>
        <v/>
      </c>
      <c r="P34" s="25" t="str">
        <f>IF(COUNTIFS(tbl_aspeto_impacte[ID_Aspeto],$B34,tbl_aspeto_impacte[ID_Impacte],"IMP-04")&gt;0,"X","")</f>
        <v/>
      </c>
      <c r="Q34" s="25" t="str">
        <f>IF(COUNTIFS(tbl_aspeto_impacte[ID_Aspeto],$B34,tbl_aspeto_impacte[ID_Impacte],"IMP-05")&gt;0,"X","")</f>
        <v/>
      </c>
      <c r="R34" s="25" t="str">
        <f>IF(COUNTIFS(tbl_aspeto_impacte[ID_Aspeto],$B34,tbl_aspeto_impacte[ID_Impacte],"IMP-06")&gt;0,"X","")</f>
        <v/>
      </c>
      <c r="S34" s="25" t="str">
        <f>IF(COUNTIFS(tbl_aspeto_impacte[ID_Aspeto],$B34,tbl_aspeto_impacte[ID_Impacte],"IMP-07")&gt;0,"X","")</f>
        <v/>
      </c>
      <c r="T34" s="25" t="str">
        <f>IF(COUNTIFS(tbl_aspeto_impacte[ID_Aspeto],$B34,tbl_aspeto_impacte[ID_Impacte],"IMP-08")&gt;0,"X","")</f>
        <v/>
      </c>
      <c r="U34" s="25" t="str">
        <f>IF(COUNTIFS(tbl_aspeto_impacte[ID_Aspeto],$B34,tbl_aspeto_impacte[ID_Impacte],"IMP-09")&gt;0,"X","")</f>
        <v/>
      </c>
      <c r="V34" s="25" t="str">
        <f>IF(COUNTIFS(tbl_aspeto_impacte[ID_Aspeto],$B34,tbl_aspeto_impacte[ID_Impacte],"IMP-10")&gt;0,"X","")</f>
        <v/>
      </c>
      <c r="W34" s="25" t="str">
        <f>IF(COUNTIFS(tbl_aspeto_impacte[ID_Aspeto],$B34,tbl_aspeto_impacte[ID_Impacte],"IMP-11")&gt;0,"X","")</f>
        <v>X</v>
      </c>
      <c r="X34" s="25" t="str">
        <f>IF(COUNTIFS(tbl_aspeto_impacte[ID_Aspeto],$B34,tbl_aspeto_impacte[ID_Impacte],"IMP-12")&gt;0,"X","")</f>
        <v>X</v>
      </c>
      <c r="Y34" s="25" t="str">
        <f>LEFT(INDEX(Aspetos_Impactes!$R$5:$R$47,28),3)</f>
        <v>(-)</v>
      </c>
      <c r="Z34" s="25">
        <f>INDEX(Aspetos_Impactes!$N$5:$N$47,28)</f>
        <v>4</v>
      </c>
      <c r="AA34" s="25">
        <f>INDEX(Aspetos_Impactes!$O$5:$O$47,28)</f>
        <v>3</v>
      </c>
      <c r="AB34" s="25">
        <f>INDEX(Aspetos_Impactes!$P$5:$P$47,28)</f>
        <v>-1</v>
      </c>
      <c r="AC34" s="25">
        <f>INDEX(Aspetos_Impactes!$Q$5:$Q$47,28)</f>
        <v>1</v>
      </c>
      <c r="AD34" s="25">
        <f>INDEX(Aspetos_Impactes!$S$5:$S$47,28)</f>
        <v>-7</v>
      </c>
      <c r="AE34" s="25" t="str">
        <f>INDEX(Aspetos_Impactes!$T$5:$T$47,28)</f>
        <v>Oportunidade Tática</v>
      </c>
      <c r="AF34" s="24" t="str">
        <f>INDEX(Aspetos_Impactes!$W$5:$W$47,28)</f>
        <v>NÃO</v>
      </c>
      <c r="AG34" s="24" t="str">
        <f>INDEX(Aspetos_Impactes!$X$5:$X$47,28)</f>
        <v>Aumentar a segregação para subir a taxa de valorização.</v>
      </c>
    </row>
    <row r="35" spans="1:33" ht="48" customHeight="1" x14ac:dyDescent="0.3">
      <c r="A35" s="24" t="str">
        <f>INDEX(Aspetos_Impactes!$C$5:$C$47,29)&amp;" — "&amp;INDEX(Aspetos_Impactes!$D$5:$D$47,29)</f>
        <v>Geral — Funcionamento geral da instalação</v>
      </c>
      <c r="B35" s="24" t="str">
        <f>INDEX(Aspetos_Impactes!$A$5:$A$47,29)</f>
        <v>AA-029</v>
      </c>
      <c r="C35" s="25" t="str">
        <f>IF(INDEX(Aspetos_Impactes!$E$5:$E$47,29)="Aquisição","X","")</f>
        <v/>
      </c>
      <c r="D35" s="25" t="str">
        <f>IF(INDEX(Aspetos_Impactes!$E$5:$E$47,29)="Design e Conceção","X","")</f>
        <v/>
      </c>
      <c r="E35" s="25" t="str">
        <f>IF(INDEX(Aspetos_Impactes!$E$5:$E$47,29)="Produção","X","")</f>
        <v>X</v>
      </c>
      <c r="F35" s="25" t="str">
        <f>IF(INDEX(Aspetos_Impactes!$E$5:$E$47,29)="Distribuição","X","")</f>
        <v/>
      </c>
      <c r="G35" s="25" t="str">
        <f>IF(INDEX(Aspetos_Impactes!$E$5:$E$47,29)="Uso (Consumidor Final)","X","")</f>
        <v/>
      </c>
      <c r="H35" s="25" t="str">
        <f>IF(INDEX(Aspetos_Impactes!$E$5:$E$47,29)="Fim de Vida","X","")</f>
        <v/>
      </c>
      <c r="I35" s="24" t="str">
        <f>INDEX(Aspetos_Impactes!$G$5:$G$47,29)</f>
        <v>Resíduos indiferenciados (20 03 01) enviados para aterro</v>
      </c>
      <c r="J35" s="24" t="str">
        <f>INDEX(Aspetos_Impactes!$H$5:$H$47,29)</f>
        <v>Direto</v>
      </c>
      <c r="K35" s="24" t="str">
        <f>INDEX(Aspetos_Impactes!$I$5:$I$47,29)</f>
        <v>Normal</v>
      </c>
      <c r="L35" s="24" t="str">
        <f>INDEX(Aspetos_Impactes!$J$5:$J$47,29)</f>
        <v>Presente</v>
      </c>
      <c r="M35" s="25" t="str">
        <f>IF(COUNTIFS(tbl_aspeto_impacte[ID_Aspeto],$B35,tbl_aspeto_impacte[ID_Impacte],"IMP-01")&gt;0,"X","")</f>
        <v/>
      </c>
      <c r="N35" s="25" t="str">
        <f>IF(COUNTIFS(tbl_aspeto_impacte[ID_Aspeto],$B35,tbl_aspeto_impacte[ID_Impacte],"IMP-02")&gt;0,"X","")</f>
        <v/>
      </c>
      <c r="O35" s="25" t="str">
        <f>IF(COUNTIFS(tbl_aspeto_impacte[ID_Aspeto],$B35,tbl_aspeto_impacte[ID_Impacte],"IMP-03")&gt;0,"X","")</f>
        <v/>
      </c>
      <c r="P35" s="25" t="str">
        <f>IF(COUNTIFS(tbl_aspeto_impacte[ID_Aspeto],$B35,tbl_aspeto_impacte[ID_Impacte],"IMP-04")&gt;0,"X","")</f>
        <v/>
      </c>
      <c r="Q35" s="25" t="str">
        <f>IF(COUNTIFS(tbl_aspeto_impacte[ID_Aspeto],$B35,tbl_aspeto_impacte[ID_Impacte],"IMP-05")&gt;0,"X","")</f>
        <v/>
      </c>
      <c r="R35" s="25" t="str">
        <f>IF(COUNTIFS(tbl_aspeto_impacte[ID_Aspeto],$B35,tbl_aspeto_impacte[ID_Impacte],"IMP-06")&gt;0,"X","")</f>
        <v/>
      </c>
      <c r="S35" s="25" t="str">
        <f>IF(COUNTIFS(tbl_aspeto_impacte[ID_Aspeto],$B35,tbl_aspeto_impacte[ID_Impacte],"IMP-07")&gt;0,"X","")</f>
        <v>X</v>
      </c>
      <c r="T35" s="25" t="str">
        <f>IF(COUNTIFS(tbl_aspeto_impacte[ID_Aspeto],$B35,tbl_aspeto_impacte[ID_Impacte],"IMP-08")&gt;0,"X","")</f>
        <v/>
      </c>
      <c r="U35" s="25" t="str">
        <f>IF(COUNTIFS(tbl_aspeto_impacte[ID_Aspeto],$B35,tbl_aspeto_impacte[ID_Impacte],"IMP-09")&gt;0,"X","")</f>
        <v/>
      </c>
      <c r="V35" s="25" t="str">
        <f>IF(COUNTIFS(tbl_aspeto_impacte[ID_Aspeto],$B35,tbl_aspeto_impacte[ID_Impacte],"IMP-10")&gt;0,"X","")</f>
        <v/>
      </c>
      <c r="W35" s="25" t="str">
        <f>IF(COUNTIFS(tbl_aspeto_impacte[ID_Aspeto],$B35,tbl_aspeto_impacte[ID_Impacte],"IMP-11")&gt;0,"X","")</f>
        <v/>
      </c>
      <c r="X35" s="25" t="str">
        <f>IF(COUNTIFS(tbl_aspeto_impacte[ID_Aspeto],$B35,tbl_aspeto_impacte[ID_Impacte],"IMP-12")&gt;0,"X","")</f>
        <v/>
      </c>
      <c r="Y35" s="25" t="str">
        <f>LEFT(INDEX(Aspetos_Impactes!$R$5:$R$47,29),3)</f>
        <v>(+)</v>
      </c>
      <c r="Z35" s="25">
        <f>INDEX(Aspetos_Impactes!$N$5:$N$47,29)</f>
        <v>5</v>
      </c>
      <c r="AA35" s="25">
        <f>INDEX(Aspetos_Impactes!$O$5:$O$47,29)</f>
        <v>3</v>
      </c>
      <c r="AB35" s="25">
        <f>INDEX(Aspetos_Impactes!$P$5:$P$47,29)</f>
        <v>2</v>
      </c>
      <c r="AC35" s="25">
        <f>INDEX(Aspetos_Impactes!$Q$5:$Q$47,29)</f>
        <v>1</v>
      </c>
      <c r="AD35" s="25">
        <f>INDEX(Aspetos_Impactes!$S$5:$S$47,29)</f>
        <v>16</v>
      </c>
      <c r="AE35" s="25" t="str">
        <f>INDEX(Aspetos_Impactes!$T$5:$T$47,29)</f>
        <v>Não Significativo</v>
      </c>
      <c r="AF35" s="24" t="str">
        <f>INDEX(Aspetos_Impactes!$W$5:$W$47,29)</f>
        <v>NÃO</v>
      </c>
      <c r="AG35" s="24" t="str">
        <f>INDEX(Aspetos_Impactes!$X$5:$X$47,29)</f>
        <v>Reduzir contaminação dos fluxos recicláveis.</v>
      </c>
    </row>
    <row r="36" spans="1:33" ht="48" customHeight="1" x14ac:dyDescent="0.3">
      <c r="A36" s="24" t="str">
        <f>INDEX(Aspetos_Impactes!$C$5:$C$47,30)&amp;" — "&amp;INDEX(Aspetos_Impactes!$D$5:$D$47,30)</f>
        <v>Geral — Iluminação, AVAC, escritórios</v>
      </c>
      <c r="B36" s="24" t="str">
        <f>INDEX(Aspetos_Impactes!$A$5:$A$47,30)</f>
        <v>AA-030</v>
      </c>
      <c r="C36" s="25" t="str">
        <f>IF(INDEX(Aspetos_Impactes!$E$5:$E$47,30)="Aquisição","X","")</f>
        <v/>
      </c>
      <c r="D36" s="25" t="str">
        <f>IF(INDEX(Aspetos_Impactes!$E$5:$E$47,30)="Design e Conceção","X","")</f>
        <v/>
      </c>
      <c r="E36" s="25" t="str">
        <f>IF(INDEX(Aspetos_Impactes!$E$5:$E$47,30)="Produção","X","")</f>
        <v>X</v>
      </c>
      <c r="F36" s="25" t="str">
        <f>IF(INDEX(Aspetos_Impactes!$E$5:$E$47,30)="Distribuição","X","")</f>
        <v/>
      </c>
      <c r="G36" s="25" t="str">
        <f>IF(INDEX(Aspetos_Impactes!$E$5:$E$47,30)="Uso (Consumidor Final)","X","")</f>
        <v/>
      </c>
      <c r="H36" s="25" t="str">
        <f>IF(INDEX(Aspetos_Impactes!$E$5:$E$47,30)="Fim de Vida","X","")</f>
        <v/>
      </c>
      <c r="I36" s="24" t="str">
        <f>INDEX(Aspetos_Impactes!$G$5:$G$47,30)</f>
        <v>Consumo de energia elétrica geral (iluminação, AVAC, armazéns)</v>
      </c>
      <c r="J36" s="24" t="str">
        <f>INDEX(Aspetos_Impactes!$H$5:$H$47,30)</f>
        <v>Direto</v>
      </c>
      <c r="K36" s="24" t="str">
        <f>INDEX(Aspetos_Impactes!$I$5:$I$47,30)</f>
        <v>Normal</v>
      </c>
      <c r="L36" s="24" t="str">
        <f>INDEX(Aspetos_Impactes!$J$5:$J$47,30)</f>
        <v>Presente</v>
      </c>
      <c r="M36" s="25" t="str">
        <f>IF(COUNTIFS(tbl_aspeto_impacte[ID_Aspeto],$B36,tbl_aspeto_impacte[ID_Impacte],"IMP-01")&gt;0,"X","")</f>
        <v>X</v>
      </c>
      <c r="N36" s="25" t="str">
        <f>IF(COUNTIFS(tbl_aspeto_impacte[ID_Aspeto],$B36,tbl_aspeto_impacte[ID_Impacte],"IMP-02")&gt;0,"X","")</f>
        <v/>
      </c>
      <c r="O36" s="25" t="str">
        <f>IF(COUNTIFS(tbl_aspeto_impacte[ID_Aspeto],$B36,tbl_aspeto_impacte[ID_Impacte],"IMP-03")&gt;0,"X","")</f>
        <v/>
      </c>
      <c r="P36" s="25" t="str">
        <f>IF(COUNTIFS(tbl_aspeto_impacte[ID_Aspeto],$B36,tbl_aspeto_impacte[ID_Impacte],"IMP-04")&gt;0,"X","")</f>
        <v>X</v>
      </c>
      <c r="Q36" s="25" t="str">
        <f>IF(COUNTIFS(tbl_aspeto_impacte[ID_Aspeto],$B36,tbl_aspeto_impacte[ID_Impacte],"IMP-05")&gt;0,"X","")</f>
        <v/>
      </c>
      <c r="R36" s="25" t="str">
        <f>IF(COUNTIFS(tbl_aspeto_impacte[ID_Aspeto],$B36,tbl_aspeto_impacte[ID_Impacte],"IMP-06")&gt;0,"X","")</f>
        <v/>
      </c>
      <c r="S36" s="25" t="str">
        <f>IF(COUNTIFS(tbl_aspeto_impacte[ID_Aspeto],$B36,tbl_aspeto_impacte[ID_Impacte],"IMP-07")&gt;0,"X","")</f>
        <v/>
      </c>
      <c r="T36" s="25" t="str">
        <f>IF(COUNTIFS(tbl_aspeto_impacte[ID_Aspeto],$B36,tbl_aspeto_impacte[ID_Impacte],"IMP-08")&gt;0,"X","")</f>
        <v/>
      </c>
      <c r="U36" s="25" t="str">
        <f>IF(COUNTIFS(tbl_aspeto_impacte[ID_Aspeto],$B36,tbl_aspeto_impacte[ID_Impacte],"IMP-09")&gt;0,"X","")</f>
        <v/>
      </c>
      <c r="V36" s="25" t="str">
        <f>IF(COUNTIFS(tbl_aspeto_impacte[ID_Aspeto],$B36,tbl_aspeto_impacte[ID_Impacte],"IMP-10")&gt;0,"X","")</f>
        <v/>
      </c>
      <c r="W36" s="25" t="str">
        <f>IF(COUNTIFS(tbl_aspeto_impacte[ID_Aspeto],$B36,tbl_aspeto_impacte[ID_Impacte],"IMP-11")&gt;0,"X","")</f>
        <v/>
      </c>
      <c r="X36" s="25" t="str">
        <f>IF(COUNTIFS(tbl_aspeto_impacte[ID_Aspeto],$B36,tbl_aspeto_impacte[ID_Impacte],"IMP-12")&gt;0,"X","")</f>
        <v/>
      </c>
      <c r="Y36" s="25" t="str">
        <f>LEFT(INDEX(Aspetos_Impactes!$R$5:$R$47,30),3)</f>
        <v>(+)</v>
      </c>
      <c r="Z36" s="25">
        <f>INDEX(Aspetos_Impactes!$N$5:$N$47,30)</f>
        <v>5</v>
      </c>
      <c r="AA36" s="25">
        <f>INDEX(Aspetos_Impactes!$O$5:$O$47,30)</f>
        <v>3</v>
      </c>
      <c r="AB36" s="25">
        <f>INDEX(Aspetos_Impactes!$P$5:$P$47,30)</f>
        <v>3</v>
      </c>
      <c r="AC36" s="25">
        <f>INDEX(Aspetos_Impactes!$Q$5:$Q$47,30)</f>
        <v>1</v>
      </c>
      <c r="AD36" s="25">
        <f>INDEX(Aspetos_Impactes!$S$5:$S$47,30)</f>
        <v>24</v>
      </c>
      <c r="AE36" s="25" t="str">
        <f>INDEX(Aspetos_Impactes!$T$5:$T$47,30)</f>
        <v>Moderado</v>
      </c>
      <c r="AF36" s="24" t="str">
        <f>INDEX(Aspetos_Impactes!$W$5:$W$47,30)</f>
        <v>SIM</v>
      </c>
      <c r="AG36" s="24" t="str">
        <f>INDEX(Aspetos_Impactes!$X$5:$X$47,30)</f>
        <v>LED com sensores; horários de AVAC.</v>
      </c>
    </row>
    <row r="37" spans="1:33" ht="48" customHeight="1" x14ac:dyDescent="0.3">
      <c r="A37" s="24" t="str">
        <f>INDEX(Aspetos_Impactes!$C$5:$C$47,31)&amp;" — "&amp;INDEX(Aspetos_Impactes!$D$5:$D$47,31)</f>
        <v>Geral — Contrato de eletricidade</v>
      </c>
      <c r="B37" s="24" t="str">
        <f>INDEX(Aspetos_Impactes!$A$5:$A$47,31)</f>
        <v>AA-031</v>
      </c>
      <c r="C37" s="25" t="str">
        <f>IF(INDEX(Aspetos_Impactes!$E$5:$E$47,31)="Aquisição","X","")</f>
        <v/>
      </c>
      <c r="D37" s="25" t="str">
        <f>IF(INDEX(Aspetos_Impactes!$E$5:$E$47,31)="Design e Conceção","X","")</f>
        <v/>
      </c>
      <c r="E37" s="25" t="str">
        <f>IF(INDEX(Aspetos_Impactes!$E$5:$E$47,31)="Produção","X","")</f>
        <v>X</v>
      </c>
      <c r="F37" s="25" t="str">
        <f>IF(INDEX(Aspetos_Impactes!$E$5:$E$47,31)="Distribuição","X","")</f>
        <v/>
      </c>
      <c r="G37" s="25" t="str">
        <f>IF(INDEX(Aspetos_Impactes!$E$5:$E$47,31)="Uso (Consumidor Final)","X","")</f>
        <v/>
      </c>
      <c r="H37" s="25" t="str">
        <f>IF(INDEX(Aspetos_Impactes!$E$5:$E$47,31)="Fim de Vida","X","")</f>
        <v/>
      </c>
      <c r="I37" s="24" t="str">
        <f>INDEX(Aspetos_Impactes!$G$5:$G$47,31)</f>
        <v>Consumo de eletricidade com garantia de origem renovável (55% do mix)</v>
      </c>
      <c r="J37" s="24" t="str">
        <f>INDEX(Aspetos_Impactes!$H$5:$H$47,31)</f>
        <v>Direto</v>
      </c>
      <c r="K37" s="24" t="str">
        <f>INDEX(Aspetos_Impactes!$I$5:$I$47,31)</f>
        <v>Normal</v>
      </c>
      <c r="L37" s="24" t="str">
        <f>INDEX(Aspetos_Impactes!$J$5:$J$47,31)</f>
        <v>Presente</v>
      </c>
      <c r="M37" s="25" t="str">
        <f>IF(COUNTIFS(tbl_aspeto_impacte[ID_Aspeto],$B37,tbl_aspeto_impacte[ID_Impacte],"IMP-01")&gt;0,"X","")</f>
        <v/>
      </c>
      <c r="N37" s="25" t="str">
        <f>IF(COUNTIFS(tbl_aspeto_impacte[ID_Aspeto],$B37,tbl_aspeto_impacte[ID_Impacte],"IMP-02")&gt;0,"X","")</f>
        <v/>
      </c>
      <c r="O37" s="25" t="str">
        <f>IF(COUNTIFS(tbl_aspeto_impacte[ID_Aspeto],$B37,tbl_aspeto_impacte[ID_Impacte],"IMP-03")&gt;0,"X","")</f>
        <v/>
      </c>
      <c r="P37" s="25" t="str">
        <f>IF(COUNTIFS(tbl_aspeto_impacte[ID_Aspeto],$B37,tbl_aspeto_impacte[ID_Impacte],"IMP-04")&gt;0,"X","")</f>
        <v>X</v>
      </c>
      <c r="Q37" s="25" t="str">
        <f>IF(COUNTIFS(tbl_aspeto_impacte[ID_Aspeto],$B37,tbl_aspeto_impacte[ID_Impacte],"IMP-05")&gt;0,"X","")</f>
        <v/>
      </c>
      <c r="R37" s="25" t="str">
        <f>IF(COUNTIFS(tbl_aspeto_impacte[ID_Aspeto],$B37,tbl_aspeto_impacte[ID_Impacte],"IMP-06")&gt;0,"X","")</f>
        <v/>
      </c>
      <c r="S37" s="25" t="str">
        <f>IF(COUNTIFS(tbl_aspeto_impacte[ID_Aspeto],$B37,tbl_aspeto_impacte[ID_Impacte],"IMP-07")&gt;0,"X","")</f>
        <v/>
      </c>
      <c r="T37" s="25" t="str">
        <f>IF(COUNTIFS(tbl_aspeto_impacte[ID_Aspeto],$B37,tbl_aspeto_impacte[ID_Impacte],"IMP-08")&gt;0,"X","")</f>
        <v/>
      </c>
      <c r="U37" s="25" t="str">
        <f>IF(COUNTIFS(tbl_aspeto_impacte[ID_Aspeto],$B37,tbl_aspeto_impacte[ID_Impacte],"IMP-09")&gt;0,"X","")</f>
        <v/>
      </c>
      <c r="V37" s="25" t="str">
        <f>IF(COUNTIFS(tbl_aspeto_impacte[ID_Aspeto],$B37,tbl_aspeto_impacte[ID_Impacte],"IMP-10")&gt;0,"X","")</f>
        <v/>
      </c>
      <c r="W37" s="25" t="str">
        <f>IF(COUNTIFS(tbl_aspeto_impacte[ID_Aspeto],$B37,tbl_aspeto_impacte[ID_Impacte],"IMP-11")&gt;0,"X","")</f>
        <v/>
      </c>
      <c r="X37" s="25" t="str">
        <f>IF(COUNTIFS(tbl_aspeto_impacte[ID_Aspeto],$B37,tbl_aspeto_impacte[ID_Impacte],"IMP-12")&gt;0,"X","")</f>
        <v>X</v>
      </c>
      <c r="Y37" s="25" t="str">
        <f>LEFT(INDEX(Aspetos_Impactes!$R$5:$R$47,31),3)</f>
        <v>(-)</v>
      </c>
      <c r="Z37" s="25">
        <f>INDEX(Aspetos_Impactes!$N$5:$N$47,31)</f>
        <v>5</v>
      </c>
      <c r="AA37" s="25">
        <f>INDEX(Aspetos_Impactes!$O$5:$O$47,31)</f>
        <v>5</v>
      </c>
      <c r="AB37" s="25">
        <f>INDEX(Aspetos_Impactes!$P$5:$P$47,31)</f>
        <v>-1</v>
      </c>
      <c r="AC37" s="25">
        <f>INDEX(Aspetos_Impactes!$Q$5:$Q$47,31)</f>
        <v>1</v>
      </c>
      <c r="AD37" s="25">
        <f>INDEX(Aspetos_Impactes!$S$5:$S$47,31)</f>
        <v>-10</v>
      </c>
      <c r="AE37" s="25" t="str">
        <f>INDEX(Aspetos_Impactes!$T$5:$T$47,31)</f>
        <v>Oportunidade Tática</v>
      </c>
      <c r="AF37" s="24" t="str">
        <f>INDEX(Aspetos_Impactes!$W$5:$W$47,31)</f>
        <v>NÃO</v>
      </c>
      <c r="AG37" s="24" t="str">
        <f>INDEX(Aspetos_Impactes!$X$5:$X$47,31)</f>
        <v>Aumentar a quota renovável no próximo contrato.</v>
      </c>
    </row>
    <row r="38" spans="1:33" ht="48" customHeight="1" x14ac:dyDescent="0.3">
      <c r="A38" s="24" t="str">
        <f>INDEX(Aspetos_Impactes!$C$5:$C$47,32)&amp;" — "&amp;INDEX(Aspetos_Impactes!$D$5:$D$47,32)</f>
        <v>Geral — Autoconsumo fotovoltaico previsto (UPAC ≈ 1 MWp)</v>
      </c>
      <c r="B38" s="24" t="str">
        <f>INDEX(Aspetos_Impactes!$A$5:$A$47,32)</f>
        <v>AA-032</v>
      </c>
      <c r="C38" s="25" t="str">
        <f>IF(INDEX(Aspetos_Impactes!$E$5:$E$47,32)="Aquisição","X","")</f>
        <v/>
      </c>
      <c r="D38" s="25" t="str">
        <f>IF(INDEX(Aspetos_Impactes!$E$5:$E$47,32)="Design e Conceção","X","")</f>
        <v/>
      </c>
      <c r="E38" s="25" t="str">
        <f>IF(INDEX(Aspetos_Impactes!$E$5:$E$47,32)="Produção","X","")</f>
        <v>X</v>
      </c>
      <c r="F38" s="25" t="str">
        <f>IF(INDEX(Aspetos_Impactes!$E$5:$E$47,32)="Distribuição","X","")</f>
        <v/>
      </c>
      <c r="G38" s="25" t="str">
        <f>IF(INDEX(Aspetos_Impactes!$E$5:$E$47,32)="Uso (Consumidor Final)","X","")</f>
        <v/>
      </c>
      <c r="H38" s="25" t="str">
        <f>IF(INDEX(Aspetos_Impactes!$E$5:$E$47,32)="Fim de Vida","X","")</f>
        <v/>
      </c>
      <c r="I38" s="24" t="str">
        <f>INDEX(Aspetos_Impactes!$G$5:$G$47,32)</f>
        <v>Produção de energia renovável para autoconsumo</v>
      </c>
      <c r="J38" s="24" t="str">
        <f>INDEX(Aspetos_Impactes!$H$5:$H$47,32)</f>
        <v>Direto</v>
      </c>
      <c r="K38" s="24" t="str">
        <f>INDEX(Aspetos_Impactes!$I$5:$I$47,32)</f>
        <v>Normal</v>
      </c>
      <c r="L38" s="24" t="str">
        <f>INDEX(Aspetos_Impactes!$J$5:$J$47,32)</f>
        <v>Futuro</v>
      </c>
      <c r="M38" s="25" t="str">
        <f>IF(COUNTIFS(tbl_aspeto_impacte[ID_Aspeto],$B38,tbl_aspeto_impacte[ID_Impacte],"IMP-01")&gt;0,"X","")</f>
        <v/>
      </c>
      <c r="N38" s="25" t="str">
        <f>IF(COUNTIFS(tbl_aspeto_impacte[ID_Aspeto],$B38,tbl_aspeto_impacte[ID_Impacte],"IMP-02")&gt;0,"X","")</f>
        <v/>
      </c>
      <c r="O38" s="25" t="str">
        <f>IF(COUNTIFS(tbl_aspeto_impacte[ID_Aspeto],$B38,tbl_aspeto_impacte[ID_Impacte],"IMP-03")&gt;0,"X","")</f>
        <v/>
      </c>
      <c r="P38" s="25" t="str">
        <f>IF(COUNTIFS(tbl_aspeto_impacte[ID_Aspeto],$B38,tbl_aspeto_impacte[ID_Impacte],"IMP-04")&gt;0,"X","")</f>
        <v>X</v>
      </c>
      <c r="Q38" s="25" t="str">
        <f>IF(COUNTIFS(tbl_aspeto_impacte[ID_Aspeto],$B38,tbl_aspeto_impacte[ID_Impacte],"IMP-05")&gt;0,"X","")</f>
        <v/>
      </c>
      <c r="R38" s="25" t="str">
        <f>IF(COUNTIFS(tbl_aspeto_impacte[ID_Aspeto],$B38,tbl_aspeto_impacte[ID_Impacte],"IMP-06")&gt;0,"X","")</f>
        <v/>
      </c>
      <c r="S38" s="25" t="str">
        <f>IF(COUNTIFS(tbl_aspeto_impacte[ID_Aspeto],$B38,tbl_aspeto_impacte[ID_Impacte],"IMP-07")&gt;0,"X","")</f>
        <v/>
      </c>
      <c r="T38" s="25" t="str">
        <f>IF(COUNTIFS(tbl_aspeto_impacte[ID_Aspeto],$B38,tbl_aspeto_impacte[ID_Impacte],"IMP-08")&gt;0,"X","")</f>
        <v/>
      </c>
      <c r="U38" s="25" t="str">
        <f>IF(COUNTIFS(tbl_aspeto_impacte[ID_Aspeto],$B38,tbl_aspeto_impacte[ID_Impacte],"IMP-09")&gt;0,"X","")</f>
        <v/>
      </c>
      <c r="V38" s="25" t="str">
        <f>IF(COUNTIFS(tbl_aspeto_impacte[ID_Aspeto],$B38,tbl_aspeto_impacte[ID_Impacte],"IMP-10")&gt;0,"X","")</f>
        <v/>
      </c>
      <c r="W38" s="25" t="str">
        <f>IF(COUNTIFS(tbl_aspeto_impacte[ID_Aspeto],$B38,tbl_aspeto_impacte[ID_Impacte],"IMP-11")&gt;0,"X","")</f>
        <v/>
      </c>
      <c r="X38" s="25" t="str">
        <f>IF(COUNTIFS(tbl_aspeto_impacte[ID_Aspeto],$B38,tbl_aspeto_impacte[ID_Impacte],"IMP-12")&gt;0,"X","")</f>
        <v>X</v>
      </c>
      <c r="Y38" s="25" t="str">
        <f>LEFT(INDEX(Aspetos_Impactes!$R$5:$R$47,32),3)</f>
        <v>(-)</v>
      </c>
      <c r="Z38" s="25">
        <f>INDEX(Aspetos_Impactes!$N$5:$N$47,32)</f>
        <v>5</v>
      </c>
      <c r="AA38" s="25">
        <f>INDEX(Aspetos_Impactes!$O$5:$O$47,32)</f>
        <v>4</v>
      </c>
      <c r="AB38" s="25">
        <f>INDEX(Aspetos_Impactes!$P$5:$P$47,32)</f>
        <v>-2</v>
      </c>
      <c r="AC38" s="25">
        <f>INDEX(Aspetos_Impactes!$Q$5:$Q$47,32)</f>
        <v>1</v>
      </c>
      <c r="AD38" s="25">
        <f>INDEX(Aspetos_Impactes!$S$5:$S$47,32)</f>
        <v>-18</v>
      </c>
      <c r="AE38" s="25" t="str">
        <f>INDEX(Aspetos_Impactes!$T$5:$T$47,32)</f>
        <v>ASPETO AMBIENTAL SIGNIFICATIVO (AAS) BENÉFICO</v>
      </c>
      <c r="AF38" s="24" t="str">
        <f>INDEX(Aspetos_Impactes!$W$5:$W$47,32)</f>
        <v>NÃO</v>
      </c>
      <c r="AG38" s="24" t="str">
        <f>INDEX(Aspetos_Impactes!$X$5:$X$47,32)</f>
        <v>Estudo de viabilidade e candidatura.</v>
      </c>
    </row>
    <row r="39" spans="1:33" ht="48" customHeight="1" x14ac:dyDescent="0.3">
      <c r="A39" s="24" t="str">
        <f>INDEX(Aspetos_Impactes!$C$5:$C$47,33)&amp;" — "&amp;INDEX(Aspetos_Impactes!$D$5:$D$47,33)</f>
        <v>Geral — Ocupação do terreno industrial</v>
      </c>
      <c r="B39" s="24" t="str">
        <f>INDEX(Aspetos_Impactes!$A$5:$A$47,33)</f>
        <v>AA-033</v>
      </c>
      <c r="C39" s="25" t="str">
        <f>IF(INDEX(Aspetos_Impactes!$E$5:$E$47,33)="Aquisição","X","")</f>
        <v/>
      </c>
      <c r="D39" s="25" t="str">
        <f>IF(INDEX(Aspetos_Impactes!$E$5:$E$47,33)="Design e Conceção","X","")</f>
        <v/>
      </c>
      <c r="E39" s="25" t="str">
        <f>IF(INDEX(Aspetos_Impactes!$E$5:$E$47,33)="Produção","X","")</f>
        <v>X</v>
      </c>
      <c r="F39" s="25" t="str">
        <f>IF(INDEX(Aspetos_Impactes!$E$5:$E$47,33)="Distribuição","X","")</f>
        <v/>
      </c>
      <c r="G39" s="25" t="str">
        <f>IF(INDEX(Aspetos_Impactes!$E$5:$E$47,33)="Uso (Consumidor Final)","X","")</f>
        <v/>
      </c>
      <c r="H39" s="25" t="str">
        <f>IF(INDEX(Aspetos_Impactes!$E$5:$E$47,33)="Fim de Vida","X","")</f>
        <v/>
      </c>
      <c r="I39" s="24" t="str">
        <f>INDEX(Aspetos_Impactes!$G$5:$G$47,33)</f>
        <v>Impermeabilização do solo (≈ 32.000 m² construídos e pavimentados) e escoamento pluvial</v>
      </c>
      <c r="J39" s="24" t="str">
        <f>INDEX(Aspetos_Impactes!$H$5:$H$47,33)</f>
        <v>Direto</v>
      </c>
      <c r="K39" s="24" t="str">
        <f>INDEX(Aspetos_Impactes!$I$5:$I$47,33)</f>
        <v>Normal</v>
      </c>
      <c r="L39" s="24" t="str">
        <f>INDEX(Aspetos_Impactes!$J$5:$J$47,33)</f>
        <v>Passado</v>
      </c>
      <c r="M39" s="25" t="str">
        <f>IF(COUNTIFS(tbl_aspeto_impacte[ID_Aspeto],$B39,tbl_aspeto_impacte[ID_Impacte],"IMP-01")&gt;0,"X","")</f>
        <v/>
      </c>
      <c r="N39" s="25" t="str">
        <f>IF(COUNTIFS(tbl_aspeto_impacte[ID_Aspeto],$B39,tbl_aspeto_impacte[ID_Impacte],"IMP-02")&gt;0,"X","")</f>
        <v>X</v>
      </c>
      <c r="O39" s="25" t="str">
        <f>IF(COUNTIFS(tbl_aspeto_impacte[ID_Aspeto],$B39,tbl_aspeto_impacte[ID_Impacte],"IMP-03")&gt;0,"X","")</f>
        <v/>
      </c>
      <c r="P39" s="25" t="str">
        <f>IF(COUNTIFS(tbl_aspeto_impacte[ID_Aspeto],$B39,tbl_aspeto_impacte[ID_Impacte],"IMP-04")&gt;0,"X","")</f>
        <v/>
      </c>
      <c r="Q39" s="25" t="str">
        <f>IF(COUNTIFS(tbl_aspeto_impacte[ID_Aspeto],$B39,tbl_aspeto_impacte[ID_Impacte],"IMP-05")&gt;0,"X","")</f>
        <v/>
      </c>
      <c r="R39" s="25" t="str">
        <f>IF(COUNTIFS(tbl_aspeto_impacte[ID_Aspeto],$B39,tbl_aspeto_impacte[ID_Impacte],"IMP-06")&gt;0,"X","")</f>
        <v>X</v>
      </c>
      <c r="S39" s="25" t="str">
        <f>IF(COUNTIFS(tbl_aspeto_impacte[ID_Aspeto],$B39,tbl_aspeto_impacte[ID_Impacte],"IMP-07")&gt;0,"X","")</f>
        <v/>
      </c>
      <c r="T39" s="25" t="str">
        <f>IF(COUNTIFS(tbl_aspeto_impacte[ID_Aspeto],$B39,tbl_aspeto_impacte[ID_Impacte],"IMP-08")&gt;0,"X","")</f>
        <v/>
      </c>
      <c r="U39" s="25" t="str">
        <f>IF(COUNTIFS(tbl_aspeto_impacte[ID_Aspeto],$B39,tbl_aspeto_impacte[ID_Impacte],"IMP-09")&gt;0,"X","")</f>
        <v/>
      </c>
      <c r="V39" s="25" t="str">
        <f>IF(COUNTIFS(tbl_aspeto_impacte[ID_Aspeto],$B39,tbl_aspeto_impacte[ID_Impacte],"IMP-10")&gt;0,"X","")</f>
        <v/>
      </c>
      <c r="W39" s="25" t="str">
        <f>IF(COUNTIFS(tbl_aspeto_impacte[ID_Aspeto],$B39,tbl_aspeto_impacte[ID_Impacte],"IMP-11")&gt;0,"X","")</f>
        <v/>
      </c>
      <c r="X39" s="25" t="str">
        <f>IF(COUNTIFS(tbl_aspeto_impacte[ID_Aspeto],$B39,tbl_aspeto_impacte[ID_Impacte],"IMP-12")&gt;0,"X","")</f>
        <v/>
      </c>
      <c r="Y39" s="25" t="str">
        <f>LEFT(INDEX(Aspetos_Impactes!$R$5:$R$47,33),3)</f>
        <v>(+)</v>
      </c>
      <c r="Z39" s="25">
        <f>INDEX(Aspetos_Impactes!$N$5:$N$47,33)</f>
        <v>5</v>
      </c>
      <c r="AA39" s="25">
        <f>INDEX(Aspetos_Impactes!$O$5:$O$47,33)</f>
        <v>3</v>
      </c>
      <c r="AB39" s="25">
        <f>INDEX(Aspetos_Impactes!$P$5:$P$47,33)</f>
        <v>2</v>
      </c>
      <c r="AC39" s="25">
        <f>INDEX(Aspetos_Impactes!$Q$5:$Q$47,33)</f>
        <v>1</v>
      </c>
      <c r="AD39" s="25">
        <f>INDEX(Aspetos_Impactes!$S$5:$S$47,33)</f>
        <v>16</v>
      </c>
      <c r="AE39" s="25" t="str">
        <f>INDEX(Aspetos_Impactes!$T$5:$T$47,33)</f>
        <v>Não Significativo</v>
      </c>
      <c r="AF39" s="24" t="str">
        <f>INDEX(Aspetos_Impactes!$W$5:$W$47,33)</f>
        <v>NÃO</v>
      </c>
      <c r="AG39" s="24" t="str">
        <f>INDEX(Aspetos_Impactes!$X$5:$X$47,33)</f>
        <v>Áreas verdes com espécies nativas; pavimento permeável em ampliações.</v>
      </c>
    </row>
    <row r="40" spans="1:33" ht="48" customHeight="1" x14ac:dyDescent="0.3">
      <c r="A40" s="24" t="str">
        <f>INDEX(Aspetos_Impactes!$C$5:$C$47,34)&amp;" — "&amp;INDEX(Aspetos_Impactes!$D$5:$D$47,34)</f>
        <v>Geral — Incêndio na instalação</v>
      </c>
      <c r="B40" s="24" t="str">
        <f>INDEX(Aspetos_Impactes!$A$5:$A$47,34)</f>
        <v>AA-034</v>
      </c>
      <c r="C40" s="25" t="str">
        <f>IF(INDEX(Aspetos_Impactes!$E$5:$E$47,34)="Aquisição","X","")</f>
        <v/>
      </c>
      <c r="D40" s="25" t="str">
        <f>IF(INDEX(Aspetos_Impactes!$E$5:$E$47,34)="Design e Conceção","X","")</f>
        <v/>
      </c>
      <c r="E40" s="25" t="str">
        <f>IF(INDEX(Aspetos_Impactes!$E$5:$E$47,34)="Produção","X","")</f>
        <v>X</v>
      </c>
      <c r="F40" s="25" t="str">
        <f>IF(INDEX(Aspetos_Impactes!$E$5:$E$47,34)="Distribuição","X","")</f>
        <v/>
      </c>
      <c r="G40" s="25" t="str">
        <f>IF(INDEX(Aspetos_Impactes!$E$5:$E$47,34)="Uso (Consumidor Final)","X","")</f>
        <v/>
      </c>
      <c r="H40" s="25" t="str">
        <f>IF(INDEX(Aspetos_Impactes!$E$5:$E$47,34)="Fim de Vida","X","")</f>
        <v/>
      </c>
      <c r="I40" s="24" t="str">
        <f>INDEX(Aspetos_Impactes!$G$5:$G$47,34)</f>
        <v>Fumos de combustão de plástico e águas de combate contaminadas (incêndio)</v>
      </c>
      <c r="J40" s="24" t="str">
        <f>INDEX(Aspetos_Impactes!$H$5:$H$47,34)</f>
        <v>Direto</v>
      </c>
      <c r="K40" s="24" t="str">
        <f>INDEX(Aspetos_Impactes!$I$5:$I$47,34)</f>
        <v>Emergência</v>
      </c>
      <c r="L40" s="24" t="str">
        <f>INDEX(Aspetos_Impactes!$J$5:$J$47,34)</f>
        <v>Futuro</v>
      </c>
      <c r="M40" s="25" t="str">
        <f>IF(COUNTIFS(tbl_aspeto_impacte[ID_Aspeto],$B40,tbl_aspeto_impacte[ID_Impacte],"IMP-01")&gt;0,"X","")</f>
        <v/>
      </c>
      <c r="N40" s="25" t="str">
        <f>IF(COUNTIFS(tbl_aspeto_impacte[ID_Aspeto],$B40,tbl_aspeto_impacte[ID_Impacte],"IMP-02")&gt;0,"X","")</f>
        <v>X</v>
      </c>
      <c r="O40" s="25" t="str">
        <f>IF(COUNTIFS(tbl_aspeto_impacte[ID_Aspeto],$B40,tbl_aspeto_impacte[ID_Impacte],"IMP-03")&gt;0,"X","")</f>
        <v>X</v>
      </c>
      <c r="P40" s="25" t="str">
        <f>IF(COUNTIFS(tbl_aspeto_impacte[ID_Aspeto],$B40,tbl_aspeto_impacte[ID_Impacte],"IMP-04")&gt;0,"X","")</f>
        <v/>
      </c>
      <c r="Q40" s="25" t="str">
        <f>IF(COUNTIFS(tbl_aspeto_impacte[ID_Aspeto],$B40,tbl_aspeto_impacte[ID_Impacte],"IMP-05")&gt;0,"X","")</f>
        <v/>
      </c>
      <c r="R40" s="25" t="str">
        <f>IF(COUNTIFS(tbl_aspeto_impacte[ID_Aspeto],$B40,tbl_aspeto_impacte[ID_Impacte],"IMP-06")&gt;0,"X","")</f>
        <v>X</v>
      </c>
      <c r="S40" s="25" t="str">
        <f>IF(COUNTIFS(tbl_aspeto_impacte[ID_Aspeto],$B40,tbl_aspeto_impacte[ID_Impacte],"IMP-07")&gt;0,"X","")</f>
        <v/>
      </c>
      <c r="T40" s="25" t="str">
        <f>IF(COUNTIFS(tbl_aspeto_impacte[ID_Aspeto],$B40,tbl_aspeto_impacte[ID_Impacte],"IMP-08")&gt;0,"X","")</f>
        <v/>
      </c>
      <c r="U40" s="25" t="str">
        <f>IF(COUNTIFS(tbl_aspeto_impacte[ID_Aspeto],$B40,tbl_aspeto_impacte[ID_Impacte],"IMP-09")&gt;0,"X","")</f>
        <v/>
      </c>
      <c r="V40" s="25" t="str">
        <f>IF(COUNTIFS(tbl_aspeto_impacte[ID_Aspeto],$B40,tbl_aspeto_impacte[ID_Impacte],"IMP-10")&gt;0,"X","")</f>
        <v/>
      </c>
      <c r="W40" s="25" t="str">
        <f>IF(COUNTIFS(tbl_aspeto_impacte[ID_Aspeto],$B40,tbl_aspeto_impacte[ID_Impacte],"IMP-11")&gt;0,"X","")</f>
        <v/>
      </c>
      <c r="X40" s="25" t="str">
        <f>IF(COUNTIFS(tbl_aspeto_impacte[ID_Aspeto],$B40,tbl_aspeto_impacte[ID_Impacte],"IMP-12")&gt;0,"X","")</f>
        <v/>
      </c>
      <c r="Y40" s="25" t="str">
        <f>LEFT(INDEX(Aspetos_Impactes!$R$5:$R$47,34),3)</f>
        <v>(+)</v>
      </c>
      <c r="Z40" s="25">
        <f>INDEX(Aspetos_Impactes!$N$5:$N$47,34)</f>
        <v>1</v>
      </c>
      <c r="AA40" s="25">
        <f>INDEX(Aspetos_Impactes!$O$5:$O$47,34)</f>
        <v>5</v>
      </c>
      <c r="AB40" s="25">
        <f>INDEX(Aspetos_Impactes!$P$5:$P$47,34)</f>
        <v>5</v>
      </c>
      <c r="AC40" s="25">
        <f>INDEX(Aspetos_Impactes!$Q$5:$Q$47,34)</f>
        <v>1</v>
      </c>
      <c r="AD40" s="25">
        <f>INDEX(Aspetos_Impactes!$S$5:$S$47,34)</f>
        <v>30</v>
      </c>
      <c r="AE40" s="25" t="str">
        <f>INDEX(Aspetos_Impactes!$T$5:$T$47,34)</f>
        <v>Moderado</v>
      </c>
      <c r="AF40" s="24" t="str">
        <f>INDEX(Aspetos_Impactes!$W$5:$W$47,34)</f>
        <v>SIM</v>
      </c>
      <c r="AG40" s="24" t="str">
        <f>INDEX(Aspetos_Impactes!$X$5:$X$47,34)</f>
        <v>Deteção, válvula de corte pluvial, simulacro anual, faixa de gestão de combustível.</v>
      </c>
    </row>
    <row r="41" spans="1:33" ht="48" customHeight="1" x14ac:dyDescent="0.3">
      <c r="A41" s="24" t="str">
        <f>INDEX(Aspetos_Impactes!$C$5:$C$47,35)&amp;" — "&amp;INDEX(Aspetos_Impactes!$D$5:$D$47,35)</f>
        <v>Geral — Uso de instalações sanitárias</v>
      </c>
      <c r="B41" s="24" t="str">
        <f>INDEX(Aspetos_Impactes!$A$5:$A$47,35)</f>
        <v>AA-035</v>
      </c>
      <c r="C41" s="25" t="str">
        <f>IF(INDEX(Aspetos_Impactes!$E$5:$E$47,35)="Aquisição","X","")</f>
        <v/>
      </c>
      <c r="D41" s="25" t="str">
        <f>IF(INDEX(Aspetos_Impactes!$E$5:$E$47,35)="Design e Conceção","X","")</f>
        <v/>
      </c>
      <c r="E41" s="25" t="str">
        <f>IF(INDEX(Aspetos_Impactes!$E$5:$E$47,35)="Produção","X","")</f>
        <v>X</v>
      </c>
      <c r="F41" s="25" t="str">
        <f>IF(INDEX(Aspetos_Impactes!$E$5:$E$47,35)="Distribuição","X","")</f>
        <v/>
      </c>
      <c r="G41" s="25" t="str">
        <f>IF(INDEX(Aspetos_Impactes!$E$5:$E$47,35)="Uso (Consumidor Final)","X","")</f>
        <v/>
      </c>
      <c r="H41" s="25" t="str">
        <f>IF(INDEX(Aspetos_Impactes!$E$5:$E$47,35)="Fim de Vida","X","")</f>
        <v/>
      </c>
      <c r="I41" s="24" t="str">
        <f>INDEX(Aspetos_Impactes!$G$5:$G$47,35)</f>
        <v>Águas residuais domésticas descarregadas no coletor municipal</v>
      </c>
      <c r="J41" s="24" t="str">
        <f>INDEX(Aspetos_Impactes!$H$5:$H$47,35)</f>
        <v>Direto</v>
      </c>
      <c r="K41" s="24" t="str">
        <f>INDEX(Aspetos_Impactes!$I$5:$I$47,35)</f>
        <v>Normal</v>
      </c>
      <c r="L41" s="24" t="str">
        <f>INDEX(Aspetos_Impactes!$J$5:$J$47,35)</f>
        <v>Presente</v>
      </c>
      <c r="M41" s="25" t="str">
        <f>IF(COUNTIFS(tbl_aspeto_impacte[ID_Aspeto],$B41,tbl_aspeto_impacte[ID_Impacte],"IMP-01")&gt;0,"X","")</f>
        <v/>
      </c>
      <c r="N41" s="25" t="str">
        <f>IF(COUNTIFS(tbl_aspeto_impacte[ID_Aspeto],$B41,tbl_aspeto_impacte[ID_Impacte],"IMP-02")&gt;0,"X","")</f>
        <v>X</v>
      </c>
      <c r="O41" s="25" t="str">
        <f>IF(COUNTIFS(tbl_aspeto_impacte[ID_Aspeto],$B41,tbl_aspeto_impacte[ID_Impacte],"IMP-03")&gt;0,"X","")</f>
        <v/>
      </c>
      <c r="P41" s="25" t="str">
        <f>IF(COUNTIFS(tbl_aspeto_impacte[ID_Aspeto],$B41,tbl_aspeto_impacte[ID_Impacte],"IMP-04")&gt;0,"X","")</f>
        <v/>
      </c>
      <c r="Q41" s="25" t="str">
        <f>IF(COUNTIFS(tbl_aspeto_impacte[ID_Aspeto],$B41,tbl_aspeto_impacte[ID_Impacte],"IMP-05")&gt;0,"X","")</f>
        <v/>
      </c>
      <c r="R41" s="25" t="str">
        <f>IF(COUNTIFS(tbl_aspeto_impacte[ID_Aspeto],$B41,tbl_aspeto_impacte[ID_Impacte],"IMP-06")&gt;0,"X","")</f>
        <v/>
      </c>
      <c r="S41" s="25" t="str">
        <f>IF(COUNTIFS(tbl_aspeto_impacte[ID_Aspeto],$B41,tbl_aspeto_impacte[ID_Impacte],"IMP-07")&gt;0,"X","")</f>
        <v/>
      </c>
      <c r="T41" s="25" t="str">
        <f>IF(COUNTIFS(tbl_aspeto_impacte[ID_Aspeto],$B41,tbl_aspeto_impacte[ID_Impacte],"IMP-08")&gt;0,"X","")</f>
        <v/>
      </c>
      <c r="U41" s="25" t="str">
        <f>IF(COUNTIFS(tbl_aspeto_impacte[ID_Aspeto],$B41,tbl_aspeto_impacte[ID_Impacte],"IMP-09")&gt;0,"X","")</f>
        <v/>
      </c>
      <c r="V41" s="25" t="str">
        <f>IF(COUNTIFS(tbl_aspeto_impacte[ID_Aspeto],$B41,tbl_aspeto_impacte[ID_Impacte],"IMP-10")&gt;0,"X","")</f>
        <v/>
      </c>
      <c r="W41" s="25" t="str">
        <f>IF(COUNTIFS(tbl_aspeto_impacte[ID_Aspeto],$B41,tbl_aspeto_impacte[ID_Impacte],"IMP-11")&gt;0,"X","")</f>
        <v/>
      </c>
      <c r="X41" s="25" t="str">
        <f>IF(COUNTIFS(tbl_aspeto_impacte[ID_Aspeto],$B41,tbl_aspeto_impacte[ID_Impacte],"IMP-12")&gt;0,"X","")</f>
        <v/>
      </c>
      <c r="Y41" s="25" t="str">
        <f>LEFT(INDEX(Aspetos_Impactes!$R$5:$R$47,35),3)</f>
        <v>(+)</v>
      </c>
      <c r="Z41" s="25">
        <f>INDEX(Aspetos_Impactes!$N$5:$N$47,35)</f>
        <v>5</v>
      </c>
      <c r="AA41" s="25">
        <f>INDEX(Aspetos_Impactes!$O$5:$O$47,35)</f>
        <v>2</v>
      </c>
      <c r="AB41" s="25">
        <f>INDEX(Aspetos_Impactes!$P$5:$P$47,35)</f>
        <v>2</v>
      </c>
      <c r="AC41" s="25">
        <f>INDEX(Aspetos_Impactes!$Q$5:$Q$47,35)</f>
        <v>1</v>
      </c>
      <c r="AD41" s="25">
        <f>INDEX(Aspetos_Impactes!$S$5:$S$47,35)</f>
        <v>14</v>
      </c>
      <c r="AE41" s="25" t="str">
        <f>INDEX(Aspetos_Impactes!$T$5:$T$47,35)</f>
        <v>Não Significativo</v>
      </c>
      <c r="AF41" s="24" t="str">
        <f>INDEX(Aspetos_Impactes!$W$5:$W$47,35)</f>
        <v>NÃO</v>
      </c>
      <c r="AG41" s="24" t="str">
        <f>INDEX(Aspetos_Impactes!$X$5:$X$47,35)</f>
        <v>—</v>
      </c>
    </row>
    <row r="42" spans="1:33" ht="48" customHeight="1" x14ac:dyDescent="0.3">
      <c r="A42" s="24" t="str">
        <f>INDEX(Aspetos_Impactes!$C$5:$C$47,36)&amp;" — "&amp;INDEX(Aspetos_Impactes!$D$5:$D$47,36)</f>
        <v>Administrativos — Trabalho de escritório</v>
      </c>
      <c r="B42" s="24" t="str">
        <f>INDEX(Aspetos_Impactes!$A$5:$A$47,36)</f>
        <v>AA-036</v>
      </c>
      <c r="C42" s="25" t="str">
        <f>IF(INDEX(Aspetos_Impactes!$E$5:$E$47,36)="Aquisição","X","")</f>
        <v/>
      </c>
      <c r="D42" s="25" t="str">
        <f>IF(INDEX(Aspetos_Impactes!$E$5:$E$47,36)="Design e Conceção","X","")</f>
        <v/>
      </c>
      <c r="E42" s="25" t="str">
        <f>IF(INDEX(Aspetos_Impactes!$E$5:$E$47,36)="Produção","X","")</f>
        <v>X</v>
      </c>
      <c r="F42" s="25" t="str">
        <f>IF(INDEX(Aspetos_Impactes!$E$5:$E$47,36)="Distribuição","X","")</f>
        <v/>
      </c>
      <c r="G42" s="25" t="str">
        <f>IF(INDEX(Aspetos_Impactes!$E$5:$E$47,36)="Uso (Consumidor Final)","X","")</f>
        <v/>
      </c>
      <c r="H42" s="25" t="str">
        <f>IF(INDEX(Aspetos_Impactes!$E$5:$E$47,36)="Fim de Vida","X","")</f>
        <v/>
      </c>
      <c r="I42" s="24" t="str">
        <f>INDEX(Aspetos_Impactes!$G$5:$G$47,36)</f>
        <v>Consumo de papel e toners</v>
      </c>
      <c r="J42" s="24" t="str">
        <f>INDEX(Aspetos_Impactes!$H$5:$H$47,36)</f>
        <v>Direto</v>
      </c>
      <c r="K42" s="24" t="str">
        <f>INDEX(Aspetos_Impactes!$I$5:$I$47,36)</f>
        <v>Normal</v>
      </c>
      <c r="L42" s="24" t="str">
        <f>INDEX(Aspetos_Impactes!$J$5:$J$47,36)</f>
        <v>Presente</v>
      </c>
      <c r="M42" s="25" t="str">
        <f>IF(COUNTIFS(tbl_aspeto_impacte[ID_Aspeto],$B42,tbl_aspeto_impacte[ID_Impacte],"IMP-01")&gt;0,"X","")</f>
        <v>X</v>
      </c>
      <c r="N42" s="25" t="str">
        <f>IF(COUNTIFS(tbl_aspeto_impacte[ID_Aspeto],$B42,tbl_aspeto_impacte[ID_Impacte],"IMP-02")&gt;0,"X","")</f>
        <v/>
      </c>
      <c r="O42" s="25" t="str">
        <f>IF(COUNTIFS(tbl_aspeto_impacte[ID_Aspeto],$B42,tbl_aspeto_impacte[ID_Impacte],"IMP-03")&gt;0,"X","")</f>
        <v/>
      </c>
      <c r="P42" s="25" t="str">
        <f>IF(COUNTIFS(tbl_aspeto_impacte[ID_Aspeto],$B42,tbl_aspeto_impacte[ID_Impacte],"IMP-04")&gt;0,"X","")</f>
        <v/>
      </c>
      <c r="Q42" s="25" t="str">
        <f>IF(COUNTIFS(tbl_aspeto_impacte[ID_Aspeto],$B42,tbl_aspeto_impacte[ID_Impacte],"IMP-05")&gt;0,"X","")</f>
        <v/>
      </c>
      <c r="R42" s="25" t="str">
        <f>IF(COUNTIFS(tbl_aspeto_impacte[ID_Aspeto],$B42,tbl_aspeto_impacte[ID_Impacte],"IMP-06")&gt;0,"X","")</f>
        <v/>
      </c>
      <c r="S42" s="25" t="str">
        <f>IF(COUNTIFS(tbl_aspeto_impacte[ID_Aspeto],$B42,tbl_aspeto_impacte[ID_Impacte],"IMP-07")&gt;0,"X","")</f>
        <v>X</v>
      </c>
      <c r="T42" s="25" t="str">
        <f>IF(COUNTIFS(tbl_aspeto_impacte[ID_Aspeto],$B42,tbl_aspeto_impacte[ID_Impacte],"IMP-08")&gt;0,"X","")</f>
        <v/>
      </c>
      <c r="U42" s="25" t="str">
        <f>IF(COUNTIFS(tbl_aspeto_impacte[ID_Aspeto],$B42,tbl_aspeto_impacte[ID_Impacte],"IMP-09")&gt;0,"X","")</f>
        <v/>
      </c>
      <c r="V42" s="25" t="str">
        <f>IF(COUNTIFS(tbl_aspeto_impacte[ID_Aspeto],$B42,tbl_aspeto_impacte[ID_Impacte],"IMP-10")&gt;0,"X","")</f>
        <v/>
      </c>
      <c r="W42" s="25" t="str">
        <f>IF(COUNTIFS(tbl_aspeto_impacte[ID_Aspeto],$B42,tbl_aspeto_impacte[ID_Impacte],"IMP-11")&gt;0,"X","")</f>
        <v/>
      </c>
      <c r="X42" s="25" t="str">
        <f>IF(COUNTIFS(tbl_aspeto_impacte[ID_Aspeto],$B42,tbl_aspeto_impacte[ID_Impacte],"IMP-12")&gt;0,"X","")</f>
        <v/>
      </c>
      <c r="Y42" s="25" t="str">
        <f>LEFT(INDEX(Aspetos_Impactes!$R$5:$R$47,36),3)</f>
        <v>(+)</v>
      </c>
      <c r="Z42" s="25">
        <f>INDEX(Aspetos_Impactes!$N$5:$N$47,36)</f>
        <v>4</v>
      </c>
      <c r="AA42" s="25">
        <f>INDEX(Aspetos_Impactes!$O$5:$O$47,36)</f>
        <v>1</v>
      </c>
      <c r="AB42" s="25">
        <f>INDEX(Aspetos_Impactes!$P$5:$P$47,36)</f>
        <v>1</v>
      </c>
      <c r="AC42" s="25">
        <f>INDEX(Aspetos_Impactes!$Q$5:$Q$47,36)</f>
        <v>1</v>
      </c>
      <c r="AD42" s="25">
        <f>INDEX(Aspetos_Impactes!$S$5:$S$47,36)</f>
        <v>5</v>
      </c>
      <c r="AE42" s="25" t="str">
        <f>INDEX(Aspetos_Impactes!$T$5:$T$47,36)</f>
        <v>Não Significativo</v>
      </c>
      <c r="AF42" s="24" t="str">
        <f>INDEX(Aspetos_Impactes!$W$5:$W$47,36)</f>
        <v>NÃO</v>
      </c>
      <c r="AG42" s="24" t="str">
        <f>INDEX(Aspetos_Impactes!$X$5:$X$47,36)</f>
        <v>Documentação digital.</v>
      </c>
    </row>
    <row r="43" spans="1:33" ht="48" customHeight="1" x14ac:dyDescent="0.3">
      <c r="A43" s="24" t="str">
        <f>INDEX(Aspetos_Impactes!$C$5:$C$47,37)&amp;" — "&amp;INDEX(Aspetos_Impactes!$D$5:$D$47,37)</f>
        <v>R&amp;D — Conceção de novas embalagens</v>
      </c>
      <c r="B43" s="24" t="str">
        <f>INDEX(Aspetos_Impactes!$A$5:$A$47,37)</f>
        <v>AA-037</v>
      </c>
      <c r="C43" s="25" t="str">
        <f>IF(INDEX(Aspetos_Impactes!$E$5:$E$47,37)="Aquisição","X","")</f>
        <v/>
      </c>
      <c r="D43" s="25" t="str">
        <f>IF(INDEX(Aspetos_Impactes!$E$5:$E$47,37)="Design e Conceção","X","")</f>
        <v>X</v>
      </c>
      <c r="E43" s="25" t="str">
        <f>IF(INDEX(Aspetos_Impactes!$E$5:$E$47,37)="Produção","X","")</f>
        <v/>
      </c>
      <c r="F43" s="25" t="str">
        <f>IF(INDEX(Aspetos_Impactes!$E$5:$E$47,37)="Distribuição","X","")</f>
        <v/>
      </c>
      <c r="G43" s="25" t="str">
        <f>IF(INDEX(Aspetos_Impactes!$E$5:$E$47,37)="Uso (Consumidor Final)","X","")</f>
        <v/>
      </c>
      <c r="H43" s="25" t="str">
        <f>IF(INDEX(Aspetos_Impactes!$E$5:$E$47,37)="Fim de Vida","X","")</f>
        <v/>
      </c>
      <c r="I43" s="24" t="str">
        <f>INDEX(Aspetos_Impactes!$G$5:$G$47,37)</f>
        <v>Escolha de material, peso e combinação de componentes das embalagens (define impactes a montante e no fim de vida)</v>
      </c>
      <c r="J43" s="24" t="str">
        <f>INDEX(Aspetos_Impactes!$H$5:$H$47,37)</f>
        <v>Direto</v>
      </c>
      <c r="K43" s="24" t="str">
        <f>INDEX(Aspetos_Impactes!$I$5:$I$47,37)</f>
        <v>Normal</v>
      </c>
      <c r="L43" s="24" t="str">
        <f>INDEX(Aspetos_Impactes!$J$5:$J$47,37)</f>
        <v>Presente</v>
      </c>
      <c r="M43" s="25" t="str">
        <f>IF(COUNTIFS(tbl_aspeto_impacte[ID_Aspeto],$B43,tbl_aspeto_impacte[ID_Impacte],"IMP-01")&gt;0,"X","")</f>
        <v>X</v>
      </c>
      <c r="N43" s="25" t="str">
        <f>IF(COUNTIFS(tbl_aspeto_impacte[ID_Aspeto],$B43,tbl_aspeto_impacte[ID_Impacte],"IMP-02")&gt;0,"X","")</f>
        <v/>
      </c>
      <c r="O43" s="25" t="str">
        <f>IF(COUNTIFS(tbl_aspeto_impacte[ID_Aspeto],$B43,tbl_aspeto_impacte[ID_Impacte],"IMP-03")&gt;0,"X","")</f>
        <v/>
      </c>
      <c r="P43" s="25" t="str">
        <f>IF(COUNTIFS(tbl_aspeto_impacte[ID_Aspeto],$B43,tbl_aspeto_impacte[ID_Impacte],"IMP-04")&gt;0,"X","")</f>
        <v/>
      </c>
      <c r="Q43" s="25" t="str">
        <f>IF(COUNTIFS(tbl_aspeto_impacte[ID_Aspeto],$B43,tbl_aspeto_impacte[ID_Impacte],"IMP-05")&gt;0,"X","")</f>
        <v/>
      </c>
      <c r="R43" s="25" t="str">
        <f>IF(COUNTIFS(tbl_aspeto_impacte[ID_Aspeto],$B43,tbl_aspeto_impacte[ID_Impacte],"IMP-06")&gt;0,"X","")</f>
        <v/>
      </c>
      <c r="S43" s="25" t="str">
        <f>IF(COUNTIFS(tbl_aspeto_impacte[ID_Aspeto],$B43,tbl_aspeto_impacte[ID_Impacte],"IMP-07")&gt;0,"X","")</f>
        <v>X</v>
      </c>
      <c r="T43" s="25" t="str">
        <f>IF(COUNTIFS(tbl_aspeto_impacte[ID_Aspeto],$B43,tbl_aspeto_impacte[ID_Impacte],"IMP-08")&gt;0,"X","")</f>
        <v/>
      </c>
      <c r="U43" s="25" t="str">
        <f>IF(COUNTIFS(tbl_aspeto_impacte[ID_Aspeto],$B43,tbl_aspeto_impacte[ID_Impacte],"IMP-09")&gt;0,"X","")</f>
        <v/>
      </c>
      <c r="V43" s="25" t="str">
        <f>IF(COUNTIFS(tbl_aspeto_impacte[ID_Aspeto],$B43,tbl_aspeto_impacte[ID_Impacte],"IMP-10")&gt;0,"X","")</f>
        <v/>
      </c>
      <c r="W43" s="25" t="str">
        <f>IF(COUNTIFS(tbl_aspeto_impacte[ID_Aspeto],$B43,tbl_aspeto_impacte[ID_Impacte],"IMP-11")&gt;0,"X","")</f>
        <v/>
      </c>
      <c r="X43" s="25" t="str">
        <f>IF(COUNTIFS(tbl_aspeto_impacte[ID_Aspeto],$B43,tbl_aspeto_impacte[ID_Impacte],"IMP-12")&gt;0,"X","")</f>
        <v/>
      </c>
      <c r="Y43" s="25" t="str">
        <f>LEFT(INDEX(Aspetos_Impactes!$R$5:$R$47,37),3)</f>
        <v>(+)</v>
      </c>
      <c r="Z43" s="25">
        <f>INDEX(Aspetos_Impactes!$N$5:$N$47,37)</f>
        <v>4</v>
      </c>
      <c r="AA43" s="25">
        <f>INDEX(Aspetos_Impactes!$O$5:$O$47,37)</f>
        <v>5</v>
      </c>
      <c r="AB43" s="25">
        <f>INDEX(Aspetos_Impactes!$P$5:$P$47,37)</f>
        <v>3</v>
      </c>
      <c r="AC43" s="25">
        <f>INDEX(Aspetos_Impactes!$Q$5:$Q$47,37)</f>
        <v>1</v>
      </c>
      <c r="AD43" s="25">
        <f>INDEX(Aspetos_Impactes!$S$5:$S$47,37)</f>
        <v>27</v>
      </c>
      <c r="AE43" s="25" t="str">
        <f>INDEX(Aspetos_Impactes!$T$5:$T$47,37)</f>
        <v>Moderado</v>
      </c>
      <c r="AF43" s="24" t="str">
        <f>INDEX(Aspetos_Impactes!$W$5:$W$47,37)</f>
        <v>SIM</v>
      </c>
      <c r="AG43" s="24" t="str">
        <f>INDEX(Aspetos_Impactes!$X$5:$X$47,37)</f>
        <v>Checklist Design for Recycling; monomaterial; redução de peso.</v>
      </c>
    </row>
    <row r="44" spans="1:33" ht="48" customHeight="1" x14ac:dyDescent="0.3">
      <c r="A44" s="24" t="str">
        <f>INDEX(Aspetos_Impactes!$C$5:$C$47,38)&amp;" — "&amp;INDEX(Aspetos_Impactes!$D$5:$D$47,38)</f>
        <v>R&amp;D — Colocação de embalagens no mercado UE</v>
      </c>
      <c r="B44" s="24" t="str">
        <f>INDEX(Aspetos_Impactes!$A$5:$A$47,38)</f>
        <v>AA-038</v>
      </c>
      <c r="C44" s="25" t="str">
        <f>IF(INDEX(Aspetos_Impactes!$E$5:$E$47,38)="Aquisição","X","")</f>
        <v/>
      </c>
      <c r="D44" s="25" t="str">
        <f>IF(INDEX(Aspetos_Impactes!$E$5:$E$47,38)="Design e Conceção","X","")</f>
        <v>X</v>
      </c>
      <c r="E44" s="25" t="str">
        <f>IF(INDEX(Aspetos_Impactes!$E$5:$E$47,38)="Produção","X","")</f>
        <v/>
      </c>
      <c r="F44" s="25" t="str">
        <f>IF(INDEX(Aspetos_Impactes!$E$5:$E$47,38)="Distribuição","X","")</f>
        <v/>
      </c>
      <c r="G44" s="25" t="str">
        <f>IF(INDEX(Aspetos_Impactes!$E$5:$E$47,38)="Uso (Consumidor Final)","X","")</f>
        <v/>
      </c>
      <c r="H44" s="25" t="str">
        <f>IF(INDEX(Aspetos_Impactes!$E$5:$E$47,38)="Fim de Vida","X","")</f>
        <v/>
      </c>
      <c r="I44" s="24" t="str">
        <f>INDEX(Aspetos_Impactes!$G$5:$G$47,38)</f>
        <v>Embalagens colocadas no mercado sem documentação técnica nem declaração UE de conformidade PPWR</v>
      </c>
      <c r="J44" s="24" t="str">
        <f>INDEX(Aspetos_Impactes!$H$5:$H$47,38)</f>
        <v>Direto</v>
      </c>
      <c r="K44" s="24" t="str">
        <f>INDEX(Aspetos_Impactes!$I$5:$I$47,38)</f>
        <v>Normal</v>
      </c>
      <c r="L44" s="24" t="str">
        <f>INDEX(Aspetos_Impactes!$J$5:$J$47,38)</f>
        <v>Presente</v>
      </c>
      <c r="M44" s="25" t="str">
        <f>IF(COUNTIFS(tbl_aspeto_impacte[ID_Aspeto],$B44,tbl_aspeto_impacte[ID_Impacte],"IMP-01")&gt;0,"X","")</f>
        <v>X</v>
      </c>
      <c r="N44" s="25" t="str">
        <f>IF(COUNTIFS(tbl_aspeto_impacte[ID_Aspeto],$B44,tbl_aspeto_impacte[ID_Impacte],"IMP-02")&gt;0,"X","")</f>
        <v/>
      </c>
      <c r="O44" s="25" t="str">
        <f>IF(COUNTIFS(tbl_aspeto_impacte[ID_Aspeto],$B44,tbl_aspeto_impacte[ID_Impacte],"IMP-03")&gt;0,"X","")</f>
        <v/>
      </c>
      <c r="P44" s="25" t="str">
        <f>IF(COUNTIFS(tbl_aspeto_impacte[ID_Aspeto],$B44,tbl_aspeto_impacte[ID_Impacte],"IMP-04")&gt;0,"X","")</f>
        <v/>
      </c>
      <c r="Q44" s="25" t="str">
        <f>IF(COUNTIFS(tbl_aspeto_impacte[ID_Aspeto],$B44,tbl_aspeto_impacte[ID_Impacte],"IMP-05")&gt;0,"X","")</f>
        <v/>
      </c>
      <c r="R44" s="25" t="str">
        <f>IF(COUNTIFS(tbl_aspeto_impacte[ID_Aspeto],$B44,tbl_aspeto_impacte[ID_Impacte],"IMP-06")&gt;0,"X","")</f>
        <v/>
      </c>
      <c r="S44" s="25" t="str">
        <f>IF(COUNTIFS(tbl_aspeto_impacte[ID_Aspeto],$B44,tbl_aspeto_impacte[ID_Impacte],"IMP-07")&gt;0,"X","")</f>
        <v>X</v>
      </c>
      <c r="T44" s="25" t="str">
        <f>IF(COUNTIFS(tbl_aspeto_impacte[ID_Aspeto],$B44,tbl_aspeto_impacte[ID_Impacte],"IMP-08")&gt;0,"X","")</f>
        <v/>
      </c>
      <c r="U44" s="25" t="str">
        <f>IF(COUNTIFS(tbl_aspeto_impacte[ID_Aspeto],$B44,tbl_aspeto_impacte[ID_Impacte],"IMP-09")&gt;0,"X","")</f>
        <v/>
      </c>
      <c r="V44" s="25" t="str">
        <f>IF(COUNTIFS(tbl_aspeto_impacte[ID_Aspeto],$B44,tbl_aspeto_impacte[ID_Impacte],"IMP-10")&gt;0,"X","")</f>
        <v/>
      </c>
      <c r="W44" s="25" t="str">
        <f>IF(COUNTIFS(tbl_aspeto_impacte[ID_Aspeto],$B44,tbl_aspeto_impacte[ID_Impacte],"IMP-11")&gt;0,"X","")</f>
        <v/>
      </c>
      <c r="X44" s="25" t="str">
        <f>IF(COUNTIFS(tbl_aspeto_impacte[ID_Aspeto],$B44,tbl_aspeto_impacte[ID_Impacte],"IMP-12")&gt;0,"X","")</f>
        <v/>
      </c>
      <c r="Y44" s="25" t="str">
        <f>LEFT(INDEX(Aspetos_Impactes!$R$5:$R$47,38),3)</f>
        <v>(+)</v>
      </c>
      <c r="Z44" s="25">
        <f>INDEX(Aspetos_Impactes!$N$5:$N$47,38)</f>
        <v>5</v>
      </c>
      <c r="AA44" s="25">
        <f>INDEX(Aspetos_Impactes!$O$5:$O$47,38)</f>
        <v>5</v>
      </c>
      <c r="AB44" s="25">
        <f>INDEX(Aspetos_Impactes!$P$5:$P$47,38)</f>
        <v>3</v>
      </c>
      <c r="AC44" s="25">
        <f>INDEX(Aspetos_Impactes!$Q$5:$Q$47,38)</f>
        <v>2</v>
      </c>
      <c r="AD44" s="25">
        <f>INDEX(Aspetos_Impactes!$S$5:$S$47,38)</f>
        <v>60</v>
      </c>
      <c r="AE44" s="25" t="str">
        <f>INDEX(Aspetos_Impactes!$T$5:$T$47,38)</f>
        <v>ASPETO AMBIENTAL SIGNIFICATIVO (AAS)</v>
      </c>
      <c r="AF44" s="24" t="str">
        <f>INDEX(Aspetos_Impactes!$W$5:$W$47,38)</f>
        <v>SIM</v>
      </c>
      <c r="AG44" s="24" t="str">
        <f>INDEX(Aspetos_Impactes!$X$5:$X$47,38)</f>
        <v>Dossier técnico por família (OBJ-04).</v>
      </c>
    </row>
    <row r="45" spans="1:33" ht="48" customHeight="1" x14ac:dyDescent="0.3">
      <c r="A45" s="24" t="str">
        <f>INDEX(Aspetos_Impactes!$C$5:$C$47,39)&amp;" — "&amp;INDEX(Aspetos_Impactes!$D$5:$D$47,39)</f>
        <v>Expedição — Embalagem de produto acabado</v>
      </c>
      <c r="B45" s="24" t="str">
        <f>INDEX(Aspetos_Impactes!$A$5:$A$47,39)</f>
        <v>AA-039</v>
      </c>
      <c r="C45" s="25" t="str">
        <f>IF(INDEX(Aspetos_Impactes!$E$5:$E$47,39)="Aquisição","X","")</f>
        <v/>
      </c>
      <c r="D45" s="25" t="str">
        <f>IF(INDEX(Aspetos_Impactes!$E$5:$E$47,39)="Design e Conceção","X","")</f>
        <v/>
      </c>
      <c r="E45" s="25" t="str">
        <f>IF(INDEX(Aspetos_Impactes!$E$5:$E$47,39)="Produção","X","")</f>
        <v/>
      </c>
      <c r="F45" s="25" t="str">
        <f>IF(INDEX(Aspetos_Impactes!$E$5:$E$47,39)="Distribuição","X","")</f>
        <v>X</v>
      </c>
      <c r="G45" s="25" t="str">
        <f>IF(INDEX(Aspetos_Impactes!$E$5:$E$47,39)="Uso (Consumidor Final)","X","")</f>
        <v/>
      </c>
      <c r="H45" s="25" t="str">
        <f>IF(INDEX(Aspetos_Impactes!$E$5:$E$47,39)="Fim de Vida","X","")</f>
        <v/>
      </c>
      <c r="I45" s="24" t="str">
        <f>INDEX(Aspetos_Impactes!$G$5:$G$47,39)</f>
        <v>Consumo de cartão, filme estirável e paletes</v>
      </c>
      <c r="J45" s="24" t="str">
        <f>INDEX(Aspetos_Impactes!$H$5:$H$47,39)</f>
        <v>Direto</v>
      </c>
      <c r="K45" s="24" t="str">
        <f>INDEX(Aspetos_Impactes!$I$5:$I$47,39)</f>
        <v>Normal</v>
      </c>
      <c r="L45" s="24" t="str">
        <f>INDEX(Aspetos_Impactes!$J$5:$J$47,39)</f>
        <v>Presente</v>
      </c>
      <c r="M45" s="25" t="str">
        <f>IF(COUNTIFS(tbl_aspeto_impacte[ID_Aspeto],$B45,tbl_aspeto_impacte[ID_Impacte],"IMP-01")&gt;0,"X","")</f>
        <v>X</v>
      </c>
      <c r="N45" s="25" t="str">
        <f>IF(COUNTIFS(tbl_aspeto_impacte[ID_Aspeto],$B45,tbl_aspeto_impacte[ID_Impacte],"IMP-02")&gt;0,"X","")</f>
        <v/>
      </c>
      <c r="O45" s="25" t="str">
        <f>IF(COUNTIFS(tbl_aspeto_impacte[ID_Aspeto],$B45,tbl_aspeto_impacte[ID_Impacte],"IMP-03")&gt;0,"X","")</f>
        <v/>
      </c>
      <c r="P45" s="25" t="str">
        <f>IF(COUNTIFS(tbl_aspeto_impacte[ID_Aspeto],$B45,tbl_aspeto_impacte[ID_Impacte],"IMP-04")&gt;0,"X","")</f>
        <v/>
      </c>
      <c r="Q45" s="25" t="str">
        <f>IF(COUNTIFS(tbl_aspeto_impacte[ID_Aspeto],$B45,tbl_aspeto_impacte[ID_Impacte],"IMP-05")&gt;0,"X","")</f>
        <v/>
      </c>
      <c r="R45" s="25" t="str">
        <f>IF(COUNTIFS(tbl_aspeto_impacte[ID_Aspeto],$B45,tbl_aspeto_impacte[ID_Impacte],"IMP-06")&gt;0,"X","")</f>
        <v/>
      </c>
      <c r="S45" s="25" t="str">
        <f>IF(COUNTIFS(tbl_aspeto_impacte[ID_Aspeto],$B45,tbl_aspeto_impacte[ID_Impacte],"IMP-07")&gt;0,"X","")</f>
        <v>X</v>
      </c>
      <c r="T45" s="25" t="str">
        <f>IF(COUNTIFS(tbl_aspeto_impacte[ID_Aspeto],$B45,tbl_aspeto_impacte[ID_Impacte],"IMP-08")&gt;0,"X","")</f>
        <v/>
      </c>
      <c r="U45" s="25" t="str">
        <f>IF(COUNTIFS(tbl_aspeto_impacte[ID_Aspeto],$B45,tbl_aspeto_impacte[ID_Impacte],"IMP-09")&gt;0,"X","")</f>
        <v/>
      </c>
      <c r="V45" s="25" t="str">
        <f>IF(COUNTIFS(tbl_aspeto_impacte[ID_Aspeto],$B45,tbl_aspeto_impacte[ID_Impacte],"IMP-10")&gt;0,"X","")</f>
        <v/>
      </c>
      <c r="W45" s="25" t="str">
        <f>IF(COUNTIFS(tbl_aspeto_impacte[ID_Aspeto],$B45,tbl_aspeto_impacte[ID_Impacte],"IMP-11")&gt;0,"X","")</f>
        <v/>
      </c>
      <c r="X45" s="25" t="str">
        <f>IF(COUNTIFS(tbl_aspeto_impacte[ID_Aspeto],$B45,tbl_aspeto_impacte[ID_Impacte],"IMP-12")&gt;0,"X","")</f>
        <v/>
      </c>
      <c r="Y45" s="25" t="str">
        <f>LEFT(INDEX(Aspetos_Impactes!$R$5:$R$47,39),3)</f>
        <v>(+)</v>
      </c>
      <c r="Z45" s="25">
        <f>INDEX(Aspetos_Impactes!$N$5:$N$47,39)</f>
        <v>5</v>
      </c>
      <c r="AA45" s="25">
        <f>INDEX(Aspetos_Impactes!$O$5:$O$47,39)</f>
        <v>4</v>
      </c>
      <c r="AB45" s="25">
        <f>INDEX(Aspetos_Impactes!$P$5:$P$47,39)</f>
        <v>2</v>
      </c>
      <c r="AC45" s="25">
        <f>INDEX(Aspetos_Impactes!$Q$5:$Q$47,39)</f>
        <v>1</v>
      </c>
      <c r="AD45" s="25">
        <f>INDEX(Aspetos_Impactes!$S$5:$S$47,39)</f>
        <v>18</v>
      </c>
      <c r="AE45" s="25" t="str">
        <f>INDEX(Aspetos_Impactes!$T$5:$T$47,39)</f>
        <v>Não Significativo</v>
      </c>
      <c r="AF45" s="24" t="str">
        <f>INDEX(Aspetos_Impactes!$W$5:$W$47,39)</f>
        <v>NÃO</v>
      </c>
      <c r="AG45" s="24" t="str">
        <f>INDEX(Aspetos_Impactes!$X$5:$X$47,39)</f>
        <v>Caixas e paletes retornáveis com clientes ibéricos.</v>
      </c>
    </row>
    <row r="46" spans="1:33" ht="48" customHeight="1" x14ac:dyDescent="0.3">
      <c r="A46" s="24" t="str">
        <f>INDEX(Aspetos_Impactes!$C$5:$C$47,40)&amp;" — "&amp;INDEX(Aspetos_Impactes!$D$5:$D$47,40)</f>
        <v>Expedição — Transporte de produto a clientes</v>
      </c>
      <c r="B46" s="24" t="str">
        <f>INDEX(Aspetos_Impactes!$A$5:$A$47,40)</f>
        <v>AA-040</v>
      </c>
      <c r="C46" s="25" t="str">
        <f>IF(INDEX(Aspetos_Impactes!$E$5:$E$47,40)="Aquisição","X","")</f>
        <v/>
      </c>
      <c r="D46" s="25" t="str">
        <f>IF(INDEX(Aspetos_Impactes!$E$5:$E$47,40)="Design e Conceção","X","")</f>
        <v/>
      </c>
      <c r="E46" s="25" t="str">
        <f>IF(INDEX(Aspetos_Impactes!$E$5:$E$47,40)="Produção","X","")</f>
        <v/>
      </c>
      <c r="F46" s="25" t="str">
        <f>IF(INDEX(Aspetos_Impactes!$E$5:$E$47,40)="Distribuição","X","")</f>
        <v>X</v>
      </c>
      <c r="G46" s="25" t="str">
        <f>IF(INDEX(Aspetos_Impactes!$E$5:$E$47,40)="Uso (Consumidor Final)","X","")</f>
        <v/>
      </c>
      <c r="H46" s="25" t="str">
        <f>IF(INDEX(Aspetos_Impactes!$E$5:$E$47,40)="Fim de Vida","X","")</f>
        <v/>
      </c>
      <c r="I46" s="24" t="str">
        <f>INDEX(Aspetos_Impactes!$G$5:$G$47,40)</f>
        <v>Emissões do transporte rodoviário de produto acabado (Península Ibérica e UE)</v>
      </c>
      <c r="J46" s="24" t="str">
        <f>INDEX(Aspetos_Impactes!$H$5:$H$47,40)</f>
        <v>Indireto</v>
      </c>
      <c r="K46" s="24" t="str">
        <f>INDEX(Aspetos_Impactes!$I$5:$I$47,40)</f>
        <v>Normal</v>
      </c>
      <c r="L46" s="24" t="str">
        <f>INDEX(Aspetos_Impactes!$J$5:$J$47,40)</f>
        <v>Presente</v>
      </c>
      <c r="M46" s="25" t="str">
        <f>IF(COUNTIFS(tbl_aspeto_impacte[ID_Aspeto],$B46,tbl_aspeto_impacte[ID_Impacte],"IMP-01")&gt;0,"X","")</f>
        <v/>
      </c>
      <c r="N46" s="25" t="str">
        <f>IF(COUNTIFS(tbl_aspeto_impacte[ID_Aspeto],$B46,tbl_aspeto_impacte[ID_Impacte],"IMP-02")&gt;0,"X","")</f>
        <v/>
      </c>
      <c r="O46" s="25" t="str">
        <f>IF(COUNTIFS(tbl_aspeto_impacte[ID_Aspeto],$B46,tbl_aspeto_impacte[ID_Impacte],"IMP-03")&gt;0,"X","")</f>
        <v>X</v>
      </c>
      <c r="P46" s="25" t="str">
        <f>IF(COUNTIFS(tbl_aspeto_impacte[ID_Aspeto],$B46,tbl_aspeto_impacte[ID_Impacte],"IMP-04")&gt;0,"X","")</f>
        <v>X</v>
      </c>
      <c r="Q46" s="25" t="str">
        <f>IF(COUNTIFS(tbl_aspeto_impacte[ID_Aspeto],$B46,tbl_aspeto_impacte[ID_Impacte],"IMP-05")&gt;0,"X","")</f>
        <v>X</v>
      </c>
      <c r="R46" s="25" t="str">
        <f>IF(COUNTIFS(tbl_aspeto_impacte[ID_Aspeto],$B46,tbl_aspeto_impacte[ID_Impacte],"IMP-06")&gt;0,"X","")</f>
        <v/>
      </c>
      <c r="S46" s="25" t="str">
        <f>IF(COUNTIFS(tbl_aspeto_impacte[ID_Aspeto],$B46,tbl_aspeto_impacte[ID_Impacte],"IMP-07")&gt;0,"X","")</f>
        <v/>
      </c>
      <c r="T46" s="25" t="str">
        <f>IF(COUNTIFS(tbl_aspeto_impacte[ID_Aspeto],$B46,tbl_aspeto_impacte[ID_Impacte],"IMP-08")&gt;0,"X","")</f>
        <v/>
      </c>
      <c r="U46" s="25" t="str">
        <f>IF(COUNTIFS(tbl_aspeto_impacte[ID_Aspeto],$B46,tbl_aspeto_impacte[ID_Impacte],"IMP-09")&gt;0,"X","")</f>
        <v/>
      </c>
      <c r="V46" s="25" t="str">
        <f>IF(COUNTIFS(tbl_aspeto_impacte[ID_Aspeto],$B46,tbl_aspeto_impacte[ID_Impacte],"IMP-10")&gt;0,"X","")</f>
        <v/>
      </c>
      <c r="W46" s="25" t="str">
        <f>IF(COUNTIFS(tbl_aspeto_impacte[ID_Aspeto],$B46,tbl_aspeto_impacte[ID_Impacte],"IMP-11")&gt;0,"X","")</f>
        <v/>
      </c>
      <c r="X46" s="25" t="str">
        <f>IF(COUNTIFS(tbl_aspeto_impacte[ID_Aspeto],$B46,tbl_aspeto_impacte[ID_Impacte],"IMP-12")&gt;0,"X","")</f>
        <v/>
      </c>
      <c r="Y46" s="25" t="str">
        <f>LEFT(INDEX(Aspetos_Impactes!$R$5:$R$47,40),3)</f>
        <v>(+)</v>
      </c>
      <c r="Z46" s="25">
        <f>INDEX(Aspetos_Impactes!$N$5:$N$47,40)</f>
        <v>5</v>
      </c>
      <c r="AA46" s="25">
        <f>INDEX(Aspetos_Impactes!$O$5:$O$47,40)</f>
        <v>4</v>
      </c>
      <c r="AB46" s="25">
        <f>INDEX(Aspetos_Impactes!$P$5:$P$47,40)</f>
        <v>3</v>
      </c>
      <c r="AC46" s="25">
        <f>INDEX(Aspetos_Impactes!$Q$5:$Q$47,40)</f>
        <v>1</v>
      </c>
      <c r="AD46" s="25">
        <f>INDEX(Aspetos_Impactes!$S$5:$S$47,40)</f>
        <v>27</v>
      </c>
      <c r="AE46" s="25" t="str">
        <f>INDEX(Aspetos_Impactes!$T$5:$T$47,40)</f>
        <v>Moderado</v>
      </c>
      <c r="AF46" s="24" t="str">
        <f>INDEX(Aspetos_Impactes!$W$5:$W$47,40)</f>
        <v>SIM</v>
      </c>
      <c r="AG46" s="24" t="str">
        <f>INDEX(Aspetos_Impactes!$X$5:$X$47,40)</f>
        <v>Consolidação de cargas; critérios ambientais para transportadores.</v>
      </c>
    </row>
    <row r="47" spans="1:33" ht="48" customHeight="1" x14ac:dyDescent="0.3">
      <c r="A47" s="24" t="str">
        <f>INDEX(Aspetos_Impactes!$C$5:$C$47,41)&amp;" — "&amp;INDEX(Aspetos_Impactes!$D$5:$D$47,41)</f>
        <v>Expedição — Embalagens de transporte retornáveis (piloto)</v>
      </c>
      <c r="B47" s="24" t="str">
        <f>INDEX(Aspetos_Impactes!$A$5:$A$47,41)</f>
        <v>AA-041</v>
      </c>
      <c r="C47" s="25" t="str">
        <f>IF(INDEX(Aspetos_Impactes!$E$5:$E$47,41)="Aquisição","X","")</f>
        <v/>
      </c>
      <c r="D47" s="25" t="str">
        <f>IF(INDEX(Aspetos_Impactes!$E$5:$E$47,41)="Design e Conceção","X","")</f>
        <v/>
      </c>
      <c r="E47" s="25" t="str">
        <f>IF(INDEX(Aspetos_Impactes!$E$5:$E$47,41)="Produção","X","")</f>
        <v/>
      </c>
      <c r="F47" s="25" t="str">
        <f>IF(INDEX(Aspetos_Impactes!$E$5:$E$47,41)="Distribuição","X","")</f>
        <v>X</v>
      </c>
      <c r="G47" s="25" t="str">
        <f>IF(INDEX(Aspetos_Impactes!$E$5:$E$47,41)="Uso (Consumidor Final)","X","")</f>
        <v/>
      </c>
      <c r="H47" s="25" t="str">
        <f>IF(INDEX(Aspetos_Impactes!$E$5:$E$47,41)="Fim de Vida","X","")</f>
        <v/>
      </c>
      <c r="I47" s="24" t="str">
        <f>INDEX(Aspetos_Impactes!$G$5:$G$47,41)</f>
        <v>Reutilização de caixas e paletes com clientes ibéricos</v>
      </c>
      <c r="J47" s="24" t="str">
        <f>INDEX(Aspetos_Impactes!$H$5:$H$47,41)</f>
        <v>Direto</v>
      </c>
      <c r="K47" s="24" t="str">
        <f>INDEX(Aspetos_Impactes!$I$5:$I$47,41)</f>
        <v>Normal</v>
      </c>
      <c r="L47" s="24" t="str">
        <f>INDEX(Aspetos_Impactes!$J$5:$J$47,41)</f>
        <v>Futuro</v>
      </c>
      <c r="M47" s="25" t="str">
        <f>IF(COUNTIFS(tbl_aspeto_impacte[ID_Aspeto],$B47,tbl_aspeto_impacte[ID_Impacte],"IMP-01")&gt;0,"X","")</f>
        <v/>
      </c>
      <c r="N47" s="25" t="str">
        <f>IF(COUNTIFS(tbl_aspeto_impacte[ID_Aspeto],$B47,tbl_aspeto_impacte[ID_Impacte],"IMP-02")&gt;0,"X","")</f>
        <v/>
      </c>
      <c r="O47" s="25" t="str">
        <f>IF(COUNTIFS(tbl_aspeto_impacte[ID_Aspeto],$B47,tbl_aspeto_impacte[ID_Impacte],"IMP-03")&gt;0,"X","")</f>
        <v/>
      </c>
      <c r="P47" s="25" t="str">
        <f>IF(COUNTIFS(tbl_aspeto_impacte[ID_Aspeto],$B47,tbl_aspeto_impacte[ID_Impacte],"IMP-04")&gt;0,"X","")</f>
        <v/>
      </c>
      <c r="Q47" s="25" t="str">
        <f>IF(COUNTIFS(tbl_aspeto_impacte[ID_Aspeto],$B47,tbl_aspeto_impacte[ID_Impacte],"IMP-05")&gt;0,"X","")</f>
        <v/>
      </c>
      <c r="R47" s="25" t="str">
        <f>IF(COUNTIFS(tbl_aspeto_impacte[ID_Aspeto],$B47,tbl_aspeto_impacte[ID_Impacte],"IMP-06")&gt;0,"X","")</f>
        <v/>
      </c>
      <c r="S47" s="25" t="str">
        <f>IF(COUNTIFS(tbl_aspeto_impacte[ID_Aspeto],$B47,tbl_aspeto_impacte[ID_Impacte],"IMP-07")&gt;0,"X","")</f>
        <v/>
      </c>
      <c r="T47" s="25" t="str">
        <f>IF(COUNTIFS(tbl_aspeto_impacte[ID_Aspeto],$B47,tbl_aspeto_impacte[ID_Impacte],"IMP-08")&gt;0,"X","")</f>
        <v/>
      </c>
      <c r="U47" s="25" t="str">
        <f>IF(COUNTIFS(tbl_aspeto_impacte[ID_Aspeto],$B47,tbl_aspeto_impacte[ID_Impacte],"IMP-09")&gt;0,"X","")</f>
        <v/>
      </c>
      <c r="V47" s="25" t="str">
        <f>IF(COUNTIFS(tbl_aspeto_impacte[ID_Aspeto],$B47,tbl_aspeto_impacte[ID_Impacte],"IMP-10")&gt;0,"X","")</f>
        <v>X</v>
      </c>
      <c r="W47" s="25" t="str">
        <f>IF(COUNTIFS(tbl_aspeto_impacte[ID_Aspeto],$B47,tbl_aspeto_impacte[ID_Impacte],"IMP-11")&gt;0,"X","")</f>
        <v>X</v>
      </c>
      <c r="X47" s="25" t="str">
        <f>IF(COUNTIFS(tbl_aspeto_impacte[ID_Aspeto],$B47,tbl_aspeto_impacte[ID_Impacte],"IMP-12")&gt;0,"X","")</f>
        <v/>
      </c>
      <c r="Y47" s="25" t="str">
        <f>LEFT(INDEX(Aspetos_Impactes!$R$5:$R$47,41),3)</f>
        <v>(-)</v>
      </c>
      <c r="Z47" s="25">
        <f>INDEX(Aspetos_Impactes!$N$5:$N$47,41)</f>
        <v>3</v>
      </c>
      <c r="AA47" s="25">
        <f>INDEX(Aspetos_Impactes!$O$5:$O$47,41)</f>
        <v>3</v>
      </c>
      <c r="AB47" s="25">
        <f>INDEX(Aspetos_Impactes!$P$5:$P$47,41)</f>
        <v>-1</v>
      </c>
      <c r="AC47" s="25">
        <f>INDEX(Aspetos_Impactes!$Q$5:$Q$47,41)</f>
        <v>1</v>
      </c>
      <c r="AD47" s="25">
        <f>INDEX(Aspetos_Impactes!$S$5:$S$47,41)</f>
        <v>-6</v>
      </c>
      <c r="AE47" s="25" t="str">
        <f>INDEX(Aspetos_Impactes!$T$5:$T$47,41)</f>
        <v>Oportunidade Tática</v>
      </c>
      <c r="AF47" s="24" t="str">
        <f>INDEX(Aspetos_Impactes!$W$5:$W$47,41)</f>
        <v>NÃO</v>
      </c>
      <c r="AG47" s="24" t="str">
        <f>INDEX(Aspetos_Impactes!$X$5:$X$47,41)</f>
        <v>Alargar a 3 clientes.</v>
      </c>
    </row>
    <row r="48" spans="1:33" ht="48" customHeight="1" x14ac:dyDescent="0.3">
      <c r="A48" s="24" t="str">
        <f>INDEX(Aspetos_Impactes!$C$5:$C$47,42)&amp;" — "&amp;INDEX(Aspetos_Impactes!$D$5:$D$47,42)</f>
        <v>Uso pelo cliente — Enchimento e uso da embalagem pelo cliente e consumidor</v>
      </c>
      <c r="B48" s="24" t="str">
        <f>INDEX(Aspetos_Impactes!$A$5:$A$47,42)</f>
        <v>AA-042</v>
      </c>
      <c r="C48" s="25" t="str">
        <f>IF(INDEX(Aspetos_Impactes!$E$5:$E$47,42)="Aquisição","X","")</f>
        <v/>
      </c>
      <c r="D48" s="25" t="str">
        <f>IF(INDEX(Aspetos_Impactes!$E$5:$E$47,42)="Design e Conceção","X","")</f>
        <v/>
      </c>
      <c r="E48" s="25" t="str">
        <f>IF(INDEX(Aspetos_Impactes!$E$5:$E$47,42)="Produção","X","")</f>
        <v/>
      </c>
      <c r="F48" s="25" t="str">
        <f>IF(INDEX(Aspetos_Impactes!$E$5:$E$47,42)="Distribuição","X","")</f>
        <v/>
      </c>
      <c r="G48" s="25" t="str">
        <f>IF(INDEX(Aspetos_Impactes!$E$5:$E$47,42)="Uso (Consumidor Final)","X","")</f>
        <v>X</v>
      </c>
      <c r="H48" s="25" t="str">
        <f>IF(INDEX(Aspetos_Impactes!$E$5:$E$47,42)="Fim de Vida","X","")</f>
        <v/>
      </c>
      <c r="I48" s="24" t="str">
        <f>INDEX(Aspetos_Impactes!$G$5:$G$47,42)</f>
        <v>Restos de produto cosmético/alimentar na embalagem usada</v>
      </c>
      <c r="J48" s="24" t="str">
        <f>INDEX(Aspetos_Impactes!$H$5:$H$47,42)</f>
        <v>Indireto</v>
      </c>
      <c r="K48" s="24" t="str">
        <f>INDEX(Aspetos_Impactes!$I$5:$I$47,42)</f>
        <v>Normal</v>
      </c>
      <c r="L48" s="24" t="str">
        <f>INDEX(Aspetos_Impactes!$J$5:$J$47,42)</f>
        <v>Presente</v>
      </c>
      <c r="M48" s="25" t="str">
        <f>IF(COUNTIFS(tbl_aspeto_impacte[ID_Aspeto],$B48,tbl_aspeto_impacte[ID_Impacte],"IMP-01")&gt;0,"X","")</f>
        <v/>
      </c>
      <c r="N48" s="25" t="str">
        <f>IF(COUNTIFS(tbl_aspeto_impacte[ID_Aspeto],$B48,tbl_aspeto_impacte[ID_Impacte],"IMP-02")&gt;0,"X","")</f>
        <v>X</v>
      </c>
      <c r="O48" s="25" t="str">
        <f>IF(COUNTIFS(tbl_aspeto_impacte[ID_Aspeto],$B48,tbl_aspeto_impacte[ID_Impacte],"IMP-03")&gt;0,"X","")</f>
        <v/>
      </c>
      <c r="P48" s="25" t="str">
        <f>IF(COUNTIFS(tbl_aspeto_impacte[ID_Aspeto],$B48,tbl_aspeto_impacte[ID_Impacte],"IMP-04")&gt;0,"X","")</f>
        <v/>
      </c>
      <c r="Q48" s="25" t="str">
        <f>IF(COUNTIFS(tbl_aspeto_impacte[ID_Aspeto],$B48,tbl_aspeto_impacte[ID_Impacte],"IMP-05")&gt;0,"X","")</f>
        <v/>
      </c>
      <c r="R48" s="25" t="str">
        <f>IF(COUNTIFS(tbl_aspeto_impacte[ID_Aspeto],$B48,tbl_aspeto_impacte[ID_Impacte],"IMP-06")&gt;0,"X","")</f>
        <v/>
      </c>
      <c r="S48" s="25" t="str">
        <f>IF(COUNTIFS(tbl_aspeto_impacte[ID_Aspeto],$B48,tbl_aspeto_impacte[ID_Impacte],"IMP-07")&gt;0,"X","")</f>
        <v>X</v>
      </c>
      <c r="T48" s="25" t="str">
        <f>IF(COUNTIFS(tbl_aspeto_impacte[ID_Aspeto],$B48,tbl_aspeto_impacte[ID_Impacte],"IMP-08")&gt;0,"X","")</f>
        <v/>
      </c>
      <c r="U48" s="25" t="str">
        <f>IF(COUNTIFS(tbl_aspeto_impacte[ID_Aspeto],$B48,tbl_aspeto_impacte[ID_Impacte],"IMP-09")&gt;0,"X","")</f>
        <v/>
      </c>
      <c r="V48" s="25" t="str">
        <f>IF(COUNTIFS(tbl_aspeto_impacte[ID_Aspeto],$B48,tbl_aspeto_impacte[ID_Impacte],"IMP-10")&gt;0,"X","")</f>
        <v/>
      </c>
      <c r="W48" s="25" t="str">
        <f>IF(COUNTIFS(tbl_aspeto_impacte[ID_Aspeto],$B48,tbl_aspeto_impacte[ID_Impacte],"IMP-11")&gt;0,"X","")</f>
        <v/>
      </c>
      <c r="X48" s="25" t="str">
        <f>IF(COUNTIFS(tbl_aspeto_impacte[ID_Aspeto],$B48,tbl_aspeto_impacte[ID_Impacte],"IMP-12")&gt;0,"X","")</f>
        <v/>
      </c>
      <c r="Y48" s="25" t="str">
        <f>LEFT(INDEX(Aspetos_Impactes!$R$5:$R$47,42),3)</f>
        <v>(+)</v>
      </c>
      <c r="Z48" s="25">
        <f>INDEX(Aspetos_Impactes!$N$5:$N$47,42)</f>
        <v>5</v>
      </c>
      <c r="AA48" s="25">
        <f>INDEX(Aspetos_Impactes!$O$5:$O$47,42)</f>
        <v>2</v>
      </c>
      <c r="AB48" s="25">
        <f>INDEX(Aspetos_Impactes!$P$5:$P$47,42)</f>
        <v>2</v>
      </c>
      <c r="AC48" s="25">
        <f>INDEX(Aspetos_Impactes!$Q$5:$Q$47,42)</f>
        <v>1</v>
      </c>
      <c r="AD48" s="25">
        <f>INDEX(Aspetos_Impactes!$S$5:$S$47,42)</f>
        <v>14</v>
      </c>
      <c r="AE48" s="25" t="str">
        <f>INDEX(Aspetos_Impactes!$T$5:$T$47,42)</f>
        <v>Não Significativo</v>
      </c>
      <c r="AF48" s="24" t="str">
        <f>INDEX(Aspetos_Impactes!$W$5:$W$47,42)</f>
        <v>NÃO</v>
      </c>
      <c r="AG48" s="24" t="str">
        <f>INDEX(Aspetos_Impactes!$X$5:$X$47,42)</f>
        <v>Design que facilita o esvaziamento total.</v>
      </c>
    </row>
    <row r="49" spans="1:33" ht="48" customHeight="1" x14ac:dyDescent="0.3">
      <c r="A49" s="24" t="str">
        <f>INDEX(Aspetos_Impactes!$C$5:$C$47,43)&amp;" — "&amp;INDEX(Aspetos_Impactes!$D$5:$D$47,43)</f>
        <v>Fim de vida — Embalagem pós-consumo</v>
      </c>
      <c r="B49" s="24" t="str">
        <f>INDEX(Aspetos_Impactes!$A$5:$A$47,43)</f>
        <v>AA-043</v>
      </c>
      <c r="C49" s="25" t="str">
        <f>IF(INDEX(Aspetos_Impactes!$E$5:$E$47,43)="Aquisição","X","")</f>
        <v/>
      </c>
      <c r="D49" s="25" t="str">
        <f>IF(INDEX(Aspetos_Impactes!$E$5:$E$47,43)="Design e Conceção","X","")</f>
        <v/>
      </c>
      <c r="E49" s="25" t="str">
        <f>IF(INDEX(Aspetos_Impactes!$E$5:$E$47,43)="Produção","X","")</f>
        <v/>
      </c>
      <c r="F49" s="25" t="str">
        <f>IF(INDEX(Aspetos_Impactes!$E$5:$E$47,43)="Distribuição","X","")</f>
        <v/>
      </c>
      <c r="G49" s="25" t="str">
        <f>IF(INDEX(Aspetos_Impactes!$E$5:$E$47,43)="Uso (Consumidor Final)","X","")</f>
        <v/>
      </c>
      <c r="H49" s="25" t="str">
        <f>IF(INDEX(Aspetos_Impactes!$E$5:$E$47,43)="Fim de Vida","X","")</f>
        <v>X</v>
      </c>
      <c r="I49" s="24" t="str">
        <f>INDEX(Aspetos_Impactes!$G$5:$G$47,43)</f>
        <v>Embalagens pós-consumo não recicladas (aterro, incineração ou abandono)</v>
      </c>
      <c r="J49" s="24" t="str">
        <f>INDEX(Aspetos_Impactes!$H$5:$H$47,43)</f>
        <v>Indireto</v>
      </c>
      <c r="K49" s="24" t="str">
        <f>INDEX(Aspetos_Impactes!$I$5:$I$47,43)</f>
        <v>Normal</v>
      </c>
      <c r="L49" s="24" t="str">
        <f>INDEX(Aspetos_Impactes!$J$5:$J$47,43)</f>
        <v>Presente</v>
      </c>
      <c r="M49" s="25" t="str">
        <f>IF(COUNTIFS(tbl_aspeto_impacte[ID_Aspeto],$B49,tbl_aspeto_impacte[ID_Impacte],"IMP-01")&gt;0,"X","")</f>
        <v/>
      </c>
      <c r="N49" s="25" t="str">
        <f>IF(COUNTIFS(tbl_aspeto_impacte[ID_Aspeto],$B49,tbl_aspeto_impacte[ID_Impacte],"IMP-02")&gt;0,"X","")</f>
        <v/>
      </c>
      <c r="O49" s="25" t="str">
        <f>IF(COUNTIFS(tbl_aspeto_impacte[ID_Aspeto],$B49,tbl_aspeto_impacte[ID_Impacte],"IMP-03")&gt;0,"X","")</f>
        <v/>
      </c>
      <c r="P49" s="25" t="str">
        <f>IF(COUNTIFS(tbl_aspeto_impacte[ID_Aspeto],$B49,tbl_aspeto_impacte[ID_Impacte],"IMP-04")&gt;0,"X","")</f>
        <v/>
      </c>
      <c r="Q49" s="25" t="str">
        <f>IF(COUNTIFS(tbl_aspeto_impacte[ID_Aspeto],$B49,tbl_aspeto_impacte[ID_Impacte],"IMP-05")&gt;0,"X","")</f>
        <v/>
      </c>
      <c r="R49" s="25" t="str">
        <f>IF(COUNTIFS(tbl_aspeto_impacte[ID_Aspeto],$B49,tbl_aspeto_impacte[ID_Impacte],"IMP-06")&gt;0,"X","")</f>
        <v>X</v>
      </c>
      <c r="S49" s="25" t="str">
        <f>IF(COUNTIFS(tbl_aspeto_impacte[ID_Aspeto],$B49,tbl_aspeto_impacte[ID_Impacte],"IMP-07")&gt;0,"X","")</f>
        <v>X</v>
      </c>
      <c r="T49" s="25" t="str">
        <f>IF(COUNTIFS(tbl_aspeto_impacte[ID_Aspeto],$B49,tbl_aspeto_impacte[ID_Impacte],"IMP-08")&gt;0,"X","")</f>
        <v>X</v>
      </c>
      <c r="U49" s="25" t="str">
        <f>IF(COUNTIFS(tbl_aspeto_impacte[ID_Aspeto],$B49,tbl_aspeto_impacte[ID_Impacte],"IMP-09")&gt;0,"X","")</f>
        <v/>
      </c>
      <c r="V49" s="25" t="str">
        <f>IF(COUNTIFS(tbl_aspeto_impacte[ID_Aspeto],$B49,tbl_aspeto_impacte[ID_Impacte],"IMP-10")&gt;0,"X","")</f>
        <v/>
      </c>
      <c r="W49" s="25" t="str">
        <f>IF(COUNTIFS(tbl_aspeto_impacte[ID_Aspeto],$B49,tbl_aspeto_impacte[ID_Impacte],"IMP-11")&gt;0,"X","")</f>
        <v/>
      </c>
      <c r="X49" s="25" t="str">
        <f>IF(COUNTIFS(tbl_aspeto_impacte[ID_Aspeto],$B49,tbl_aspeto_impacte[ID_Impacte],"IMP-12")&gt;0,"X","")</f>
        <v/>
      </c>
      <c r="Y49" s="25" t="str">
        <f>LEFT(INDEX(Aspetos_Impactes!$R$5:$R$47,43),3)</f>
        <v>(+)</v>
      </c>
      <c r="Z49" s="25">
        <f>INDEX(Aspetos_Impactes!$N$5:$N$47,43)</f>
        <v>5</v>
      </c>
      <c r="AA49" s="25">
        <f>INDEX(Aspetos_Impactes!$O$5:$O$47,43)</f>
        <v>5</v>
      </c>
      <c r="AB49" s="25">
        <f>INDEX(Aspetos_Impactes!$P$5:$P$47,43)</f>
        <v>3</v>
      </c>
      <c r="AC49" s="25">
        <f>INDEX(Aspetos_Impactes!$Q$5:$Q$47,43)</f>
        <v>1</v>
      </c>
      <c r="AD49" s="25">
        <f>INDEX(Aspetos_Impactes!$S$5:$S$47,43)</f>
        <v>30</v>
      </c>
      <c r="AE49" s="25" t="str">
        <f>INDEX(Aspetos_Impactes!$T$5:$T$47,43)</f>
        <v>Moderado</v>
      </c>
      <c r="AF49" s="24" t="str">
        <f>INDEX(Aspetos_Impactes!$W$5:$W$47,43)</f>
        <v>SIM</v>
      </c>
      <c r="AG49" s="24" t="str">
        <f>INDEX(Aspetos_Impactes!$X$5:$X$47,43)</f>
        <v>Design for Recycling; informação ao cliente sobre reciclagem.</v>
      </c>
    </row>
    <row r="51" spans="1:33" x14ac:dyDescent="0.3">
      <c r="A51" s="19" t="s">
        <v>554</v>
      </c>
    </row>
    <row r="52" spans="1:33" x14ac:dyDescent="0.3">
      <c r="A52" s="20" t="s">
        <v>555</v>
      </c>
    </row>
  </sheetData>
  <mergeCells count="6">
    <mergeCell ref="J5:L5"/>
    <mergeCell ref="C5:H5"/>
    <mergeCell ref="A5:B5"/>
    <mergeCell ref="M5:X5"/>
    <mergeCell ref="AF5:AG5"/>
    <mergeCell ref="Y5:AE5"/>
  </mergeCells>
  <conditionalFormatting sqref="AE7:AE49">
    <cfRule type="expression" dxfId="4" priority="1">
      <formula>ISNUMBER(SEARCH("BENÉFICO",AE7))</formula>
    </cfRule>
    <cfRule type="expression" dxfId="3" priority="2">
      <formula>ISNUMBER(SEARCH("ASPETO",AE7))</formula>
    </cfRule>
    <cfRule type="expression" dxfId="2" priority="3">
      <formula>ISNUMBER(SEARCH("Moderado",AE7))</formula>
    </cfRule>
    <cfRule type="expression" dxfId="1" priority="4">
      <formula>ISNUMBER(SEARCH("Não Signif",AE7))</formula>
    </cfRule>
    <cfRule type="expression" dxfId="0" priority="5">
      <formula>ISNUMBER(SEARCH("Tática",AE7))</formula>
    </cfRule>
  </conditionalFormatting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C30"/>
  <sheetViews>
    <sheetView showGridLines="0" workbookViewId="0"/>
  </sheetViews>
  <sheetFormatPr defaultRowHeight="14.4" x14ac:dyDescent="0.3"/>
  <cols>
    <col min="1" max="1" width="38" customWidth="1"/>
    <col min="2" max="3" width="62" customWidth="1"/>
  </cols>
  <sheetData>
    <row r="1" spans="1:3" ht="17.399999999999999" x14ac:dyDescent="0.3">
      <c r="A1" s="1" t="s">
        <v>556</v>
      </c>
    </row>
    <row r="2" spans="1:3" x14ac:dyDescent="0.3">
      <c r="A2" s="2" t="s">
        <v>557</v>
      </c>
    </row>
    <row r="4" spans="1:3" x14ac:dyDescent="0.3">
      <c r="A4" s="8" t="s">
        <v>558</v>
      </c>
      <c r="B4" s="8" t="s">
        <v>559</v>
      </c>
      <c r="C4" s="8" t="s">
        <v>560</v>
      </c>
    </row>
    <row r="5" spans="1:3" x14ac:dyDescent="0.3">
      <c r="A5" s="19" t="s">
        <v>561</v>
      </c>
      <c r="B5" s="19" t="s">
        <v>284</v>
      </c>
      <c r="C5" s="19" t="s">
        <v>198</v>
      </c>
    </row>
    <row r="6" spans="1:3" x14ac:dyDescent="0.3">
      <c r="A6" s="26" t="s">
        <v>562</v>
      </c>
      <c r="B6" s="27"/>
      <c r="C6" s="27"/>
    </row>
    <row r="7" spans="1:3" x14ac:dyDescent="0.3">
      <c r="A7" s="28" t="s">
        <v>540</v>
      </c>
      <c r="B7" s="29" t="str">
        <f>INDEX(Aspetos_Impactes!$E$5:$E$47,MATCH(B$5,Aspetos_Impactes!$A$5:$A$47,0))&amp;""</f>
        <v>Produção</v>
      </c>
      <c r="C7" s="29" t="str">
        <f>INDEX(Aspetos_Impactes!$E$5:$E$47,MATCH(C$5,Aspetos_Impactes!$A$5:$A$47,0))&amp;""</f>
        <v>Produção</v>
      </c>
    </row>
    <row r="8" spans="1:3" x14ac:dyDescent="0.3">
      <c r="A8" s="28" t="s">
        <v>104</v>
      </c>
      <c r="B8" s="29" t="str">
        <f>INDEX(Aspetos_Impactes!$D$5:$D$47,MATCH(B$5,Aspetos_Impactes!$A$5:$A$47,0))&amp;""</f>
        <v>Limpeza de ecrãs e rodos com solvente</v>
      </c>
      <c r="C8" s="29" t="str">
        <f>INDEX(Aspetos_Impactes!$D$5:$D$47,MATCH(C$5,Aspetos_Impactes!$A$5:$A$47,0))&amp;""</f>
        <v>Armazenagem de tintas, solventes e óleos</v>
      </c>
    </row>
    <row r="9" spans="1:3" x14ac:dyDescent="0.3">
      <c r="A9" s="28" t="s">
        <v>563</v>
      </c>
      <c r="B9" s="29" t="str">
        <f>INDEX(Aspetos_Impactes!$C$5:$C$47,MATCH(B$5,Aspetos_Impactes!$A$5:$A$47,0))&amp;""</f>
        <v>Serigrafia</v>
      </c>
      <c r="C9" s="29" t="str">
        <f>INDEX(Aspetos_Impactes!$C$5:$C$47,MATCH(C$5,Aspetos_Impactes!$A$5:$A$47,0))&amp;""</f>
        <v>Armazém de químicos</v>
      </c>
    </row>
    <row r="10" spans="1:3" ht="45" customHeight="1" x14ac:dyDescent="0.3">
      <c r="A10" s="28" t="s">
        <v>547</v>
      </c>
      <c r="B10" s="29" t="str">
        <f>INDEX(Aspetos_Impactes!$G$5:$G$47,MATCH(B$5,Aspetos_Impactes!$A$5:$A$47,0))&amp;""</f>
        <v>Emissão difusa de COV na limpeza de ecrãs e rodos com solvente</v>
      </c>
      <c r="C10" s="29" t="str">
        <f>INDEX(Aspetos_Impactes!$G$5:$G$47,MATCH(C$5,Aspetos_Impactes!$A$5:$A$47,0))&amp;""</f>
        <v>Derrame acidental de tintas, solventes ou óleos (rutura de embalagem, queda na movimentação)</v>
      </c>
    </row>
    <row r="11" spans="1:3" x14ac:dyDescent="0.3">
      <c r="A11" s="28" t="s">
        <v>564</v>
      </c>
      <c r="B11" s="29" t="str">
        <f>INDEX(Aspetos_Impactes!$H$5:$H$47,MATCH(B$5,Aspetos_Impactes!$A$5:$A$47,0))&amp;""</f>
        <v>Direto</v>
      </c>
      <c r="C11" s="29" t="str">
        <f>INDEX(Aspetos_Impactes!$H$5:$H$47,MATCH(C$5,Aspetos_Impactes!$A$5:$A$47,0))&amp;""</f>
        <v>Direto</v>
      </c>
    </row>
    <row r="12" spans="1:3" x14ac:dyDescent="0.3">
      <c r="A12" s="28" t="s">
        <v>565</v>
      </c>
      <c r="B12" s="29" t="str">
        <f>INDEX(Aspetos_Impactes!$I$5:$I$47,MATCH(B$5,Aspetos_Impactes!$A$5:$A$47,0))&amp;""</f>
        <v>Normal</v>
      </c>
      <c r="C12" s="29" t="str">
        <f>INDEX(Aspetos_Impactes!$I$5:$I$47,MATCH(C$5,Aspetos_Impactes!$A$5:$A$47,0))&amp;""</f>
        <v>Emergência</v>
      </c>
    </row>
    <row r="13" spans="1:3" x14ac:dyDescent="0.3">
      <c r="A13" s="28" t="s">
        <v>566</v>
      </c>
      <c r="B13" s="29" t="str">
        <f>INDEX(Aspetos_Impactes!$J$5:$J$47,MATCH(B$5,Aspetos_Impactes!$A$5:$A$47,0))&amp;""</f>
        <v>Presente</v>
      </c>
      <c r="C13" s="29" t="str">
        <f>INDEX(Aspetos_Impactes!$J$5:$J$47,MATCH(C$5,Aspetos_Impactes!$A$5:$A$47,0))&amp;""</f>
        <v>Futuro</v>
      </c>
    </row>
    <row r="14" spans="1:3" x14ac:dyDescent="0.3">
      <c r="A14" s="28" t="s">
        <v>567</v>
      </c>
      <c r="B14" s="29" t="str">
        <f>INDEX(Aspetos_Impactes!$L$5:$L$47,MATCH(B$5,Aspetos_Impactes!$A$5:$A$47,0))&amp;""</f>
        <v>Poluição do Ar</v>
      </c>
      <c r="C14" s="29" t="str">
        <f>INDEX(Aspetos_Impactes!$L$5:$L$47,MATCH(C$5,Aspetos_Impactes!$A$5:$A$47,0))&amp;""</f>
        <v>Contaminação do Solo e/ou Recursos Hídricos</v>
      </c>
    </row>
    <row r="15" spans="1:3" x14ac:dyDescent="0.3">
      <c r="A15" s="26" t="s">
        <v>568</v>
      </c>
      <c r="B15" s="27"/>
      <c r="C15" s="27"/>
    </row>
    <row r="16" spans="1:3" x14ac:dyDescent="0.3">
      <c r="A16" s="28" t="s">
        <v>550</v>
      </c>
      <c r="B16" s="29" t="str">
        <f>INDEX(Aspetos_Impactes!$R$5:$R$47,MATCH(B$5,Aspetos_Impactes!$A$5:$A$47,0))&amp;""</f>
        <v>(+) Adverso</v>
      </c>
      <c r="C16" s="29" t="str">
        <f>INDEX(Aspetos_Impactes!$R$5:$R$47,MATCH(C$5,Aspetos_Impactes!$A$5:$A$47,0))&amp;""</f>
        <v>(+) Adverso</v>
      </c>
    </row>
    <row r="17" spans="1:3" x14ac:dyDescent="0.3">
      <c r="A17" s="28" t="s">
        <v>569</v>
      </c>
      <c r="B17" s="29" t="str">
        <f>INDEX(Aspetos_Impactes!$N$5:$N$47,MATCH(B$5,Aspetos_Impactes!$A$5:$A$47,0))&amp;""</f>
        <v>5</v>
      </c>
      <c r="C17" s="29" t="str">
        <f>INDEX(Aspetos_Impactes!$N$5:$N$47,MATCH(C$5,Aspetos_Impactes!$A$5:$A$47,0))&amp;""</f>
        <v>1</v>
      </c>
    </row>
    <row r="18" spans="1:3" x14ac:dyDescent="0.3">
      <c r="A18" s="28" t="s">
        <v>570</v>
      </c>
      <c r="B18" s="29" t="str">
        <f>INDEX(Aspetos_Impactes!$O$5:$O$47,MATCH(B$5,Aspetos_Impactes!$A$5:$A$47,0))&amp;""</f>
        <v>3</v>
      </c>
      <c r="C18" s="29" t="str">
        <f>INDEX(Aspetos_Impactes!$O$5:$O$47,MATCH(C$5,Aspetos_Impactes!$A$5:$A$47,0))&amp;""</f>
        <v>3</v>
      </c>
    </row>
    <row r="19" spans="1:3" x14ac:dyDescent="0.3">
      <c r="A19" s="28" t="s">
        <v>571</v>
      </c>
      <c r="B19" s="29" t="str">
        <f>INDEX(Aspetos_Impactes!$P$5:$P$47,MATCH(B$5,Aspetos_Impactes!$A$5:$A$47,0))&amp;""</f>
        <v>5</v>
      </c>
      <c r="C19" s="29" t="str">
        <f>INDEX(Aspetos_Impactes!$P$5:$P$47,MATCH(C$5,Aspetos_Impactes!$A$5:$A$47,0))&amp;""</f>
        <v>5</v>
      </c>
    </row>
    <row r="20" spans="1:3" x14ac:dyDescent="0.3">
      <c r="A20" s="28" t="s">
        <v>572</v>
      </c>
      <c r="B20" s="29" t="str">
        <f>INDEX(Aspetos_Impactes!$Q$5:$Q$47,MATCH(B$5,Aspetos_Impactes!$A$5:$A$47,0))&amp;""</f>
        <v>1</v>
      </c>
      <c r="C20" s="29" t="str">
        <f>INDEX(Aspetos_Impactes!$Q$5:$Q$47,MATCH(C$5,Aspetos_Impactes!$A$5:$A$47,0))&amp;""</f>
        <v>1</v>
      </c>
    </row>
    <row r="21" spans="1:3" x14ac:dyDescent="0.3">
      <c r="A21" s="28" t="s">
        <v>573</v>
      </c>
      <c r="B21" s="29" t="str">
        <f>INDEX(Aspetos_Impactes!$S$5:$S$47,MATCH(B$5,Aspetos_Impactes!$A$5:$A$47,0))&amp;""</f>
        <v>40</v>
      </c>
      <c r="C21" s="29" t="str">
        <f>INDEX(Aspetos_Impactes!$S$5:$S$47,MATCH(C$5,Aspetos_Impactes!$A$5:$A$47,0))&amp;""</f>
        <v>20</v>
      </c>
    </row>
    <row r="22" spans="1:3" x14ac:dyDescent="0.3">
      <c r="A22" s="28" t="s">
        <v>551</v>
      </c>
      <c r="B22" s="29" t="str">
        <f>INDEX(Aspetos_Impactes!$T$5:$T$47,MATCH(B$5,Aspetos_Impactes!$A$5:$A$47,0))&amp;""</f>
        <v>ASPETO AMBIENTAL SIGNIFICATIVO (AAS)</v>
      </c>
      <c r="C22" s="29" t="str">
        <f>INDEX(Aspetos_Impactes!$T$5:$T$47,MATCH(C$5,Aspetos_Impactes!$A$5:$A$47,0))&amp;""</f>
        <v>Moderado</v>
      </c>
    </row>
    <row r="23" spans="1:3" ht="45" customHeight="1" x14ac:dyDescent="0.3">
      <c r="A23" s="28" t="s">
        <v>574</v>
      </c>
      <c r="B23" s="29" t="str">
        <f>INDEX(Aspetos_Impactes!$AC$5:$AC$47,MATCH(B$5,Aspetos_Impactes!$A$5:$A$47,0))&amp;""</f>
        <v>F5 em cada mudança de cor/turno; M3; G5 COV sem tratamento (PR.G.01.01).</v>
      </c>
      <c r="C23" s="29" t="str">
        <f>INDEX(Aspetos_Impactes!$AC$5:$AC$47,MATCH(C$5,Aspetos_Impactes!$A$5:$A$47,0))&amp;""</f>
        <v>F1 emergência improvável; M3 até 200 L; G5 solventes com H336/H225 e tintas com H411.</v>
      </c>
    </row>
    <row r="24" spans="1:3" x14ac:dyDescent="0.3">
      <c r="A24" s="26" t="s">
        <v>575</v>
      </c>
      <c r="B24" s="27"/>
      <c r="C24" s="27"/>
    </row>
    <row r="25" spans="1:3" x14ac:dyDescent="0.3">
      <c r="A25" s="28" t="s">
        <v>576</v>
      </c>
      <c r="B25" s="29" t="str">
        <f>INDEX(Aspetos_Impactes!$W$5:$W$47,MATCH(B$5,Aspetos_Impactes!$A$5:$A$47,0))&amp;""</f>
        <v>SIM</v>
      </c>
      <c r="C25" s="29" t="str">
        <f>INDEX(Aspetos_Impactes!$W$5:$W$47,MATCH(C$5,Aspetos_Impactes!$A$5:$A$47,0))&amp;""</f>
        <v>SIM</v>
      </c>
    </row>
    <row r="26" spans="1:3" ht="45" customHeight="1" x14ac:dyDescent="0.3">
      <c r="A26" s="28" t="s">
        <v>553</v>
      </c>
      <c r="B26" s="29" t="str">
        <f>INDEX(Aspetos_Impactes!$X$5:$X$47,MATCH(B$5,Aspetos_Impactes!$A$5:$A$47,0))&amp;""</f>
        <v>Dispensadores de segurança, panos pré-dosados, limpeza por necessidade, avaliação de solvente de menor volatilidade.</v>
      </c>
      <c r="C26" s="29" t="str">
        <f>INDEX(Aspetos_Impactes!$X$5:$X$47,MATCH(C$5,Aspetos_Impactes!$A$5:$A$47,0))&amp;""</f>
        <v>Bacias de retenção, kits de derrame completos e selados, IT-SGA-01, simulacro semestral.</v>
      </c>
    </row>
    <row r="27" spans="1:3" x14ac:dyDescent="0.3">
      <c r="A27" s="28" t="s">
        <v>577</v>
      </c>
      <c r="B27" s="29" t="str">
        <f>INDEX(Aspetos_Impactes!$AG$5:$AG$47,MATCH(B$5,Aspetos_Impactes!$A$5:$A$47,0))&amp;""</f>
        <v>PAM-26-08</v>
      </c>
      <c r="C27" s="29" t="str">
        <f>INDEX(Aspetos_Impactes!$AG$5:$AG$47,MATCH(C$5,Aspetos_Impactes!$A$5:$A$47,0))&amp;""</f>
        <v>PAM-26-05</v>
      </c>
    </row>
    <row r="28" spans="1:3" x14ac:dyDescent="0.3">
      <c r="A28" s="28" t="s">
        <v>578</v>
      </c>
      <c r="B28" s="29" t="str">
        <f>INDEX(Aspetos_Impactes!$AD$5:$AD$47,MATCH(B$5,Aspetos_Impactes!$A$5:$A$47,0))&amp;""</f>
        <v>LEG-04</v>
      </c>
      <c r="C28" s="29" t="str">
        <f>INDEX(Aspetos_Impactes!$AD$5:$AD$47,MATCH(C$5,Aspetos_Impactes!$A$5:$A$47,0))&amp;""</f>
        <v>LEG-06</v>
      </c>
    </row>
    <row r="30" spans="1:3" ht="60" customHeight="1" x14ac:dyDescent="0.3">
      <c r="A30" s="19" t="s">
        <v>579</v>
      </c>
      <c r="B30" s="34" t="s">
        <v>580</v>
      </c>
      <c r="C30" s="33"/>
    </row>
  </sheetData>
  <mergeCells count="1">
    <mergeCell ref="B30:C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showGridLines="0" workbookViewId="0"/>
  </sheetViews>
  <sheetFormatPr defaultRowHeight="14.4" x14ac:dyDescent="0.3"/>
  <cols>
    <col min="1" max="1" width="44" customWidth="1"/>
    <col min="2" max="2" width="9" customWidth="1"/>
    <col min="3" max="5" width="10" customWidth="1"/>
    <col min="6" max="6" width="11" customWidth="1"/>
    <col min="7" max="7" width="8" customWidth="1"/>
    <col min="8" max="8" width="9" customWidth="1"/>
  </cols>
  <sheetData>
    <row r="1" spans="1:8" ht="17.399999999999999" x14ac:dyDescent="0.3">
      <c r="A1" s="1" t="s">
        <v>581</v>
      </c>
    </row>
    <row r="3" spans="1:8" ht="26.4" x14ac:dyDescent="0.3">
      <c r="A3" s="8" t="s">
        <v>102</v>
      </c>
      <c r="B3" s="8" t="s">
        <v>582</v>
      </c>
      <c r="C3" s="8" t="s">
        <v>583</v>
      </c>
      <c r="D3" s="8" t="s">
        <v>584</v>
      </c>
      <c r="E3" s="8" t="s">
        <v>585</v>
      </c>
      <c r="F3" s="8" t="s">
        <v>586</v>
      </c>
      <c r="G3" s="8" t="s">
        <v>587</v>
      </c>
      <c r="H3" s="8" t="s">
        <v>588</v>
      </c>
    </row>
    <row r="4" spans="1:8" x14ac:dyDescent="0.3">
      <c r="A4" s="20" t="s">
        <v>589</v>
      </c>
      <c r="B4">
        <f>COUNTIFS(Aspetos_Impactes!$B$5:$B$47,"REC",Aspetos_Impactes!$T$5:$T$47,"ASPETO AMBIENTAL SIGNIFICATIVO (AAS)")</f>
        <v>0</v>
      </c>
      <c r="C4">
        <f>COUNTIFS(Aspetos_Impactes!$B$5:$B$47,"REC",Aspetos_Impactes!$T$5:$T$47,"Moderado")</f>
        <v>1</v>
      </c>
      <c r="D4">
        <f>COUNTIFS(Aspetos_Impactes!$B$5:$B$47,"REC",Aspetos_Impactes!$T$5:$T$47,"Não Significativo")</f>
        <v>1</v>
      </c>
      <c r="E4">
        <f>COUNTIFS(Aspetos_Impactes!$B$5:$B$47,"REC",Aspetos_Impactes!$T$5:$T$47,"Oportunidade Tática")</f>
        <v>0</v>
      </c>
      <c r="F4">
        <f>COUNTIFS(Aspetos_Impactes!$B$5:$B$47,"REC",Aspetos_Impactes!$T$5:$T$47,"ASPETO AMBIENTAL SIGNIFICATIVO (AAS) BENÉFICO")</f>
        <v>0</v>
      </c>
      <c r="G4" s="19">
        <f>COUNTIF(Aspetos_Impactes!$B$5:$B$47,"REC")</f>
        <v>2</v>
      </c>
      <c r="H4">
        <f>IF(G4=0,"",_xlfn.MAXIFS(Aspetos_Impactes!$S$5:$S$47,Aspetos_Impactes!$B$5:$B$47,"REC"))</f>
        <v>28</v>
      </c>
    </row>
    <row r="5" spans="1:8" x14ac:dyDescent="0.3">
      <c r="A5" s="20" t="s">
        <v>590</v>
      </c>
      <c r="B5">
        <f>COUNTIFS(Aspetos_Impactes!$B$5:$B$47,"ARQ",Aspetos_Impactes!$T$5:$T$47,"ASPETO AMBIENTAL SIGNIFICATIVO (AAS)")</f>
        <v>0</v>
      </c>
      <c r="C5">
        <f>COUNTIFS(Aspetos_Impactes!$B$5:$B$47,"ARQ",Aspetos_Impactes!$T$5:$T$47,"Moderado")</f>
        <v>2</v>
      </c>
      <c r="D5">
        <f>COUNTIFS(Aspetos_Impactes!$B$5:$B$47,"ARQ",Aspetos_Impactes!$T$5:$T$47,"Não Significativo")</f>
        <v>0</v>
      </c>
      <c r="E5">
        <f>COUNTIFS(Aspetos_Impactes!$B$5:$B$47,"ARQ",Aspetos_Impactes!$T$5:$T$47,"Oportunidade Tática")</f>
        <v>0</v>
      </c>
      <c r="F5">
        <f>COUNTIFS(Aspetos_Impactes!$B$5:$B$47,"ARQ",Aspetos_Impactes!$T$5:$T$47,"ASPETO AMBIENTAL SIGNIFICATIVO (AAS) BENÉFICO")</f>
        <v>0</v>
      </c>
      <c r="G5" s="19">
        <f>COUNTIF(Aspetos_Impactes!$B$5:$B$47,"ARQ")</f>
        <v>2</v>
      </c>
      <c r="H5">
        <f>IF(G5=0,"",_xlfn.MAXIFS(Aspetos_Impactes!$S$5:$S$47,Aspetos_Impactes!$B$5:$B$47,"ARQ"))</f>
        <v>25</v>
      </c>
    </row>
    <row r="6" spans="1:8" x14ac:dyDescent="0.3">
      <c r="A6" s="20" t="s">
        <v>591</v>
      </c>
      <c r="B6">
        <f>COUNTIFS(Aspetos_Impactes!$B$5:$B$47,"INJ",Aspetos_Impactes!$T$5:$T$47,"ASPETO AMBIENTAL SIGNIFICATIVO (AAS)")</f>
        <v>0</v>
      </c>
      <c r="C6">
        <f>COUNTIFS(Aspetos_Impactes!$B$5:$B$47,"INJ",Aspetos_Impactes!$T$5:$T$47,"Moderado")</f>
        <v>2</v>
      </c>
      <c r="D6">
        <f>COUNTIFS(Aspetos_Impactes!$B$5:$B$47,"INJ",Aspetos_Impactes!$T$5:$T$47,"Não Significativo")</f>
        <v>1</v>
      </c>
      <c r="E6">
        <f>COUNTIFS(Aspetos_Impactes!$B$5:$B$47,"INJ",Aspetos_Impactes!$T$5:$T$47,"Oportunidade Tática")</f>
        <v>0</v>
      </c>
      <c r="F6">
        <f>COUNTIFS(Aspetos_Impactes!$B$5:$B$47,"INJ",Aspetos_Impactes!$T$5:$T$47,"ASPETO AMBIENTAL SIGNIFICATIVO (AAS) BENÉFICO")</f>
        <v>0</v>
      </c>
      <c r="G6" s="19">
        <f>COUNTIF(Aspetos_Impactes!$B$5:$B$47,"INJ")</f>
        <v>3</v>
      </c>
      <c r="H6">
        <f>IF(G6=0,"",_xlfn.MAXIFS(Aspetos_Impactes!$S$5:$S$47,Aspetos_Impactes!$B$5:$B$47,"INJ"))</f>
        <v>30</v>
      </c>
    </row>
    <row r="7" spans="1:8" x14ac:dyDescent="0.3">
      <c r="A7" s="20" t="s">
        <v>592</v>
      </c>
      <c r="B7">
        <f>COUNTIFS(Aspetos_Impactes!$B$5:$B$47,"SOP",Aspetos_Impactes!$T$5:$T$47,"ASPETO AMBIENTAL SIGNIFICATIVO (AAS)")</f>
        <v>0</v>
      </c>
      <c r="C7">
        <f>COUNTIFS(Aspetos_Impactes!$B$5:$B$47,"SOP",Aspetos_Impactes!$T$5:$T$47,"Moderado")</f>
        <v>4</v>
      </c>
      <c r="D7">
        <f>COUNTIFS(Aspetos_Impactes!$B$5:$B$47,"SOP",Aspetos_Impactes!$T$5:$T$47,"Não Significativo")</f>
        <v>0</v>
      </c>
      <c r="E7">
        <f>COUNTIFS(Aspetos_Impactes!$B$5:$B$47,"SOP",Aspetos_Impactes!$T$5:$T$47,"Oportunidade Tática")</f>
        <v>0</v>
      </c>
      <c r="F7">
        <f>COUNTIFS(Aspetos_Impactes!$B$5:$B$47,"SOP",Aspetos_Impactes!$T$5:$T$47,"ASPETO AMBIENTAL SIGNIFICATIVO (AAS) BENÉFICO")</f>
        <v>0</v>
      </c>
      <c r="G7" s="19">
        <f>COUNTIF(Aspetos_Impactes!$B$5:$B$47,"SOP")</f>
        <v>4</v>
      </c>
      <c r="H7">
        <f>IF(G7=0,"",_xlfn.MAXIFS(Aspetos_Impactes!$S$5:$S$47,Aspetos_Impactes!$B$5:$B$47,"SOP"))</f>
        <v>30</v>
      </c>
    </row>
    <row r="8" spans="1:8" x14ac:dyDescent="0.3">
      <c r="A8" s="20" t="s">
        <v>593</v>
      </c>
      <c r="B8">
        <f>COUNTIFS(Aspetos_Impactes!$B$5:$B$47,"SER",Aspetos_Impactes!$T$5:$T$47,"ASPETO AMBIENTAL SIGNIFICATIVO (AAS)")</f>
        <v>1</v>
      </c>
      <c r="C8">
        <f>COUNTIFS(Aspetos_Impactes!$B$5:$B$47,"SER",Aspetos_Impactes!$T$5:$T$47,"Moderado")</f>
        <v>2</v>
      </c>
      <c r="D8">
        <f>COUNTIFS(Aspetos_Impactes!$B$5:$B$47,"SER",Aspetos_Impactes!$T$5:$T$47,"Não Significativo")</f>
        <v>1</v>
      </c>
      <c r="E8">
        <f>COUNTIFS(Aspetos_Impactes!$B$5:$B$47,"SER",Aspetos_Impactes!$T$5:$T$47,"Oportunidade Tática")</f>
        <v>0</v>
      </c>
      <c r="F8">
        <f>COUNTIFS(Aspetos_Impactes!$B$5:$B$47,"SER",Aspetos_Impactes!$T$5:$T$47,"ASPETO AMBIENTAL SIGNIFICATIVO (AAS) BENÉFICO")</f>
        <v>0</v>
      </c>
      <c r="G8" s="19">
        <f>COUNTIF(Aspetos_Impactes!$B$5:$B$47,"SER")</f>
        <v>4</v>
      </c>
      <c r="H8">
        <f>IF(G8=0,"",_xlfn.MAXIFS(Aspetos_Impactes!$S$5:$S$47,Aspetos_Impactes!$B$5:$B$47,"SER"))</f>
        <v>40</v>
      </c>
    </row>
    <row r="9" spans="1:8" x14ac:dyDescent="0.3">
      <c r="A9" s="20" t="s">
        <v>594</v>
      </c>
      <c r="B9">
        <f>COUNTIFS(Aspetos_Impactes!$B$5:$B$47,"HFS",Aspetos_Impactes!$T$5:$T$47,"ASPETO AMBIENTAL SIGNIFICATIVO (AAS)")</f>
        <v>0</v>
      </c>
      <c r="C9">
        <f>COUNTIFS(Aspetos_Impactes!$B$5:$B$47,"HFS",Aspetos_Impactes!$T$5:$T$47,"Moderado")</f>
        <v>1</v>
      </c>
      <c r="D9">
        <f>COUNTIFS(Aspetos_Impactes!$B$5:$B$47,"HFS",Aspetos_Impactes!$T$5:$T$47,"Não Significativo")</f>
        <v>1</v>
      </c>
      <c r="E9">
        <f>COUNTIFS(Aspetos_Impactes!$B$5:$B$47,"HFS",Aspetos_Impactes!$T$5:$T$47,"Oportunidade Tática")</f>
        <v>0</v>
      </c>
      <c r="F9">
        <f>COUNTIFS(Aspetos_Impactes!$B$5:$B$47,"HFS",Aspetos_Impactes!$T$5:$T$47,"ASPETO AMBIENTAL SIGNIFICATIVO (AAS) BENÉFICO")</f>
        <v>0</v>
      </c>
      <c r="G9" s="19">
        <f>COUNTIF(Aspetos_Impactes!$B$5:$B$47,"HFS")</f>
        <v>2</v>
      </c>
      <c r="H9">
        <f>IF(G9=0,"",_xlfn.MAXIFS(Aspetos_Impactes!$S$5:$S$47,Aspetos_Impactes!$B$5:$B$47,"HFS"))</f>
        <v>21</v>
      </c>
    </row>
    <row r="10" spans="1:8" x14ac:dyDescent="0.3">
      <c r="A10" s="20" t="s">
        <v>595</v>
      </c>
      <c r="B10">
        <f>COUNTIFS(Aspetos_Impactes!$B$5:$B$47,"MOA",Aspetos_Impactes!$T$5:$T$47,"ASPETO AMBIENTAL SIGNIFICATIVO (AAS)")</f>
        <v>0</v>
      </c>
      <c r="C10">
        <f>COUNTIFS(Aspetos_Impactes!$B$5:$B$47,"MOA",Aspetos_Impactes!$T$5:$T$47,"Moderado")</f>
        <v>0</v>
      </c>
      <c r="D10">
        <f>COUNTIFS(Aspetos_Impactes!$B$5:$B$47,"MOA",Aspetos_Impactes!$T$5:$T$47,"Não Significativo")</f>
        <v>0</v>
      </c>
      <c r="E10">
        <f>COUNTIFS(Aspetos_Impactes!$B$5:$B$47,"MOA",Aspetos_Impactes!$T$5:$T$47,"Oportunidade Tática")</f>
        <v>1</v>
      </c>
      <c r="F10">
        <f>COUNTIFS(Aspetos_Impactes!$B$5:$B$47,"MOA",Aspetos_Impactes!$T$5:$T$47,"ASPETO AMBIENTAL SIGNIFICATIVO (AAS) BENÉFICO")</f>
        <v>0</v>
      </c>
      <c r="G10" s="19">
        <f>COUNTIF(Aspetos_Impactes!$B$5:$B$47,"MOA")</f>
        <v>1</v>
      </c>
      <c r="H10">
        <f>IF(G10=0,"",_xlfn.MAXIFS(Aspetos_Impactes!$S$5:$S$47,Aspetos_Impactes!$B$5:$B$47,"MOA"))</f>
        <v>-9</v>
      </c>
    </row>
    <row r="11" spans="1:8" x14ac:dyDescent="0.3">
      <c r="A11" s="20" t="s">
        <v>596</v>
      </c>
      <c r="B11">
        <f>COUNTIFS(Aspetos_Impactes!$B$5:$B$47,"UTL",Aspetos_Impactes!$T$5:$T$47,"ASPETO AMBIENTAL SIGNIFICATIVO (AAS)")</f>
        <v>1</v>
      </c>
      <c r="C11">
        <f>COUNTIFS(Aspetos_Impactes!$B$5:$B$47,"UTL",Aspetos_Impactes!$T$5:$T$47,"Moderado")</f>
        <v>3</v>
      </c>
      <c r="D11">
        <f>COUNTIFS(Aspetos_Impactes!$B$5:$B$47,"UTL",Aspetos_Impactes!$T$5:$T$47,"Não Significativo")</f>
        <v>1</v>
      </c>
      <c r="E11">
        <f>COUNTIFS(Aspetos_Impactes!$B$5:$B$47,"UTL",Aspetos_Impactes!$T$5:$T$47,"Oportunidade Tática")</f>
        <v>0</v>
      </c>
      <c r="F11">
        <f>COUNTIFS(Aspetos_Impactes!$B$5:$B$47,"UTL",Aspetos_Impactes!$T$5:$T$47,"ASPETO AMBIENTAL SIGNIFICATIVO (AAS) BENÉFICO")</f>
        <v>0</v>
      </c>
      <c r="G11" s="19">
        <f>COUNTIF(Aspetos_Impactes!$B$5:$B$47,"UTL")</f>
        <v>5</v>
      </c>
      <c r="H11">
        <f>IF(G11=0,"",_xlfn.MAXIFS(Aspetos_Impactes!$S$5:$S$47,Aspetos_Impactes!$B$5:$B$47,"UTL"))</f>
        <v>32</v>
      </c>
    </row>
    <row r="12" spans="1:8" x14ac:dyDescent="0.3">
      <c r="A12" s="20" t="s">
        <v>597</v>
      </c>
      <c r="B12">
        <f>COUNTIFS(Aspetos_Impactes!$B$5:$B$47,"MAN",Aspetos_Impactes!$T$5:$T$47,"ASPETO AMBIENTAL SIGNIFICATIVO (AAS)")</f>
        <v>0</v>
      </c>
      <c r="C12">
        <f>COUNTIFS(Aspetos_Impactes!$B$5:$B$47,"MAN",Aspetos_Impactes!$T$5:$T$47,"Moderado")</f>
        <v>1</v>
      </c>
      <c r="D12">
        <f>COUNTIFS(Aspetos_Impactes!$B$5:$B$47,"MAN",Aspetos_Impactes!$T$5:$T$47,"Não Significativo")</f>
        <v>0</v>
      </c>
      <c r="E12">
        <f>COUNTIFS(Aspetos_Impactes!$B$5:$B$47,"MAN",Aspetos_Impactes!$T$5:$T$47,"Oportunidade Tática")</f>
        <v>0</v>
      </c>
      <c r="F12">
        <f>COUNTIFS(Aspetos_Impactes!$B$5:$B$47,"MAN",Aspetos_Impactes!$T$5:$T$47,"ASPETO AMBIENTAL SIGNIFICATIVO (AAS) BENÉFICO")</f>
        <v>0</v>
      </c>
      <c r="G12" s="19">
        <f>COUNTIF(Aspetos_Impactes!$B$5:$B$47,"MAN")</f>
        <v>1</v>
      </c>
      <c r="H12">
        <f>IF(G12=0,"",_xlfn.MAXIFS(Aspetos_Impactes!$S$5:$S$47,Aspetos_Impactes!$B$5:$B$47,"MAN"))</f>
        <v>20</v>
      </c>
    </row>
    <row r="13" spans="1:8" x14ac:dyDescent="0.3">
      <c r="A13" s="20" t="s">
        <v>598</v>
      </c>
      <c r="B13">
        <f>COUNTIFS(Aspetos_Impactes!$B$5:$B$47,"PRS",Aspetos_Impactes!$T$5:$T$47,"ASPETO AMBIENTAL SIGNIFICATIVO (AAS)")</f>
        <v>0</v>
      </c>
      <c r="C13">
        <f>COUNTIFS(Aspetos_Impactes!$B$5:$B$47,"PRS",Aspetos_Impactes!$T$5:$T$47,"Moderado")</f>
        <v>0</v>
      </c>
      <c r="D13">
        <f>COUNTIFS(Aspetos_Impactes!$B$5:$B$47,"PRS",Aspetos_Impactes!$T$5:$T$47,"Não Significativo")</f>
        <v>1</v>
      </c>
      <c r="E13">
        <f>COUNTIFS(Aspetos_Impactes!$B$5:$B$47,"PRS",Aspetos_Impactes!$T$5:$T$47,"Oportunidade Tática")</f>
        <v>1</v>
      </c>
      <c r="F13">
        <f>COUNTIFS(Aspetos_Impactes!$B$5:$B$47,"PRS",Aspetos_Impactes!$T$5:$T$47,"ASPETO AMBIENTAL SIGNIFICATIVO (AAS) BENÉFICO")</f>
        <v>0</v>
      </c>
      <c r="G13" s="19">
        <f>COUNTIF(Aspetos_Impactes!$B$5:$B$47,"PRS")</f>
        <v>2</v>
      </c>
      <c r="H13">
        <f>IF(G13=0,"",_xlfn.MAXIFS(Aspetos_Impactes!$S$5:$S$47,Aspetos_Impactes!$B$5:$B$47,"PRS"))</f>
        <v>16</v>
      </c>
    </row>
    <row r="14" spans="1:8" x14ac:dyDescent="0.3">
      <c r="A14" s="20" t="s">
        <v>599</v>
      </c>
      <c r="B14">
        <f>COUNTIFS(Aspetos_Impactes!$B$5:$B$47,"EXP",Aspetos_Impactes!$T$5:$T$47,"ASPETO AMBIENTAL SIGNIFICATIVO (AAS)")</f>
        <v>0</v>
      </c>
      <c r="C14">
        <f>COUNTIFS(Aspetos_Impactes!$B$5:$B$47,"EXP",Aspetos_Impactes!$T$5:$T$47,"Moderado")</f>
        <v>1</v>
      </c>
      <c r="D14">
        <f>COUNTIFS(Aspetos_Impactes!$B$5:$B$47,"EXP",Aspetos_Impactes!$T$5:$T$47,"Não Significativo")</f>
        <v>1</v>
      </c>
      <c r="E14">
        <f>COUNTIFS(Aspetos_Impactes!$B$5:$B$47,"EXP",Aspetos_Impactes!$T$5:$T$47,"Oportunidade Tática")</f>
        <v>1</v>
      </c>
      <c r="F14">
        <f>COUNTIFS(Aspetos_Impactes!$B$5:$B$47,"EXP",Aspetos_Impactes!$T$5:$T$47,"ASPETO AMBIENTAL SIGNIFICATIVO (AAS) BENÉFICO")</f>
        <v>0</v>
      </c>
      <c r="G14" s="19">
        <f>COUNTIF(Aspetos_Impactes!$B$5:$B$47,"EXP")</f>
        <v>3</v>
      </c>
      <c r="H14">
        <f>IF(G14=0,"",_xlfn.MAXIFS(Aspetos_Impactes!$S$5:$S$47,Aspetos_Impactes!$B$5:$B$47,"EXP"))</f>
        <v>27</v>
      </c>
    </row>
    <row r="15" spans="1:8" x14ac:dyDescent="0.3">
      <c r="A15" s="20" t="s">
        <v>600</v>
      </c>
      <c r="B15">
        <f>COUNTIFS(Aspetos_Impactes!$B$5:$B$47,"LAB",Aspetos_Impactes!$T$5:$T$47,"ASPETO AMBIENTAL SIGNIFICATIVO (AAS)")</f>
        <v>0</v>
      </c>
      <c r="C15">
        <f>COUNTIFS(Aspetos_Impactes!$B$5:$B$47,"LAB",Aspetos_Impactes!$T$5:$T$47,"Moderado")</f>
        <v>0</v>
      </c>
      <c r="D15">
        <f>COUNTIFS(Aspetos_Impactes!$B$5:$B$47,"LAB",Aspetos_Impactes!$T$5:$T$47,"Não Significativo")</f>
        <v>0</v>
      </c>
      <c r="E15">
        <f>COUNTIFS(Aspetos_Impactes!$B$5:$B$47,"LAB",Aspetos_Impactes!$T$5:$T$47,"Oportunidade Tática")</f>
        <v>0</v>
      </c>
      <c r="F15">
        <f>COUNTIFS(Aspetos_Impactes!$B$5:$B$47,"LAB",Aspetos_Impactes!$T$5:$T$47,"ASPETO AMBIENTAL SIGNIFICATIVO (AAS) BENÉFICO")</f>
        <v>0</v>
      </c>
      <c r="G15" s="19">
        <f>COUNTIF(Aspetos_Impactes!$B$5:$B$47,"LAB")</f>
        <v>0</v>
      </c>
      <c r="H15" t="str">
        <f>IF(G15=0,"",_xlfn.MAXIFS(Aspetos_Impactes!$S$5:$S$47,Aspetos_Impactes!$B$5:$B$47,"LAB"))</f>
        <v/>
      </c>
    </row>
    <row r="16" spans="1:8" x14ac:dyDescent="0.3">
      <c r="A16" s="20" t="s">
        <v>601</v>
      </c>
      <c r="B16">
        <f>COUNTIFS(Aspetos_Impactes!$B$5:$B$47,"RD",Aspetos_Impactes!$T$5:$T$47,"ASPETO AMBIENTAL SIGNIFICATIVO (AAS)")</f>
        <v>1</v>
      </c>
      <c r="C16">
        <f>COUNTIFS(Aspetos_Impactes!$B$5:$B$47,"RD",Aspetos_Impactes!$T$5:$T$47,"Moderado")</f>
        <v>1</v>
      </c>
      <c r="D16">
        <f>COUNTIFS(Aspetos_Impactes!$B$5:$B$47,"RD",Aspetos_Impactes!$T$5:$T$47,"Não Significativo")</f>
        <v>0</v>
      </c>
      <c r="E16">
        <f>COUNTIFS(Aspetos_Impactes!$B$5:$B$47,"RD",Aspetos_Impactes!$T$5:$T$47,"Oportunidade Tática")</f>
        <v>0</v>
      </c>
      <c r="F16">
        <f>COUNTIFS(Aspetos_Impactes!$B$5:$B$47,"RD",Aspetos_Impactes!$T$5:$T$47,"ASPETO AMBIENTAL SIGNIFICATIVO (AAS) BENÉFICO")</f>
        <v>0</v>
      </c>
      <c r="G16" s="19">
        <f>COUNTIF(Aspetos_Impactes!$B$5:$B$47,"RD")</f>
        <v>2</v>
      </c>
      <c r="H16">
        <f>IF(G16=0,"",_xlfn.MAXIFS(Aspetos_Impactes!$S$5:$S$47,Aspetos_Impactes!$B$5:$B$47,"RD"))</f>
        <v>60</v>
      </c>
    </row>
    <row r="17" spans="1:8" x14ac:dyDescent="0.3">
      <c r="A17" s="20" t="s">
        <v>602</v>
      </c>
      <c r="B17">
        <f>COUNTIFS(Aspetos_Impactes!$B$5:$B$47,"CMP",Aspetos_Impactes!$T$5:$T$47,"ASPETO AMBIENTAL SIGNIFICATIVO (AAS)")</f>
        <v>0</v>
      </c>
      <c r="C17">
        <f>COUNTIFS(Aspetos_Impactes!$B$5:$B$47,"CMP",Aspetos_Impactes!$T$5:$T$47,"Moderado")</f>
        <v>2</v>
      </c>
      <c r="D17">
        <f>COUNTIFS(Aspetos_Impactes!$B$5:$B$47,"CMP",Aspetos_Impactes!$T$5:$T$47,"Não Significativo")</f>
        <v>0</v>
      </c>
      <c r="E17">
        <f>COUNTIFS(Aspetos_Impactes!$B$5:$B$47,"CMP",Aspetos_Impactes!$T$5:$T$47,"Oportunidade Tática")</f>
        <v>0</v>
      </c>
      <c r="F17">
        <f>COUNTIFS(Aspetos_Impactes!$B$5:$B$47,"CMP",Aspetos_Impactes!$T$5:$T$47,"ASPETO AMBIENTAL SIGNIFICATIVO (AAS) BENÉFICO")</f>
        <v>0</v>
      </c>
      <c r="G17" s="19">
        <f>COUNTIF(Aspetos_Impactes!$B$5:$B$47,"CMP")</f>
        <v>2</v>
      </c>
      <c r="H17">
        <f>IF(G17=0,"",_xlfn.MAXIFS(Aspetos_Impactes!$S$5:$S$47,Aspetos_Impactes!$B$5:$B$47,"CMP"))</f>
        <v>24</v>
      </c>
    </row>
    <row r="18" spans="1:8" x14ac:dyDescent="0.3">
      <c r="A18" s="20" t="s">
        <v>603</v>
      </c>
      <c r="B18">
        <f>COUNTIFS(Aspetos_Impactes!$B$5:$B$47,"ADM",Aspetos_Impactes!$T$5:$T$47,"ASPETO AMBIENTAL SIGNIFICATIVO (AAS)")</f>
        <v>0</v>
      </c>
      <c r="C18">
        <f>COUNTIFS(Aspetos_Impactes!$B$5:$B$47,"ADM",Aspetos_Impactes!$T$5:$T$47,"Moderado")</f>
        <v>0</v>
      </c>
      <c r="D18">
        <f>COUNTIFS(Aspetos_Impactes!$B$5:$B$47,"ADM",Aspetos_Impactes!$T$5:$T$47,"Não Significativo")</f>
        <v>1</v>
      </c>
      <c r="E18">
        <f>COUNTIFS(Aspetos_Impactes!$B$5:$B$47,"ADM",Aspetos_Impactes!$T$5:$T$47,"Oportunidade Tática")</f>
        <v>0</v>
      </c>
      <c r="F18">
        <f>COUNTIFS(Aspetos_Impactes!$B$5:$B$47,"ADM",Aspetos_Impactes!$T$5:$T$47,"ASPETO AMBIENTAL SIGNIFICATIVO (AAS) BENÉFICO")</f>
        <v>0</v>
      </c>
      <c r="G18" s="19">
        <f>COUNTIF(Aspetos_Impactes!$B$5:$B$47,"ADM")</f>
        <v>1</v>
      </c>
      <c r="H18">
        <f>IF(G18=0,"",_xlfn.MAXIFS(Aspetos_Impactes!$S$5:$S$47,Aspetos_Impactes!$B$5:$B$47,"ADM"))</f>
        <v>5</v>
      </c>
    </row>
    <row r="19" spans="1:8" x14ac:dyDescent="0.3">
      <c r="A19" s="20" t="s">
        <v>604</v>
      </c>
      <c r="B19">
        <f>COUNTIFS(Aspetos_Impactes!$B$5:$B$47,"GER",Aspetos_Impactes!$T$5:$T$47,"ASPETO AMBIENTAL SIGNIFICATIVO (AAS)")</f>
        <v>0</v>
      </c>
      <c r="C19">
        <f>COUNTIFS(Aspetos_Impactes!$B$5:$B$47,"GER",Aspetos_Impactes!$T$5:$T$47,"Moderado")</f>
        <v>3</v>
      </c>
      <c r="D19">
        <f>COUNTIFS(Aspetos_Impactes!$B$5:$B$47,"GER",Aspetos_Impactes!$T$5:$T$47,"Não Significativo")</f>
        <v>4</v>
      </c>
      <c r="E19">
        <f>COUNTIFS(Aspetos_Impactes!$B$5:$B$47,"GER",Aspetos_Impactes!$T$5:$T$47,"Oportunidade Tática")</f>
        <v>1</v>
      </c>
      <c r="F19">
        <f>COUNTIFS(Aspetos_Impactes!$B$5:$B$47,"GER",Aspetos_Impactes!$T$5:$T$47,"ASPETO AMBIENTAL SIGNIFICATIVO (AAS) BENÉFICO")</f>
        <v>1</v>
      </c>
      <c r="G19" s="19">
        <f>COUNTIF(Aspetos_Impactes!$B$5:$B$47,"GER")</f>
        <v>9</v>
      </c>
      <c r="H19">
        <f>IF(G19=0,"",_xlfn.MAXIFS(Aspetos_Impactes!$S$5:$S$47,Aspetos_Impactes!$B$5:$B$47,"GER"))</f>
        <v>30</v>
      </c>
    </row>
    <row r="20" spans="1:8" x14ac:dyDescent="0.3">
      <c r="A20" s="19" t="s">
        <v>605</v>
      </c>
      <c r="B20" s="19">
        <f t="shared" ref="B20:G20" si="0">SUM(B4:B19)</f>
        <v>3</v>
      </c>
      <c r="C20" s="19">
        <f t="shared" si="0"/>
        <v>23</v>
      </c>
      <c r="D20" s="19">
        <f t="shared" si="0"/>
        <v>12</v>
      </c>
      <c r="E20" s="19">
        <f t="shared" si="0"/>
        <v>4</v>
      </c>
      <c r="F20" s="19">
        <f t="shared" si="0"/>
        <v>1</v>
      </c>
      <c r="G20" s="19">
        <f t="shared" si="0"/>
        <v>43</v>
      </c>
    </row>
    <row r="22" spans="1:8" ht="26.4" x14ac:dyDescent="0.3">
      <c r="A22" s="8" t="s">
        <v>606</v>
      </c>
      <c r="B22" s="8" t="s">
        <v>607</v>
      </c>
      <c r="C22" s="8" t="s">
        <v>608</v>
      </c>
    </row>
    <row r="23" spans="1:8" x14ac:dyDescent="0.3">
      <c r="A23" t="s">
        <v>148</v>
      </c>
      <c r="B23">
        <f>COUNTIF(Aspetos_Impactes!$I$5:$I$47,"Normal")</f>
        <v>33</v>
      </c>
      <c r="C23">
        <f>COUNTIFS(Aspetos_Impactes!$I$5:$I$47,"Normal",Aspetos_Impactes!$T$5:$T$47,"ASPETO*")</f>
        <v>4</v>
      </c>
    </row>
    <row r="24" spans="1:8" x14ac:dyDescent="0.3">
      <c r="A24" t="s">
        <v>218</v>
      </c>
      <c r="B24">
        <f>COUNTIF(Aspetos_Impactes!$I$5:$I$47,"Anormal")</f>
        <v>6</v>
      </c>
      <c r="C24">
        <f>COUNTIFS(Aspetos_Impactes!$I$5:$I$47,"Anormal",Aspetos_Impactes!$T$5:$T$47,"ASPETO*")</f>
        <v>0</v>
      </c>
    </row>
    <row r="25" spans="1:8" x14ac:dyDescent="0.3">
      <c r="A25" t="s">
        <v>204</v>
      </c>
      <c r="B25">
        <f>COUNTIF(Aspetos_Impactes!$I$5:$I$47,"Emergência")</f>
        <v>4</v>
      </c>
      <c r="C25">
        <f>COUNTIFS(Aspetos_Impactes!$I$5:$I$47,"Emergência",Aspetos_Impactes!$T$5:$T$47,"ASPETO*")</f>
        <v>0</v>
      </c>
    </row>
    <row r="27" spans="1:8" ht="26.4" x14ac:dyDescent="0.3">
      <c r="A27" s="8" t="s">
        <v>609</v>
      </c>
      <c r="B27" s="8" t="s">
        <v>607</v>
      </c>
      <c r="C27" s="8" t="s">
        <v>608</v>
      </c>
    </row>
    <row r="28" spans="1:8" x14ac:dyDescent="0.3">
      <c r="A28" t="s">
        <v>144</v>
      </c>
      <c r="B28">
        <f>COUNTIF(Aspetos_Impactes!$E$5:$E$47,"Aquisição")</f>
        <v>2</v>
      </c>
      <c r="C28">
        <f>COUNTIFS(Aspetos_Impactes!$E$5:$E$47,"Aquisição",Aspetos_Impactes!$T$5:$T$47,"ASPETO*")</f>
        <v>0</v>
      </c>
    </row>
    <row r="29" spans="1:8" x14ac:dyDescent="0.3">
      <c r="A29" t="s">
        <v>482</v>
      </c>
      <c r="B29">
        <f>COUNTIF(Aspetos_Impactes!$E$5:$E$47,"Design e Conceção")</f>
        <v>2</v>
      </c>
      <c r="C29">
        <f>COUNTIFS(Aspetos_Impactes!$E$5:$E$47,"Design e Conceção",Aspetos_Impactes!$T$5:$T$47,"ASPETO*")</f>
        <v>1</v>
      </c>
    </row>
    <row r="30" spans="1:8" x14ac:dyDescent="0.3">
      <c r="A30" t="s">
        <v>173</v>
      </c>
      <c r="B30">
        <f>COUNTIF(Aspetos_Impactes!$E$5:$E$47,"Produção")</f>
        <v>32</v>
      </c>
      <c r="C30">
        <f>COUNTIFS(Aspetos_Impactes!$E$5:$E$47,"Produção",Aspetos_Impactes!$T$5:$T$47,"ASPETO*")</f>
        <v>3</v>
      </c>
    </row>
    <row r="31" spans="1:8" x14ac:dyDescent="0.3">
      <c r="A31" t="s">
        <v>504</v>
      </c>
      <c r="B31">
        <f>COUNTIF(Aspetos_Impactes!$E$5:$E$47,"Distribuição")</f>
        <v>3</v>
      </c>
      <c r="C31">
        <f>COUNTIFS(Aspetos_Impactes!$E$5:$E$47,"Distribuição",Aspetos_Impactes!$T$5:$T$47,"ASPETO*")</f>
        <v>0</v>
      </c>
    </row>
    <row r="32" spans="1:8" x14ac:dyDescent="0.3">
      <c r="A32" t="s">
        <v>522</v>
      </c>
      <c r="B32">
        <f>COUNTIF(Aspetos_Impactes!$E$5:$E$47,"Uso (Consumidor Final)")</f>
        <v>1</v>
      </c>
      <c r="C32">
        <f>COUNTIFS(Aspetos_Impactes!$E$5:$E$47,"Uso (Consumidor Final)",Aspetos_Impactes!$T$5:$T$47,"ASPETO*")</f>
        <v>0</v>
      </c>
    </row>
    <row r="33" spans="1:3" x14ac:dyDescent="0.3">
      <c r="A33" t="s">
        <v>405</v>
      </c>
      <c r="B33">
        <f>COUNTIF(Aspetos_Impactes!$E$5:$E$47,"Fim de Vida")</f>
        <v>3</v>
      </c>
      <c r="C33">
        <f>COUNTIFS(Aspetos_Impactes!$E$5:$E$47,"Fim de Vida",Aspetos_Impactes!$T$5:$T$47,"ASPETO*")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"/>
  <sheetViews>
    <sheetView showGridLines="0" workbookViewId="0"/>
  </sheetViews>
  <sheetFormatPr defaultRowHeight="14.4" x14ac:dyDescent="0.3"/>
  <cols>
    <col min="1" max="1" width="16" customWidth="1"/>
    <col min="2" max="2" width="26" customWidth="1"/>
    <col min="3" max="3" width="90" customWidth="1"/>
  </cols>
  <sheetData>
    <row r="1" spans="1:3" ht="17.399999999999999" x14ac:dyDescent="0.3">
      <c r="A1" s="1" t="s">
        <v>610</v>
      </c>
    </row>
    <row r="3" spans="1:3" x14ac:dyDescent="0.3">
      <c r="A3" s="19" t="s">
        <v>611</v>
      </c>
    </row>
    <row r="4" spans="1:3" x14ac:dyDescent="0.3">
      <c r="A4" s="29">
        <v>1</v>
      </c>
      <c r="B4" s="29" t="s">
        <v>612</v>
      </c>
      <c r="C4" s="29" t="s">
        <v>613</v>
      </c>
    </row>
    <row r="5" spans="1:3" x14ac:dyDescent="0.3">
      <c r="A5" s="29">
        <v>2</v>
      </c>
      <c r="B5" s="29" t="s">
        <v>614</v>
      </c>
      <c r="C5" s="29" t="s">
        <v>615</v>
      </c>
    </row>
    <row r="6" spans="1:3" x14ac:dyDescent="0.3">
      <c r="A6" s="29">
        <v>3</v>
      </c>
      <c r="B6" s="29" t="s">
        <v>616</v>
      </c>
      <c r="C6" s="29" t="s">
        <v>617</v>
      </c>
    </row>
    <row r="7" spans="1:3" x14ac:dyDescent="0.3">
      <c r="A7" s="29">
        <v>4</v>
      </c>
      <c r="B7" s="29" t="s">
        <v>618</v>
      </c>
      <c r="C7" s="29" t="s">
        <v>619</v>
      </c>
    </row>
    <row r="8" spans="1:3" x14ac:dyDescent="0.3">
      <c r="A8" s="29">
        <v>5</v>
      </c>
      <c r="B8" s="29" t="s">
        <v>620</v>
      </c>
      <c r="C8" s="29" t="s">
        <v>621</v>
      </c>
    </row>
    <row r="10" spans="1:3" x14ac:dyDescent="0.3">
      <c r="A10" s="19" t="s">
        <v>622</v>
      </c>
    </row>
    <row r="11" spans="1:3" x14ac:dyDescent="0.3">
      <c r="A11" s="29">
        <v>1</v>
      </c>
      <c r="B11" s="29" t="s">
        <v>623</v>
      </c>
      <c r="C11" s="29" t="s">
        <v>624</v>
      </c>
    </row>
    <row r="12" spans="1:3" x14ac:dyDescent="0.3">
      <c r="A12" s="29">
        <v>2</v>
      </c>
      <c r="B12" s="29" t="s">
        <v>625</v>
      </c>
      <c r="C12" s="29" t="s">
        <v>626</v>
      </c>
    </row>
    <row r="13" spans="1:3" x14ac:dyDescent="0.3">
      <c r="A13" s="29">
        <v>3</v>
      </c>
      <c r="B13" s="29" t="s">
        <v>627</v>
      </c>
      <c r="C13" s="29" t="s">
        <v>628</v>
      </c>
    </row>
    <row r="14" spans="1:3" x14ac:dyDescent="0.3">
      <c r="A14" s="29">
        <v>4</v>
      </c>
      <c r="B14" s="29" t="s">
        <v>629</v>
      </c>
      <c r="C14" s="29" t="s">
        <v>630</v>
      </c>
    </row>
    <row r="15" spans="1:3" x14ac:dyDescent="0.3">
      <c r="A15" s="29">
        <v>5</v>
      </c>
      <c r="B15" s="29" t="s">
        <v>631</v>
      </c>
      <c r="C15" s="29" t="s">
        <v>632</v>
      </c>
    </row>
    <row r="17" spans="1:3" x14ac:dyDescent="0.3">
      <c r="A17" s="19" t="s">
        <v>633</v>
      </c>
    </row>
    <row r="18" spans="1:3" ht="26.4" x14ac:dyDescent="0.3">
      <c r="A18" s="29">
        <v>-2</v>
      </c>
      <c r="B18" s="29" t="s">
        <v>634</v>
      </c>
      <c r="C18" s="29" t="s">
        <v>635</v>
      </c>
    </row>
    <row r="19" spans="1:3" x14ac:dyDescent="0.3">
      <c r="A19" s="29">
        <v>-1</v>
      </c>
      <c r="B19" s="29" t="s">
        <v>636</v>
      </c>
      <c r="C19" s="29" t="s">
        <v>637</v>
      </c>
    </row>
    <row r="20" spans="1:3" x14ac:dyDescent="0.3">
      <c r="A20" s="29">
        <v>1</v>
      </c>
      <c r="B20" s="29" t="s">
        <v>638</v>
      </c>
      <c r="C20" s="29" t="s">
        <v>639</v>
      </c>
    </row>
    <row r="21" spans="1:3" x14ac:dyDescent="0.3">
      <c r="A21" s="29">
        <v>2</v>
      </c>
      <c r="B21" s="29" t="s">
        <v>640</v>
      </c>
      <c r="C21" s="29" t="s">
        <v>641</v>
      </c>
    </row>
    <row r="22" spans="1:3" x14ac:dyDescent="0.3">
      <c r="A22" s="29">
        <v>3</v>
      </c>
      <c r="B22" s="29" t="s">
        <v>642</v>
      </c>
      <c r="C22" s="29" t="s">
        <v>643</v>
      </c>
    </row>
    <row r="23" spans="1:3" x14ac:dyDescent="0.3">
      <c r="A23" s="29">
        <v>4</v>
      </c>
      <c r="B23" s="29" t="s">
        <v>644</v>
      </c>
      <c r="C23" s="29" t="s">
        <v>645</v>
      </c>
    </row>
    <row r="24" spans="1:3" x14ac:dyDescent="0.3">
      <c r="A24" s="29">
        <v>5</v>
      </c>
      <c r="B24" s="29" t="s">
        <v>646</v>
      </c>
      <c r="C24" s="29" t="s">
        <v>647</v>
      </c>
    </row>
    <row r="26" spans="1:3" x14ac:dyDescent="0.3">
      <c r="A26" s="19" t="s">
        <v>648</v>
      </c>
    </row>
    <row r="27" spans="1:3" x14ac:dyDescent="0.3">
      <c r="A27" s="29">
        <v>1</v>
      </c>
      <c r="B27" s="29" t="s">
        <v>649</v>
      </c>
      <c r="C27" s="29" t="s">
        <v>650</v>
      </c>
    </row>
    <row r="28" spans="1:3" x14ac:dyDescent="0.3">
      <c r="A28" s="29">
        <v>2</v>
      </c>
      <c r="B28" s="29" t="s">
        <v>651</v>
      </c>
      <c r="C28" s="29" t="s">
        <v>652</v>
      </c>
    </row>
    <row r="30" spans="1:3" x14ac:dyDescent="0.3">
      <c r="A30" s="19" t="s">
        <v>653</v>
      </c>
    </row>
    <row r="31" spans="1:3" x14ac:dyDescent="0.3">
      <c r="A31" s="29" t="s">
        <v>654</v>
      </c>
      <c r="B31" s="29" t="s">
        <v>582</v>
      </c>
      <c r="C31" s="29" t="s">
        <v>655</v>
      </c>
    </row>
    <row r="32" spans="1:3" x14ac:dyDescent="0.3">
      <c r="A32" s="29" t="s">
        <v>656</v>
      </c>
      <c r="B32" s="29" t="s">
        <v>583</v>
      </c>
      <c r="C32" s="29" t="s">
        <v>657</v>
      </c>
    </row>
    <row r="33" spans="1:3" x14ac:dyDescent="0.3">
      <c r="A33" s="29" t="s">
        <v>658</v>
      </c>
      <c r="B33" s="29" t="s">
        <v>659</v>
      </c>
      <c r="C33" s="29" t="s">
        <v>660</v>
      </c>
    </row>
    <row r="34" spans="1:3" x14ac:dyDescent="0.3">
      <c r="A34" s="29" t="s">
        <v>661</v>
      </c>
      <c r="B34" s="29" t="s">
        <v>662</v>
      </c>
      <c r="C34" s="29" t="s">
        <v>663</v>
      </c>
    </row>
    <row r="35" spans="1:3" x14ac:dyDescent="0.3">
      <c r="A35" s="29" t="s">
        <v>664</v>
      </c>
      <c r="B35" s="29" t="s">
        <v>665</v>
      </c>
      <c r="C35" s="29" t="s">
        <v>666</v>
      </c>
    </row>
    <row r="37" spans="1:3" ht="28.8" x14ac:dyDescent="0.3">
      <c r="A37" s="19" t="s">
        <v>667</v>
      </c>
      <c r="C37" s="30" t="s">
        <v>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4" customWidth="1"/>
    <col min="4" max="4" width="23" customWidth="1"/>
    <col min="5" max="13" width="16" customWidth="1"/>
  </cols>
  <sheetData>
    <row r="1" spans="1:13" x14ac:dyDescent="0.3">
      <c r="A1" s="19" t="s">
        <v>669</v>
      </c>
    </row>
    <row r="2" spans="1:13" x14ac:dyDescent="0.3">
      <c r="A2" s="22" t="s">
        <v>670</v>
      </c>
      <c r="B2" s="22" t="s">
        <v>102</v>
      </c>
      <c r="C2" s="22" t="s">
        <v>671</v>
      </c>
      <c r="D2" s="22" t="s">
        <v>672</v>
      </c>
      <c r="E2" s="22" t="s">
        <v>673</v>
      </c>
      <c r="F2" s="22" t="s">
        <v>674</v>
      </c>
      <c r="G2" s="22" t="s">
        <v>110</v>
      </c>
      <c r="H2" s="22" t="s">
        <v>69</v>
      </c>
      <c r="I2" s="22" t="s">
        <v>675</v>
      </c>
      <c r="J2" s="22" t="s">
        <v>676</v>
      </c>
      <c r="K2" s="22" t="s">
        <v>116</v>
      </c>
      <c r="L2" s="22" t="s">
        <v>117</v>
      </c>
      <c r="M2" s="22" t="s">
        <v>677</v>
      </c>
    </row>
    <row r="3" spans="1:13" x14ac:dyDescent="0.3">
      <c r="A3" s="31">
        <v>46387</v>
      </c>
      <c r="B3" s="6" t="s">
        <v>170</v>
      </c>
      <c r="C3" s="6" t="s">
        <v>144</v>
      </c>
      <c r="D3" s="6" t="s">
        <v>163</v>
      </c>
      <c r="E3" s="6" t="s">
        <v>176</v>
      </c>
      <c r="F3" s="6" t="s">
        <v>148</v>
      </c>
      <c r="G3" s="6" t="s">
        <v>149</v>
      </c>
      <c r="H3" s="6" t="s">
        <v>73</v>
      </c>
      <c r="I3" s="6">
        <v>1</v>
      </c>
      <c r="J3" s="6">
        <v>1</v>
      </c>
      <c r="K3" s="6">
        <v>-2</v>
      </c>
      <c r="L3" s="6">
        <v>1</v>
      </c>
      <c r="M3" s="6" t="s">
        <v>214</v>
      </c>
    </row>
    <row r="4" spans="1:13" x14ac:dyDescent="0.3">
      <c r="B4" s="6" t="s">
        <v>199</v>
      </c>
      <c r="C4" s="6" t="s">
        <v>482</v>
      </c>
      <c r="D4" s="6" t="s">
        <v>375</v>
      </c>
      <c r="E4" s="6" t="s">
        <v>147</v>
      </c>
      <c r="F4" s="6" t="s">
        <v>218</v>
      </c>
      <c r="G4" s="6" t="s">
        <v>386</v>
      </c>
      <c r="H4" s="6" t="s">
        <v>76</v>
      </c>
      <c r="I4" s="6">
        <v>2</v>
      </c>
      <c r="J4" s="6">
        <v>2</v>
      </c>
      <c r="K4" s="6">
        <v>-1</v>
      </c>
      <c r="L4" s="6">
        <v>2</v>
      </c>
      <c r="M4" s="6" t="s">
        <v>159</v>
      </c>
    </row>
    <row r="5" spans="1:13" x14ac:dyDescent="0.3">
      <c r="B5" s="6" t="s">
        <v>227</v>
      </c>
      <c r="C5" s="6" t="s">
        <v>173</v>
      </c>
      <c r="D5" s="6" t="s">
        <v>190</v>
      </c>
      <c r="F5" s="6" t="s">
        <v>204</v>
      </c>
      <c r="G5" s="6" t="s">
        <v>205</v>
      </c>
      <c r="H5" s="6" t="s">
        <v>78</v>
      </c>
      <c r="I5" s="6">
        <v>3</v>
      </c>
      <c r="J5" s="6">
        <v>3</v>
      </c>
      <c r="K5" s="6">
        <v>1</v>
      </c>
    </row>
    <row r="6" spans="1:13" x14ac:dyDescent="0.3">
      <c r="B6" s="6" t="s">
        <v>257</v>
      </c>
      <c r="C6" s="6" t="s">
        <v>504</v>
      </c>
      <c r="D6" s="6" t="s">
        <v>202</v>
      </c>
      <c r="H6" s="6" t="s">
        <v>80</v>
      </c>
      <c r="I6" s="6">
        <v>4</v>
      </c>
      <c r="J6" s="6">
        <v>4</v>
      </c>
      <c r="K6" s="6">
        <v>2</v>
      </c>
    </row>
    <row r="7" spans="1:13" x14ac:dyDescent="0.3">
      <c r="B7" s="6" t="s">
        <v>285</v>
      </c>
      <c r="C7" s="6" t="s">
        <v>522</v>
      </c>
      <c r="D7" s="6" t="s">
        <v>145</v>
      </c>
      <c r="H7" s="6" t="s">
        <v>82</v>
      </c>
      <c r="I7" s="6">
        <v>5</v>
      </c>
      <c r="J7" s="6">
        <v>5</v>
      </c>
      <c r="K7" s="6">
        <v>3</v>
      </c>
    </row>
    <row r="8" spans="1:13" x14ac:dyDescent="0.3">
      <c r="B8" s="6" t="s">
        <v>318</v>
      </c>
      <c r="C8" s="6" t="s">
        <v>405</v>
      </c>
      <c r="D8" s="6" t="s">
        <v>350</v>
      </c>
      <c r="H8" s="6" t="s">
        <v>84</v>
      </c>
      <c r="K8" s="6">
        <v>4</v>
      </c>
    </row>
    <row r="9" spans="1:13" x14ac:dyDescent="0.3">
      <c r="B9" s="6" t="s">
        <v>331</v>
      </c>
      <c r="D9" s="6" t="s">
        <v>384</v>
      </c>
      <c r="H9" s="6" t="s">
        <v>86</v>
      </c>
      <c r="K9" s="6">
        <v>5</v>
      </c>
    </row>
    <row r="10" spans="1:13" x14ac:dyDescent="0.3">
      <c r="B10" s="6" t="s">
        <v>339</v>
      </c>
      <c r="D10" s="6" t="s">
        <v>174</v>
      </c>
      <c r="H10" s="6" t="s">
        <v>88</v>
      </c>
    </row>
    <row r="11" spans="1:13" x14ac:dyDescent="0.3">
      <c r="B11" s="6" t="s">
        <v>394</v>
      </c>
      <c r="D11" s="6" t="s">
        <v>449</v>
      </c>
      <c r="H11" s="6" t="s">
        <v>90</v>
      </c>
    </row>
    <row r="12" spans="1:13" x14ac:dyDescent="0.3">
      <c r="B12" s="6" t="s">
        <v>402</v>
      </c>
      <c r="H12" s="6" t="s">
        <v>93</v>
      </c>
    </row>
    <row r="13" spans="1:13" x14ac:dyDescent="0.3">
      <c r="B13" s="6" t="s">
        <v>501</v>
      </c>
      <c r="H13" s="6" t="s">
        <v>95</v>
      </c>
    </row>
    <row r="14" spans="1:13" x14ac:dyDescent="0.3">
      <c r="B14" s="6" t="s">
        <v>678</v>
      </c>
      <c r="H14" s="6" t="s">
        <v>97</v>
      </c>
    </row>
    <row r="15" spans="1:13" x14ac:dyDescent="0.3">
      <c r="B15" s="6" t="s">
        <v>479</v>
      </c>
    </row>
    <row r="16" spans="1:13" x14ac:dyDescent="0.3">
      <c r="B16" s="6" t="s">
        <v>141</v>
      </c>
    </row>
    <row r="17" spans="2:2" x14ac:dyDescent="0.3">
      <c r="B17" s="6" t="s">
        <v>471</v>
      </c>
    </row>
    <row r="18" spans="2:2" x14ac:dyDescent="0.3">
      <c r="B18" s="6" t="s">
        <v>418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679</v>
      </c>
      <c r="B1" s="8" t="s">
        <v>680</v>
      </c>
      <c r="C1" s="8" t="s">
        <v>681</v>
      </c>
      <c r="D1" s="8" t="s">
        <v>682</v>
      </c>
      <c r="E1" s="8" t="s">
        <v>683</v>
      </c>
      <c r="F1" s="8" t="s">
        <v>684</v>
      </c>
      <c r="G1" s="8" t="s">
        <v>685</v>
      </c>
      <c r="H1" s="8" t="s">
        <v>686</v>
      </c>
      <c r="I1" s="8" t="s">
        <v>687</v>
      </c>
    </row>
    <row r="2" spans="1:9" x14ac:dyDescent="0.3">
      <c r="A2" s="29" t="s">
        <v>28</v>
      </c>
      <c r="B2" s="29" t="s">
        <v>688</v>
      </c>
      <c r="C2" s="29" t="s">
        <v>68</v>
      </c>
      <c r="D2" s="29" t="s">
        <v>689</v>
      </c>
      <c r="E2" s="29" t="s">
        <v>690</v>
      </c>
      <c r="F2" s="29" t="s">
        <v>691</v>
      </c>
      <c r="G2" s="29"/>
      <c r="H2" s="29" t="s">
        <v>214</v>
      </c>
      <c r="I2" s="29" t="s">
        <v>692</v>
      </c>
    </row>
    <row r="3" spans="1:9" ht="26.4" x14ac:dyDescent="0.3">
      <c r="A3" s="29" t="s">
        <v>28</v>
      </c>
      <c r="B3" s="29" t="s">
        <v>688</v>
      </c>
      <c r="C3" s="29" t="s">
        <v>69</v>
      </c>
      <c r="D3" s="29" t="s">
        <v>689</v>
      </c>
      <c r="E3" s="29" t="s">
        <v>690</v>
      </c>
      <c r="F3" s="29" t="s">
        <v>693</v>
      </c>
      <c r="G3" s="29"/>
      <c r="H3" s="29" t="s">
        <v>214</v>
      </c>
      <c r="I3" s="29"/>
    </row>
    <row r="4" spans="1:9" x14ac:dyDescent="0.3">
      <c r="A4" s="29" t="s">
        <v>28</v>
      </c>
      <c r="B4" s="29" t="s">
        <v>688</v>
      </c>
      <c r="C4" s="29" t="s">
        <v>70</v>
      </c>
      <c r="D4" s="29" t="s">
        <v>689</v>
      </c>
      <c r="E4" s="29" t="s">
        <v>690</v>
      </c>
      <c r="F4" s="29" t="s">
        <v>694</v>
      </c>
      <c r="G4" s="29"/>
      <c r="H4" s="29" t="s">
        <v>214</v>
      </c>
      <c r="I4" s="29"/>
    </row>
    <row r="5" spans="1:9" x14ac:dyDescent="0.3">
      <c r="A5" s="29" t="s">
        <v>28</v>
      </c>
      <c r="B5" s="29" t="s">
        <v>688</v>
      </c>
      <c r="C5" s="29" t="s">
        <v>71</v>
      </c>
      <c r="D5" s="29" t="s">
        <v>695</v>
      </c>
      <c r="E5" s="29" t="s">
        <v>696</v>
      </c>
      <c r="F5" s="29" t="s">
        <v>697</v>
      </c>
      <c r="G5" s="29"/>
      <c r="H5" s="29" t="s">
        <v>214</v>
      </c>
      <c r="I5" s="29"/>
    </row>
    <row r="6" spans="1:9" x14ac:dyDescent="0.3">
      <c r="A6" s="29" t="s">
        <v>28</v>
      </c>
      <c r="B6" s="29" t="s">
        <v>688</v>
      </c>
      <c r="C6" s="29" t="s">
        <v>72</v>
      </c>
      <c r="D6" s="29" t="s">
        <v>695</v>
      </c>
      <c r="E6" s="29" t="s">
        <v>696</v>
      </c>
      <c r="F6" s="29" t="s">
        <v>698</v>
      </c>
      <c r="G6" s="29"/>
      <c r="H6" s="29" t="s">
        <v>214</v>
      </c>
      <c r="I6" s="29"/>
    </row>
    <row r="7" spans="1:9" x14ac:dyDescent="0.3">
      <c r="A7" s="29" t="s">
        <v>30</v>
      </c>
      <c r="B7" s="29" t="s">
        <v>699</v>
      </c>
      <c r="C7" s="29" t="s">
        <v>101</v>
      </c>
      <c r="D7" s="29" t="s">
        <v>689</v>
      </c>
      <c r="E7" s="29" t="s">
        <v>690</v>
      </c>
      <c r="F7" s="29" t="s">
        <v>700</v>
      </c>
      <c r="G7" s="29" t="s">
        <v>701</v>
      </c>
      <c r="H7" s="29" t="s">
        <v>214</v>
      </c>
      <c r="I7" s="29" t="s">
        <v>692</v>
      </c>
    </row>
    <row r="8" spans="1:9" ht="26.4" x14ac:dyDescent="0.3">
      <c r="A8" s="29" t="s">
        <v>30</v>
      </c>
      <c r="B8" s="29" t="s">
        <v>699</v>
      </c>
      <c r="C8" s="29" t="s">
        <v>102</v>
      </c>
      <c r="D8" s="29" t="s">
        <v>689</v>
      </c>
      <c r="E8" s="29" t="s">
        <v>690</v>
      </c>
      <c r="F8" s="29" t="s">
        <v>702</v>
      </c>
      <c r="G8" s="29" t="s">
        <v>703</v>
      </c>
      <c r="H8" s="29" t="s">
        <v>214</v>
      </c>
      <c r="I8" s="29" t="s">
        <v>704</v>
      </c>
    </row>
    <row r="9" spans="1:9" x14ac:dyDescent="0.3">
      <c r="A9" s="29" t="s">
        <v>30</v>
      </c>
      <c r="B9" s="29" t="s">
        <v>699</v>
      </c>
      <c r="C9" s="29" t="s">
        <v>103</v>
      </c>
      <c r="D9" s="29" t="s">
        <v>689</v>
      </c>
      <c r="E9" s="29" t="s">
        <v>690</v>
      </c>
      <c r="F9" s="29" t="s">
        <v>705</v>
      </c>
      <c r="G9" s="29"/>
      <c r="H9" s="29" t="s">
        <v>214</v>
      </c>
      <c r="I9" s="29"/>
    </row>
    <row r="10" spans="1:9" x14ac:dyDescent="0.3">
      <c r="A10" s="29" t="s">
        <v>30</v>
      </c>
      <c r="B10" s="29" t="s">
        <v>699</v>
      </c>
      <c r="C10" s="29" t="s">
        <v>104</v>
      </c>
      <c r="D10" s="29" t="s">
        <v>689</v>
      </c>
      <c r="E10" s="29" t="s">
        <v>690</v>
      </c>
      <c r="F10" s="29" t="s">
        <v>706</v>
      </c>
      <c r="G10" s="29"/>
      <c r="H10" s="29" t="s">
        <v>214</v>
      </c>
      <c r="I10" s="29"/>
    </row>
    <row r="11" spans="1:9" ht="26.4" x14ac:dyDescent="0.3">
      <c r="A11" s="29" t="s">
        <v>30</v>
      </c>
      <c r="B11" s="29" t="s">
        <v>699</v>
      </c>
      <c r="C11" s="29" t="s">
        <v>105</v>
      </c>
      <c r="D11" s="29" t="s">
        <v>689</v>
      </c>
      <c r="E11" s="29" t="s">
        <v>690</v>
      </c>
      <c r="F11" s="29" t="s">
        <v>707</v>
      </c>
      <c r="G11" s="29" t="s">
        <v>708</v>
      </c>
      <c r="H11" s="29" t="s">
        <v>214</v>
      </c>
      <c r="I11" s="29"/>
    </row>
    <row r="12" spans="1:9" x14ac:dyDescent="0.3">
      <c r="A12" s="29" t="s">
        <v>30</v>
      </c>
      <c r="B12" s="29" t="s">
        <v>699</v>
      </c>
      <c r="C12" s="29" t="s">
        <v>106</v>
      </c>
      <c r="D12" s="29" t="s">
        <v>689</v>
      </c>
      <c r="E12" s="29" t="s">
        <v>690</v>
      </c>
      <c r="F12" s="29" t="s">
        <v>709</v>
      </c>
      <c r="G12" s="29" t="s">
        <v>710</v>
      </c>
      <c r="H12" s="29" t="s">
        <v>214</v>
      </c>
      <c r="I12" s="29"/>
    </row>
    <row r="13" spans="1:9" x14ac:dyDescent="0.3">
      <c r="A13" s="29" t="s">
        <v>30</v>
      </c>
      <c r="B13" s="29" t="s">
        <v>699</v>
      </c>
      <c r="C13" s="29" t="s">
        <v>107</v>
      </c>
      <c r="D13" s="29" t="s">
        <v>689</v>
      </c>
      <c r="E13" s="29" t="s">
        <v>690</v>
      </c>
      <c r="F13" s="29" t="s">
        <v>711</v>
      </c>
      <c r="G13" s="29"/>
      <c r="H13" s="29" t="s">
        <v>214</v>
      </c>
      <c r="I13" s="29"/>
    </row>
    <row r="14" spans="1:9" x14ac:dyDescent="0.3">
      <c r="A14" s="29" t="s">
        <v>30</v>
      </c>
      <c r="B14" s="29" t="s">
        <v>699</v>
      </c>
      <c r="C14" s="29" t="s">
        <v>108</v>
      </c>
      <c r="D14" s="29" t="s">
        <v>689</v>
      </c>
      <c r="E14" s="29" t="s">
        <v>690</v>
      </c>
      <c r="F14" s="29" t="s">
        <v>712</v>
      </c>
      <c r="G14" s="29" t="s">
        <v>713</v>
      </c>
      <c r="H14" s="29" t="s">
        <v>214</v>
      </c>
      <c r="I14" s="29"/>
    </row>
    <row r="15" spans="1:9" ht="26.4" x14ac:dyDescent="0.3">
      <c r="A15" s="29" t="s">
        <v>30</v>
      </c>
      <c r="B15" s="29" t="s">
        <v>699</v>
      </c>
      <c r="C15" s="29" t="s">
        <v>109</v>
      </c>
      <c r="D15" s="29" t="s">
        <v>689</v>
      </c>
      <c r="E15" s="29" t="s">
        <v>690</v>
      </c>
      <c r="F15" s="29" t="s">
        <v>714</v>
      </c>
      <c r="G15" s="29" t="s">
        <v>715</v>
      </c>
      <c r="H15" s="29" t="s">
        <v>214</v>
      </c>
      <c r="I15" s="29"/>
    </row>
    <row r="16" spans="1:9" x14ac:dyDescent="0.3">
      <c r="A16" s="29" t="s">
        <v>30</v>
      </c>
      <c r="B16" s="29" t="s">
        <v>699</v>
      </c>
      <c r="C16" s="29" t="s">
        <v>110</v>
      </c>
      <c r="D16" s="29" t="s">
        <v>689</v>
      </c>
      <c r="E16" s="29" t="s">
        <v>690</v>
      </c>
      <c r="F16" s="29" t="s">
        <v>716</v>
      </c>
      <c r="G16" s="29" t="s">
        <v>717</v>
      </c>
      <c r="H16" s="29" t="s">
        <v>214</v>
      </c>
      <c r="I16" s="29"/>
    </row>
    <row r="17" spans="1:9" ht="26.4" x14ac:dyDescent="0.3">
      <c r="A17" s="29" t="s">
        <v>30</v>
      </c>
      <c r="B17" s="29" t="s">
        <v>699</v>
      </c>
      <c r="C17" s="29" t="s">
        <v>111</v>
      </c>
      <c r="D17" s="29" t="s">
        <v>689</v>
      </c>
      <c r="E17" s="29" t="s">
        <v>690</v>
      </c>
      <c r="F17" s="29" t="s">
        <v>718</v>
      </c>
      <c r="G17" s="29" t="s">
        <v>719</v>
      </c>
      <c r="H17" s="29" t="s">
        <v>214</v>
      </c>
      <c r="I17" s="29" t="s">
        <v>720</v>
      </c>
    </row>
    <row r="18" spans="1:9" x14ac:dyDescent="0.3">
      <c r="A18" s="29" t="s">
        <v>30</v>
      </c>
      <c r="B18" s="29" t="s">
        <v>699</v>
      </c>
      <c r="C18" s="29" t="s">
        <v>112</v>
      </c>
      <c r="D18" s="29" t="s">
        <v>689</v>
      </c>
      <c r="E18" s="29" t="s">
        <v>696</v>
      </c>
      <c r="F18" s="29" t="s">
        <v>721</v>
      </c>
      <c r="G18" s="29"/>
      <c r="H18" s="29" t="s">
        <v>214</v>
      </c>
      <c r="I18" s="29"/>
    </row>
    <row r="19" spans="1:9" ht="26.4" x14ac:dyDescent="0.3">
      <c r="A19" s="29" t="s">
        <v>30</v>
      </c>
      <c r="B19" s="29" t="s">
        <v>699</v>
      </c>
      <c r="C19" s="29" t="s">
        <v>113</v>
      </c>
      <c r="D19" s="29" t="s">
        <v>689</v>
      </c>
      <c r="E19" s="29" t="s">
        <v>690</v>
      </c>
      <c r="F19" s="29" t="s">
        <v>722</v>
      </c>
      <c r="G19" s="29"/>
      <c r="H19" s="29" t="s">
        <v>159</v>
      </c>
      <c r="I19" s="29"/>
    </row>
    <row r="20" spans="1:9" x14ac:dyDescent="0.3">
      <c r="A20" s="29" t="s">
        <v>30</v>
      </c>
      <c r="B20" s="29" t="s">
        <v>699</v>
      </c>
      <c r="C20" s="29" t="s">
        <v>114</v>
      </c>
      <c r="D20" s="29" t="s">
        <v>695</v>
      </c>
      <c r="E20" s="29" t="s">
        <v>690</v>
      </c>
      <c r="F20" s="29" t="s">
        <v>723</v>
      </c>
      <c r="G20" s="29" t="s">
        <v>724</v>
      </c>
      <c r="H20" s="29" t="s">
        <v>214</v>
      </c>
      <c r="I20" s="29"/>
    </row>
    <row r="21" spans="1:9" x14ac:dyDescent="0.3">
      <c r="A21" s="29" t="s">
        <v>30</v>
      </c>
      <c r="B21" s="29" t="s">
        <v>699</v>
      </c>
      <c r="C21" s="29" t="s">
        <v>115</v>
      </c>
      <c r="D21" s="29" t="s">
        <v>695</v>
      </c>
      <c r="E21" s="29" t="s">
        <v>690</v>
      </c>
      <c r="F21" s="29" t="s">
        <v>725</v>
      </c>
      <c r="G21" s="29" t="s">
        <v>726</v>
      </c>
      <c r="H21" s="29" t="s">
        <v>214</v>
      </c>
      <c r="I21" s="29"/>
    </row>
    <row r="22" spans="1:9" x14ac:dyDescent="0.3">
      <c r="A22" s="29" t="s">
        <v>30</v>
      </c>
      <c r="B22" s="29" t="s">
        <v>699</v>
      </c>
      <c r="C22" s="29" t="s">
        <v>116</v>
      </c>
      <c r="D22" s="29" t="s">
        <v>695</v>
      </c>
      <c r="E22" s="29" t="s">
        <v>690</v>
      </c>
      <c r="F22" s="29" t="s">
        <v>727</v>
      </c>
      <c r="G22" s="29" t="s">
        <v>728</v>
      </c>
      <c r="H22" s="29" t="s">
        <v>214</v>
      </c>
      <c r="I22" s="29"/>
    </row>
    <row r="23" spans="1:9" x14ac:dyDescent="0.3">
      <c r="A23" s="29" t="s">
        <v>30</v>
      </c>
      <c r="B23" s="29" t="s">
        <v>699</v>
      </c>
      <c r="C23" s="29" t="s">
        <v>117</v>
      </c>
      <c r="D23" s="29" t="s">
        <v>695</v>
      </c>
      <c r="E23" s="29" t="s">
        <v>690</v>
      </c>
      <c r="F23" s="29" t="s">
        <v>729</v>
      </c>
      <c r="G23" s="29" t="s">
        <v>730</v>
      </c>
      <c r="H23" s="29" t="s">
        <v>214</v>
      </c>
      <c r="I23" s="29"/>
    </row>
    <row r="24" spans="1:9" ht="26.4" x14ac:dyDescent="0.3">
      <c r="A24" s="29" t="s">
        <v>30</v>
      </c>
      <c r="B24" s="29" t="s">
        <v>699</v>
      </c>
      <c r="C24" s="29" t="s">
        <v>118</v>
      </c>
      <c r="D24" s="29" t="s">
        <v>689</v>
      </c>
      <c r="E24" s="29" t="s">
        <v>696</v>
      </c>
      <c r="F24" s="29" t="s">
        <v>731</v>
      </c>
      <c r="G24" s="29"/>
      <c r="H24" s="29" t="s">
        <v>214</v>
      </c>
      <c r="I24" s="29"/>
    </row>
    <row r="25" spans="1:9" x14ac:dyDescent="0.3">
      <c r="A25" s="29" t="s">
        <v>30</v>
      </c>
      <c r="B25" s="29" t="s">
        <v>699</v>
      </c>
      <c r="C25" s="29" t="s">
        <v>119</v>
      </c>
      <c r="D25" s="29" t="s">
        <v>695</v>
      </c>
      <c r="E25" s="29" t="s">
        <v>696</v>
      </c>
      <c r="F25" s="29" t="s">
        <v>732</v>
      </c>
      <c r="G25" s="29"/>
      <c r="H25" s="29" t="s">
        <v>214</v>
      </c>
      <c r="I25" s="29"/>
    </row>
    <row r="26" spans="1:9" x14ac:dyDescent="0.3">
      <c r="A26" s="29" t="s">
        <v>30</v>
      </c>
      <c r="B26" s="29" t="s">
        <v>699</v>
      </c>
      <c r="C26" s="29" t="s">
        <v>120</v>
      </c>
      <c r="D26" s="29" t="s">
        <v>689</v>
      </c>
      <c r="E26" s="29" t="s">
        <v>696</v>
      </c>
      <c r="F26" s="29" t="s">
        <v>733</v>
      </c>
      <c r="G26" s="29"/>
      <c r="H26" s="29" t="s">
        <v>214</v>
      </c>
      <c r="I26" s="29"/>
    </row>
    <row r="27" spans="1:9" x14ac:dyDescent="0.3">
      <c r="A27" s="29" t="s">
        <v>30</v>
      </c>
      <c r="B27" s="29" t="s">
        <v>699</v>
      </c>
      <c r="C27" s="29" t="s">
        <v>121</v>
      </c>
      <c r="D27" s="29" t="s">
        <v>689</v>
      </c>
      <c r="E27" s="29" t="s">
        <v>696</v>
      </c>
      <c r="F27" s="29" t="s">
        <v>734</v>
      </c>
      <c r="G27" s="29"/>
      <c r="H27" s="29" t="s">
        <v>214</v>
      </c>
      <c r="I27" s="29"/>
    </row>
    <row r="28" spans="1:9" x14ac:dyDescent="0.3">
      <c r="A28" s="29" t="s">
        <v>30</v>
      </c>
      <c r="B28" s="29" t="s">
        <v>699</v>
      </c>
      <c r="C28" s="29" t="s">
        <v>122</v>
      </c>
      <c r="D28" s="29" t="s">
        <v>695</v>
      </c>
      <c r="E28" s="29" t="s">
        <v>696</v>
      </c>
      <c r="F28" s="29" t="s">
        <v>735</v>
      </c>
      <c r="G28" s="29"/>
      <c r="H28" s="29" t="s">
        <v>214</v>
      </c>
      <c r="I28" s="29"/>
    </row>
    <row r="29" spans="1:9" x14ac:dyDescent="0.3">
      <c r="A29" s="29" t="s">
        <v>30</v>
      </c>
      <c r="B29" s="29" t="s">
        <v>699</v>
      </c>
      <c r="C29" s="29" t="s">
        <v>123</v>
      </c>
      <c r="D29" s="29" t="s">
        <v>689</v>
      </c>
      <c r="E29" s="29" t="s">
        <v>696</v>
      </c>
      <c r="F29" s="29" t="s">
        <v>736</v>
      </c>
      <c r="G29" s="29"/>
      <c r="H29" s="29" t="s">
        <v>214</v>
      </c>
      <c r="I29" s="29"/>
    </row>
    <row r="30" spans="1:9" x14ac:dyDescent="0.3">
      <c r="A30" s="29" t="s">
        <v>30</v>
      </c>
      <c r="B30" s="29" t="s">
        <v>699</v>
      </c>
      <c r="C30" s="29" t="s">
        <v>124</v>
      </c>
      <c r="D30" s="29" t="s">
        <v>689</v>
      </c>
      <c r="E30" s="29" t="s">
        <v>690</v>
      </c>
      <c r="F30" s="29" t="s">
        <v>737</v>
      </c>
      <c r="G30" s="29"/>
      <c r="H30" s="29" t="s">
        <v>214</v>
      </c>
      <c r="I30" s="29"/>
    </row>
    <row r="31" spans="1:9" x14ac:dyDescent="0.3">
      <c r="A31" s="29" t="s">
        <v>30</v>
      </c>
      <c r="B31" s="29" t="s">
        <v>699</v>
      </c>
      <c r="C31" s="29" t="s">
        <v>125</v>
      </c>
      <c r="D31" s="29" t="s">
        <v>689</v>
      </c>
      <c r="E31" s="29" t="s">
        <v>690</v>
      </c>
      <c r="F31" s="29" t="s">
        <v>738</v>
      </c>
      <c r="G31" s="29"/>
      <c r="H31" s="29" t="s">
        <v>214</v>
      </c>
      <c r="I31" s="29"/>
    </row>
    <row r="32" spans="1:9" x14ac:dyDescent="0.3">
      <c r="A32" s="29" t="s">
        <v>30</v>
      </c>
      <c r="B32" s="29" t="s">
        <v>699</v>
      </c>
      <c r="C32" s="29" t="s">
        <v>126</v>
      </c>
      <c r="D32" s="29" t="s">
        <v>739</v>
      </c>
      <c r="E32" s="29" t="s">
        <v>690</v>
      </c>
      <c r="F32" s="29" t="s">
        <v>740</v>
      </c>
      <c r="G32" s="29"/>
      <c r="H32" s="29" t="s">
        <v>159</v>
      </c>
      <c r="I32" s="29"/>
    </row>
    <row r="33" spans="1:9" x14ac:dyDescent="0.3">
      <c r="A33" s="29" t="s">
        <v>30</v>
      </c>
      <c r="B33" s="29" t="s">
        <v>699</v>
      </c>
      <c r="C33" s="29" t="s">
        <v>127</v>
      </c>
      <c r="D33" s="29" t="s">
        <v>689</v>
      </c>
      <c r="E33" s="29" t="s">
        <v>690</v>
      </c>
      <c r="F33" s="29" t="s">
        <v>741</v>
      </c>
      <c r="G33" s="29"/>
      <c r="H33" s="29" t="s">
        <v>159</v>
      </c>
      <c r="I33" s="29"/>
    </row>
    <row r="34" spans="1:9" x14ac:dyDescent="0.3">
      <c r="A34" s="29" t="s">
        <v>30</v>
      </c>
      <c r="B34" s="29" t="s">
        <v>699</v>
      </c>
      <c r="C34" s="29" t="s">
        <v>128</v>
      </c>
      <c r="D34" s="29" t="s">
        <v>689</v>
      </c>
      <c r="E34" s="29" t="s">
        <v>690</v>
      </c>
      <c r="F34" s="29" t="s">
        <v>742</v>
      </c>
      <c r="G34" s="29"/>
      <c r="H34" s="29" t="s">
        <v>214</v>
      </c>
      <c r="I34" s="29"/>
    </row>
    <row r="35" spans="1:9" x14ac:dyDescent="0.3">
      <c r="A35" s="29" t="s">
        <v>30</v>
      </c>
      <c r="B35" s="29" t="s">
        <v>699</v>
      </c>
      <c r="C35" s="29" t="s">
        <v>129</v>
      </c>
      <c r="D35" s="29" t="s">
        <v>689</v>
      </c>
      <c r="E35" s="29" t="s">
        <v>690</v>
      </c>
      <c r="F35" s="29" t="s">
        <v>743</v>
      </c>
      <c r="G35" s="29"/>
      <c r="H35" s="29" t="s">
        <v>214</v>
      </c>
      <c r="I35" s="29"/>
    </row>
    <row r="36" spans="1:9" ht="26.4" x14ac:dyDescent="0.3">
      <c r="A36" s="29" t="s">
        <v>30</v>
      </c>
      <c r="B36" s="29" t="s">
        <v>699</v>
      </c>
      <c r="C36" s="29" t="s">
        <v>130</v>
      </c>
      <c r="D36" s="29" t="s">
        <v>689</v>
      </c>
      <c r="E36" s="29" t="s">
        <v>690</v>
      </c>
      <c r="F36" s="29" t="s">
        <v>744</v>
      </c>
      <c r="G36" s="29"/>
      <c r="H36" s="29" t="s">
        <v>159</v>
      </c>
      <c r="I36" s="29" t="s">
        <v>745</v>
      </c>
    </row>
    <row r="37" spans="1:9" ht="26.4" x14ac:dyDescent="0.3">
      <c r="A37" s="29" t="s">
        <v>30</v>
      </c>
      <c r="B37" s="29" t="s">
        <v>699</v>
      </c>
      <c r="C37" s="29" t="s">
        <v>131</v>
      </c>
      <c r="D37" s="29" t="s">
        <v>689</v>
      </c>
      <c r="E37" s="29" t="s">
        <v>690</v>
      </c>
      <c r="F37" s="29" t="s">
        <v>746</v>
      </c>
      <c r="G37" s="29"/>
      <c r="H37" s="29" t="s">
        <v>159</v>
      </c>
      <c r="I37" s="29" t="s">
        <v>747</v>
      </c>
    </row>
    <row r="38" spans="1:9" ht="26.4" x14ac:dyDescent="0.3">
      <c r="A38" s="29" t="s">
        <v>30</v>
      </c>
      <c r="B38" s="29" t="s">
        <v>699</v>
      </c>
      <c r="C38" s="29" t="s">
        <v>132</v>
      </c>
      <c r="D38" s="29" t="s">
        <v>689</v>
      </c>
      <c r="E38" s="29" t="s">
        <v>690</v>
      </c>
      <c r="F38" s="29" t="s">
        <v>748</v>
      </c>
      <c r="G38" s="29"/>
      <c r="H38" s="29" t="s">
        <v>159</v>
      </c>
      <c r="I38" s="29" t="s">
        <v>749</v>
      </c>
    </row>
    <row r="39" spans="1:9" ht="26.4" x14ac:dyDescent="0.3">
      <c r="A39" s="29" t="s">
        <v>30</v>
      </c>
      <c r="B39" s="29" t="s">
        <v>699</v>
      </c>
      <c r="C39" s="29" t="s">
        <v>133</v>
      </c>
      <c r="D39" s="29" t="s">
        <v>689</v>
      </c>
      <c r="E39" s="29" t="s">
        <v>690</v>
      </c>
      <c r="F39" s="29" t="s">
        <v>750</v>
      </c>
      <c r="G39" s="29"/>
      <c r="H39" s="29" t="s">
        <v>159</v>
      </c>
      <c r="I39" s="29" t="s">
        <v>751</v>
      </c>
    </row>
    <row r="40" spans="1:9" ht="26.4" x14ac:dyDescent="0.3">
      <c r="A40" s="29" t="s">
        <v>30</v>
      </c>
      <c r="B40" s="29" t="s">
        <v>699</v>
      </c>
      <c r="C40" s="29" t="s">
        <v>134</v>
      </c>
      <c r="D40" s="29" t="s">
        <v>689</v>
      </c>
      <c r="E40" s="29" t="s">
        <v>690</v>
      </c>
      <c r="F40" s="29" t="s">
        <v>752</v>
      </c>
      <c r="G40" s="29"/>
      <c r="H40" s="29" t="s">
        <v>159</v>
      </c>
      <c r="I40" s="29" t="s">
        <v>753</v>
      </c>
    </row>
    <row r="41" spans="1:9" ht="26.4" x14ac:dyDescent="0.3">
      <c r="A41" s="29" t="s">
        <v>30</v>
      </c>
      <c r="B41" s="29" t="s">
        <v>699</v>
      </c>
      <c r="C41" s="29" t="s">
        <v>135</v>
      </c>
      <c r="D41" s="29" t="s">
        <v>689</v>
      </c>
      <c r="E41" s="29" t="s">
        <v>696</v>
      </c>
      <c r="F41" s="29" t="s">
        <v>754</v>
      </c>
      <c r="G41" s="29"/>
      <c r="H41" s="29" t="s">
        <v>214</v>
      </c>
      <c r="I41" s="29"/>
    </row>
    <row r="42" spans="1:9" x14ac:dyDescent="0.3">
      <c r="A42" s="29" t="s">
        <v>30</v>
      </c>
      <c r="B42" s="29" t="s">
        <v>699</v>
      </c>
      <c r="C42" s="29" t="s">
        <v>136</v>
      </c>
      <c r="D42" s="29" t="s">
        <v>689</v>
      </c>
      <c r="E42" s="29" t="s">
        <v>690</v>
      </c>
      <c r="F42" s="29" t="s">
        <v>755</v>
      </c>
      <c r="G42" s="29" t="s">
        <v>756</v>
      </c>
      <c r="H42" s="29" t="s">
        <v>214</v>
      </c>
      <c r="I42" s="29"/>
    </row>
    <row r="43" spans="1:9" ht="26.4" x14ac:dyDescent="0.3">
      <c r="A43" s="29" t="s">
        <v>30</v>
      </c>
      <c r="B43" s="29" t="s">
        <v>699</v>
      </c>
      <c r="C43" s="29" t="s">
        <v>137</v>
      </c>
      <c r="D43" s="29" t="s">
        <v>757</v>
      </c>
      <c r="E43" s="29" t="s">
        <v>690</v>
      </c>
      <c r="F43" s="29" t="s">
        <v>758</v>
      </c>
      <c r="G43" s="29"/>
      <c r="H43" s="29" t="s">
        <v>214</v>
      </c>
      <c r="I43" s="29"/>
    </row>
    <row r="44" spans="1:9" ht="26.4" x14ac:dyDescent="0.3">
      <c r="A44" s="29" t="s">
        <v>30</v>
      </c>
      <c r="B44" s="29" t="s">
        <v>699</v>
      </c>
      <c r="C44" s="29" t="s">
        <v>138</v>
      </c>
      <c r="D44" s="29" t="s">
        <v>757</v>
      </c>
      <c r="E44" s="29" t="s">
        <v>696</v>
      </c>
      <c r="F44" s="29" t="s">
        <v>759</v>
      </c>
      <c r="G44" s="29"/>
      <c r="H44" s="29" t="s">
        <v>214</v>
      </c>
      <c r="I44" s="29"/>
    </row>
    <row r="45" spans="1:9" x14ac:dyDescent="0.3">
      <c r="A45" s="29" t="s">
        <v>30</v>
      </c>
      <c r="B45" s="29" t="s">
        <v>699</v>
      </c>
      <c r="C45" s="29" t="s">
        <v>139</v>
      </c>
      <c r="D45" s="29" t="s">
        <v>689</v>
      </c>
      <c r="E45" s="29" t="s">
        <v>690</v>
      </c>
      <c r="F45" s="29" t="s">
        <v>760</v>
      </c>
      <c r="G45" s="29"/>
      <c r="H45" s="29" t="s">
        <v>214</v>
      </c>
      <c r="I45" s="29"/>
    </row>
    <row r="46" spans="1:9" ht="26.4" x14ac:dyDescent="0.3">
      <c r="A46" s="29" t="s">
        <v>32</v>
      </c>
      <c r="B46" s="29" t="s">
        <v>761</v>
      </c>
      <c r="C46" s="29" t="s">
        <v>101</v>
      </c>
      <c r="D46" s="29" t="s">
        <v>689</v>
      </c>
      <c r="E46" s="29" t="s">
        <v>690</v>
      </c>
      <c r="F46" s="29" t="s">
        <v>762</v>
      </c>
      <c r="G46" s="29"/>
      <c r="H46" s="29" t="s">
        <v>214</v>
      </c>
      <c r="I46" s="29" t="s">
        <v>763</v>
      </c>
    </row>
    <row r="47" spans="1:9" ht="26.4" x14ac:dyDescent="0.3">
      <c r="A47" s="29" t="s">
        <v>32</v>
      </c>
      <c r="B47" s="29" t="s">
        <v>761</v>
      </c>
      <c r="C47" s="29" t="s">
        <v>68</v>
      </c>
      <c r="D47" s="29" t="s">
        <v>689</v>
      </c>
      <c r="E47" s="29" t="s">
        <v>690</v>
      </c>
      <c r="F47" s="29" t="s">
        <v>764</v>
      </c>
      <c r="G47" s="29" t="s">
        <v>719</v>
      </c>
      <c r="H47" s="29" t="s">
        <v>214</v>
      </c>
      <c r="I47" s="29" t="s">
        <v>720</v>
      </c>
    </row>
    <row r="48" spans="1:9" x14ac:dyDescent="0.3">
      <c r="A48" s="29" t="s">
        <v>32</v>
      </c>
      <c r="B48" s="29" t="s">
        <v>761</v>
      </c>
      <c r="C48" s="29" t="s">
        <v>533</v>
      </c>
      <c r="D48" s="29" t="s">
        <v>689</v>
      </c>
      <c r="E48" s="29" t="s">
        <v>690</v>
      </c>
      <c r="F48" s="29" t="s">
        <v>765</v>
      </c>
      <c r="G48" s="29" t="s">
        <v>756</v>
      </c>
      <c r="H48" s="29" t="s">
        <v>214</v>
      </c>
      <c r="I48" s="29"/>
    </row>
    <row r="49" spans="1:9" x14ac:dyDescent="0.3">
      <c r="A49" s="29" t="s">
        <v>32</v>
      </c>
      <c r="B49" s="29" t="s">
        <v>761</v>
      </c>
      <c r="C49" s="29" t="s">
        <v>69</v>
      </c>
      <c r="D49" s="29" t="s">
        <v>689</v>
      </c>
      <c r="E49" s="29" t="s">
        <v>696</v>
      </c>
      <c r="F49" s="29" t="s">
        <v>766</v>
      </c>
      <c r="G49" s="29"/>
      <c r="H49" s="29" t="s">
        <v>214</v>
      </c>
      <c r="I49" s="29"/>
    </row>
    <row r="50" spans="1:9" x14ac:dyDescent="0.3">
      <c r="A50" s="29" t="s">
        <v>32</v>
      </c>
      <c r="B50" s="29" t="s">
        <v>761</v>
      </c>
      <c r="C50" s="29" t="s">
        <v>120</v>
      </c>
      <c r="D50" s="29" t="s">
        <v>689</v>
      </c>
      <c r="E50" s="29" t="s">
        <v>696</v>
      </c>
      <c r="F50" s="29" t="s">
        <v>767</v>
      </c>
      <c r="G50" s="29"/>
      <c r="H50" s="29" t="s">
        <v>214</v>
      </c>
      <c r="I50" s="29"/>
    </row>
    <row r="51" spans="1:9" x14ac:dyDescent="0.3">
      <c r="A51" s="29" t="s">
        <v>32</v>
      </c>
      <c r="B51" s="29" t="s">
        <v>761</v>
      </c>
      <c r="C51" s="29" t="s">
        <v>119</v>
      </c>
      <c r="D51" s="29" t="s">
        <v>695</v>
      </c>
      <c r="E51" s="29" t="s">
        <v>696</v>
      </c>
      <c r="F51" s="29" t="s">
        <v>768</v>
      </c>
      <c r="G51" s="29"/>
      <c r="H51" s="29" t="s">
        <v>214</v>
      </c>
      <c r="I51" s="2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18</vt:i4>
      </vt:variant>
    </vt:vector>
  </HeadingPairs>
  <TitlesOfParts>
    <vt:vector size="28" baseType="lpstr">
      <vt:lpstr>00_LEIA-ME</vt:lpstr>
      <vt:lpstr>Impactes</vt:lpstr>
      <vt:lpstr>Aspetos_Impactes</vt:lpstr>
      <vt:lpstr>Aspeto_Impacte</vt:lpstr>
      <vt:lpstr>Mod.G.07.00_Matriz</vt:lpstr>
      <vt:lpstr>Resumo_Atividade_3_2</vt:lpstr>
      <vt:lpstr>Analise</vt:lpstr>
      <vt:lpstr>Criterios</vt:lpstr>
      <vt:lpstr>Listas</vt:lpstr>
      <vt:lpstr>Dicionario_Dados</vt:lpstr>
      <vt:lpstr>DataRef</vt:lpstr>
      <vt:lpstr>lst_Categoria</vt:lpstr>
      <vt:lpstr>lst_Condicao</vt:lpstr>
      <vt:lpstr>lst_DataReferencia</vt:lpstr>
      <vt:lpstr>lst_F15</vt:lpstr>
      <vt:lpstr>lst_Fase</vt:lpstr>
      <vt:lpstr>lst_G</vt:lpstr>
      <vt:lpstr>lst_Impacte</vt:lpstr>
      <vt:lpstr>lst_L</vt:lpstr>
      <vt:lpstr>lst_M15</vt:lpstr>
      <vt:lpstr>lst_Processo</vt:lpstr>
      <vt:lpstr>lst_SimNao</vt:lpstr>
      <vt:lpstr>lst_Temporalidade</vt:lpstr>
      <vt:lpstr>lst_TipoAspeto</vt:lpstr>
      <vt:lpstr>Aspeto_Impacte!Títulos_de_Impressão</vt:lpstr>
      <vt:lpstr>Aspetos_Impactes!Títulos_de_Impressão</vt:lpstr>
      <vt:lpstr>Impactes!Títulos_de_Impressão</vt:lpstr>
      <vt:lpstr>Mod.G.07.00_Matriz!Títulos_de_Impressão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RG-SGA-03 Matriz de Identificação e Avaliação de Aspetos e Impactes Ambientais (Mod.G.07.00)</dc:title>
  <dc:subject>SGA NP EN ISO 14001:2026 — Plasticom</dc:subject>
  <dc:creator>Gestor(a) do SGA / EHS</dc:creator>
  <cp:lastModifiedBy>Aline Meireles</cp:lastModifiedBy>
  <dcterms:created xsi:type="dcterms:W3CDTF">2026-09-30T16:48:40Z</dcterms:created>
  <dcterms:modified xsi:type="dcterms:W3CDTF">2026-09-30T16:48:56Z</dcterms:modified>
</cp:coreProperties>
</file>