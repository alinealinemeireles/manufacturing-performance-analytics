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 Portfolios\manufacturing-performance-analytics\SGI_Sistema-de-gestao-integrado\SGE_Sistema-de-gestao-da-energia\Registos_SGE_Plasticom\"/>
    </mc:Choice>
  </mc:AlternateContent>
  <xr:revisionPtr revIDLastSave="0" documentId="13_ncr:1_{6D6E2E22-5DB4-4789-B212-BE913C91C6A9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00_LEIA-ME" sheetId="1" r:id="rId1"/>
    <sheet name="Competencias" sheetId="2" r:id="rId2"/>
    <sheet name="Formacoes" sheetId="3" r:id="rId3"/>
    <sheet name="Registo_Formacao" sheetId="4" r:id="rId4"/>
    <sheet name="Consciencializacao" sheetId="5" r:id="rId5"/>
    <sheet name="Comunicacao" sheetId="6" r:id="rId6"/>
    <sheet name="Sugestoes" sheetId="7" r:id="rId7"/>
    <sheet name="Listas" sheetId="8" r:id="rId8"/>
    <sheet name="Dicionario_Dados" sheetId="9" r:id="rId9"/>
  </sheets>
  <definedNames>
    <definedName name="DataRef">Listas!$A$3</definedName>
    <definedName name="lst_DataReferencia">Listas!$A$3:$A$3</definedName>
    <definedName name="lst_EstadoSug">Listas!$C$3:$C$7</definedName>
    <definedName name="lst_Funcao">Listas!$B$3:$B$24</definedName>
    <definedName name="lst_Nivel">Listas!$E$3:$E$6</definedName>
    <definedName name="lst_Resultado">Listas!$D$3:$D$4</definedName>
    <definedName name="_xlnm.Print_Titles" localSheetId="1">Competencias!$4:$4</definedName>
    <definedName name="_xlnm.Print_Titles" localSheetId="5">Comunicacao!$4:$4</definedName>
    <definedName name="_xlnm.Print_Titles" localSheetId="4">Consciencializacao!$4:$4</definedName>
    <definedName name="_xlnm.Print_Titles" localSheetId="2">Formacoes!$4:$4</definedName>
    <definedName name="_xlnm.Print_Titles" localSheetId="3">Registo_Formacao!$4:$4</definedName>
    <definedName name="_xlnm.Print_Titles" localSheetId="6">Sugestoes!$4:$4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7" l="1"/>
  <c r="J16" i="7"/>
  <c r="J15" i="7"/>
  <c r="J14" i="7"/>
  <c r="J13" i="7"/>
  <c r="J12" i="7"/>
  <c r="J11" i="7"/>
  <c r="J10" i="7"/>
  <c r="J9" i="7"/>
  <c r="J8" i="7"/>
  <c r="J7" i="7"/>
  <c r="J6" i="7"/>
  <c r="J5" i="7"/>
  <c r="H12" i="5"/>
  <c r="H11" i="5"/>
  <c r="H10" i="5"/>
  <c r="H9" i="5"/>
  <c r="H8" i="5"/>
  <c r="H7" i="5"/>
  <c r="H6" i="5"/>
  <c r="H5" i="5"/>
  <c r="K33" i="4"/>
  <c r="L33" i="4" s="1"/>
  <c r="K32" i="4"/>
  <c r="L32" i="4" s="1"/>
  <c r="K31" i="4"/>
  <c r="L31" i="4" s="1"/>
  <c r="K30" i="4"/>
  <c r="L30" i="4" s="1"/>
  <c r="K29" i="4"/>
  <c r="L29" i="4" s="1"/>
  <c r="K28" i="4"/>
  <c r="L28" i="4" s="1"/>
  <c r="K27" i="4"/>
  <c r="L27" i="4" s="1"/>
  <c r="L26" i="4"/>
  <c r="K26" i="4"/>
  <c r="K25" i="4"/>
  <c r="L25" i="4" s="1"/>
  <c r="K24" i="4"/>
  <c r="L24" i="4" s="1"/>
  <c r="K23" i="4"/>
  <c r="L23" i="4" s="1"/>
  <c r="K22" i="4"/>
  <c r="L22" i="4" s="1"/>
  <c r="K21" i="4"/>
  <c r="L21" i="4" s="1"/>
  <c r="K20" i="4"/>
  <c r="L20" i="4" s="1"/>
  <c r="K19" i="4"/>
  <c r="L19" i="4" s="1"/>
  <c r="L18" i="4"/>
  <c r="K18" i="4"/>
  <c r="K17" i="4"/>
  <c r="L17" i="4" s="1"/>
  <c r="K16" i="4"/>
  <c r="L16" i="4" s="1"/>
  <c r="K15" i="4"/>
  <c r="L15" i="4" s="1"/>
  <c r="K14" i="4"/>
  <c r="L14" i="4" s="1"/>
  <c r="K13" i="4"/>
  <c r="L13" i="4" s="1"/>
  <c r="K12" i="4"/>
  <c r="L12" i="4" s="1"/>
  <c r="K11" i="4"/>
  <c r="L11" i="4" s="1"/>
  <c r="L10" i="4"/>
  <c r="K10" i="4"/>
  <c r="K9" i="4"/>
  <c r="L9" i="4" s="1"/>
  <c r="K8" i="4"/>
  <c r="L8" i="4" s="1"/>
  <c r="K7" i="4"/>
  <c r="L7" i="4" s="1"/>
  <c r="K6" i="4"/>
  <c r="L6" i="4" s="1"/>
  <c r="K5" i="4"/>
  <c r="L5" i="4" s="1"/>
  <c r="O13" i="2"/>
  <c r="P13" i="2" s="1"/>
  <c r="Q13" i="2" s="1"/>
  <c r="O12" i="2"/>
  <c r="P12" i="2" s="1"/>
  <c r="Q12" i="2" s="1"/>
  <c r="O11" i="2"/>
  <c r="P11" i="2" s="1"/>
  <c r="Q11" i="2" s="1"/>
  <c r="O10" i="2"/>
  <c r="P10" i="2" s="1"/>
  <c r="Q10" i="2" s="1"/>
  <c r="O9" i="2"/>
  <c r="P9" i="2" s="1"/>
  <c r="Q9" i="2" s="1"/>
  <c r="O8" i="2"/>
  <c r="P8" i="2" s="1"/>
  <c r="Q8" i="2" s="1"/>
  <c r="O7" i="2"/>
  <c r="P7" i="2" s="1"/>
  <c r="Q7" i="2" s="1"/>
  <c r="O6" i="2"/>
  <c r="P6" i="2" s="1"/>
  <c r="Q6" i="2" s="1"/>
  <c r="O5" i="2"/>
  <c r="P5" i="2" s="1"/>
  <c r="Q5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Requisito de competência.</t>
        </r>
      </text>
    </comment>
    <comment ref="B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Função.</t>
        </r>
      </text>
    </comment>
    <comment ref="C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Processo.</t>
        </r>
      </text>
    </comment>
    <comment ref="D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USE que a função influencia (posição de ID_Aspeto_AAS no SGA).</t>
        </r>
      </text>
    </comment>
    <comment ref="E4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USE (posição de Aspeto_Significativo no SGA).</t>
        </r>
      </text>
    </comment>
    <comment ref="F4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Educação (7.2 b).</t>
        </r>
      </text>
    </comment>
    <comment ref="G4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Formações obrigatórias.</t>
        </r>
      </text>
    </comment>
    <comment ref="H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Conteúdo.</t>
        </r>
      </text>
    </comment>
    <comment ref="I4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Experiência.</t>
        </r>
      </text>
    </comment>
    <comment ref="J4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Competências comportamentais.</t>
        </r>
      </text>
    </comment>
    <comment ref="K4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Tema de consciencialização (7.3).</t>
        </r>
      </text>
    </comment>
    <comment ref="L4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Implicação de não cumprir (7.3 d).</t>
        </r>
      </text>
    </comment>
    <comment ref="M4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Como se avalia a eficácia (7.2 c).</t>
        </r>
      </text>
    </comment>
    <comment ref="N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Pessoas na função.</t>
        </r>
      </text>
    </comment>
    <comment ref="O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Formações aprovadas registadas.
[calculado]</t>
        </r>
      </text>
    </comment>
    <comment ref="P4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Aprovações ÷ (pessoas × formações obrigatórias).
[calculado]</t>
        </r>
      </text>
    </comment>
    <comment ref="Q4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Coberto ≥ 90%.
[calculado]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Ação de formação.</t>
        </r>
      </text>
    </comment>
    <comment ref="B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Título.</t>
        </r>
      </text>
    </comment>
    <comment ref="C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Duração (h).</t>
        </r>
      </text>
    </comment>
    <comment ref="D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Formador.</t>
        </r>
      </text>
    </comment>
    <comment ref="E4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Modalidade.</t>
        </r>
      </text>
    </comment>
    <comment ref="F4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Periodicidade de reciclagem.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Registo.</t>
        </r>
      </text>
    </comment>
    <comment ref="B4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Pessoa (ID do dataset/RG-SGQ-07) ou função.</t>
        </r>
      </text>
    </comment>
    <comment ref="C4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Competência.</t>
        </r>
      </text>
    </comment>
    <comment ref="D4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Formação.</t>
        </r>
      </text>
    </comment>
    <comment ref="E4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Data.</t>
        </r>
      </text>
    </comment>
    <comment ref="F4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Horas.</t>
        </r>
      </text>
    </comment>
    <comment ref="G4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Aprovado / reprovado.</t>
        </r>
      </text>
    </comment>
    <comment ref="H4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>Nota (0–100).</t>
        </r>
      </text>
    </comment>
    <comment ref="I4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Nível de Kirkpatrick avaliado.</t>
        </r>
      </text>
    </comment>
    <comment ref="J4" authorId="0" shapeId="0" xr:uid="{00000000-0006-0000-0300-00000A000000}">
      <text>
        <r>
          <rPr>
            <sz val="11"/>
            <color theme="1"/>
            <rFont val="Calibri"/>
            <family val="2"/>
            <scheme val="minor"/>
          </rPr>
          <t>Reciclagem.</t>
        </r>
      </text>
    </comment>
    <comment ref="K4" authorId="0" shapeId="0" xr:uid="{00000000-0006-0000-0300-00000B000000}">
      <text>
        <r>
          <rPr>
            <sz val="11"/>
            <color theme="1"/>
            <rFont val="Calibri"/>
            <family val="2"/>
            <scheme val="minor"/>
          </rPr>
          <t>Válida até.
[calculado]</t>
        </r>
      </text>
    </comment>
    <comment ref="L4" authorId="0" shapeId="0" xr:uid="{00000000-0006-0000-0300-00000C000000}">
      <text>
        <r>
          <rPr>
            <sz val="11"/>
            <color theme="1"/>
            <rFont val="Calibri"/>
            <family val="2"/>
            <scheme val="minor"/>
          </rPr>
          <t>Válida à data de referência?
[calculado]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Sessão.</t>
        </r>
      </text>
    </comment>
    <comment ref="B4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Data.</t>
        </r>
      </text>
    </comment>
    <comment ref="C4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Tema.</t>
        </r>
      </text>
    </comment>
    <comment ref="D4" authorId="0" shapeId="0" xr:uid="{00000000-0006-0000-0400-000004000000}">
      <text>
        <r>
          <rPr>
            <sz val="11"/>
            <color theme="1"/>
            <rFont val="Calibri"/>
            <family val="2"/>
            <scheme val="minor"/>
          </rPr>
          <t>Alíneas 7.3 a–d.</t>
        </r>
      </text>
    </comment>
    <comment ref="E4" authorId="0" shapeId="0" xr:uid="{00000000-0006-0000-0400-000005000000}">
      <text>
        <r>
          <rPr>
            <sz val="11"/>
            <color theme="1"/>
            <rFont val="Calibri"/>
            <family val="2"/>
            <scheme val="minor"/>
          </rPr>
          <t>Público.</t>
        </r>
      </text>
    </comment>
    <comment ref="F4" authorId="0" shapeId="0" xr:uid="{00000000-0006-0000-0400-000006000000}">
      <text>
        <r>
          <rPr>
            <sz val="11"/>
            <color theme="1"/>
            <rFont val="Calibri"/>
            <family val="2"/>
            <scheme val="minor"/>
          </rPr>
          <t>Presentes.</t>
        </r>
      </text>
    </comment>
    <comment ref="G4" authorId="0" shapeId="0" xr:uid="{00000000-0006-0000-0400-000007000000}">
      <text>
        <r>
          <rPr>
            <sz val="11"/>
            <color theme="1"/>
            <rFont val="Calibri"/>
            <family val="2"/>
            <scheme val="minor"/>
          </rPr>
          <t>Convocados.</t>
        </r>
      </text>
    </comment>
    <comment ref="H4" authorId="0" shapeId="0" xr:uid="{00000000-0006-0000-0400-000008000000}">
      <text>
        <r>
          <rPr>
            <sz val="11"/>
            <color theme="1"/>
            <rFont val="Calibri"/>
            <family val="2"/>
            <scheme val="minor"/>
          </rPr>
          <t>Presentes ÷ convocados.
[calculado]</t>
        </r>
      </text>
    </comment>
    <comment ref="I4" authorId="0" shapeId="0" xr:uid="{00000000-0006-0000-0400-000009000000}">
      <text>
        <r>
          <rPr>
            <sz val="11"/>
            <color theme="1"/>
            <rFont val="Calibri"/>
            <family val="2"/>
            <scheme val="minor"/>
          </rPr>
          <t>Evidência.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Comunicação.</t>
        </r>
      </text>
    </comment>
    <comment ref="B4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Interna / externa.</t>
        </r>
      </text>
    </comment>
    <comment ref="C4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Assunto.</t>
        </r>
      </text>
    </comment>
    <comment ref="D4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Sobre o que comunicar (7.4 a).</t>
        </r>
      </text>
    </comment>
    <comment ref="E4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Com quem (7.4 c).</t>
        </r>
      </text>
    </comment>
    <comment ref="F4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Quando (7.4 b).</t>
        </r>
      </text>
    </comment>
    <comment ref="G4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Como (7.4 d).</t>
        </r>
      </text>
    </comment>
    <comment ref="H4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Porquê.</t>
        </r>
      </text>
    </comment>
    <comment ref="I4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Quem comunica (7.4 e).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SGE</author>
  </authors>
  <commentList>
    <comment ref="A4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Sugestão.</t>
        </r>
      </text>
    </comment>
    <comment ref="B4" authorId="0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Data de receção.</t>
        </r>
      </text>
    </comment>
    <comment ref="C4" authorId="0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Quem sugeriu.</t>
        </r>
      </text>
    </comment>
    <comment ref="D4" authorId="0" shapeId="0" xr:uid="{00000000-0006-0000-0600-000004000000}">
      <text>
        <r>
          <rPr>
            <sz val="11"/>
            <color theme="1"/>
            <rFont val="Calibri"/>
            <family val="2"/>
            <scheme val="minor"/>
          </rPr>
          <t>Uso / processo.</t>
        </r>
      </text>
    </comment>
    <comment ref="E4" authorId="0" shapeId="0" xr:uid="{00000000-0006-0000-0600-000005000000}">
      <text>
        <r>
          <rPr>
            <sz val="11"/>
            <color theme="1"/>
            <rFont val="Calibri"/>
            <family val="2"/>
            <scheme val="minor"/>
          </rPr>
          <t>Comentário ou sugestão (7.4).</t>
        </r>
      </text>
    </comment>
    <comment ref="F4" authorId="0" shapeId="0" xr:uid="{00000000-0006-0000-0600-000006000000}">
      <text>
        <r>
          <rPr>
            <sz val="11"/>
            <color theme="1"/>
            <rFont val="Calibri"/>
            <family val="2"/>
            <scheme val="minor"/>
          </rPr>
          <t>Estado.</t>
        </r>
      </text>
    </comment>
    <comment ref="G4" authorId="0" shapeId="0" xr:uid="{00000000-0006-0000-0600-000007000000}">
      <text>
        <r>
          <rPr>
            <sz val="11"/>
            <color theme="1"/>
            <rFont val="Calibri"/>
            <family val="2"/>
            <scheme val="minor"/>
          </rPr>
          <t>Oportunidade / plano / controlo.</t>
        </r>
      </text>
    </comment>
    <comment ref="H4" authorId="0" shapeId="0" xr:uid="{00000000-0006-0000-0600-000008000000}">
      <text>
        <r>
          <rPr>
            <sz val="11"/>
            <color theme="1"/>
            <rFont val="Calibri"/>
            <family val="2"/>
            <scheme val="minor"/>
          </rPr>
          <t>Dias até à resposta ao proponente.</t>
        </r>
      </text>
    </comment>
    <comment ref="I4" authorId="0" shapeId="0" xr:uid="{00000000-0006-0000-0600-000009000000}">
      <text>
        <r>
          <rPr>
            <sz val="11"/>
            <color theme="1"/>
            <rFont val="Calibri"/>
            <family val="2"/>
            <scheme val="minor"/>
          </rPr>
          <t>[Só SGE] Poupança anual estimada (MWh).</t>
        </r>
      </text>
    </comment>
    <comment ref="J4" authorId="0" shapeId="0" xr:uid="{00000000-0006-0000-0600-00000A000000}">
      <text>
        <r>
          <rPr>
            <sz val="11"/>
            <color theme="1"/>
            <rFont val="Calibri"/>
            <family val="2"/>
            <scheme val="minor"/>
          </rPr>
          <t>[Só SGE] Resposta em ≤ 15 dias?
[calculado]</t>
        </r>
      </text>
    </comment>
  </commentList>
</comments>
</file>

<file path=xl/sharedStrings.xml><?xml version="1.0" encoding="utf-8"?>
<sst xmlns="http://schemas.openxmlformats.org/spreadsheetml/2006/main" count="1160" uniqueCount="570">
  <si>
    <t>RG-SGE-07 — Competência, Consciencialização, Comunicação e Sugestões do SGE</t>
  </si>
  <si>
    <t>Sistema de Gestão da Energia NP EN ISO 50001:2019 (ISO 50001:2018 + Amd 1:2024) · Plasticom — Unidade 1 (Marinha Grande, Portugal) · Registo do SGE (fábrica simulada)</t>
  </si>
  <si>
    <t>CONTROLO DO DOCUMENTO (7.5 — informação documentada)</t>
  </si>
  <si>
    <t>Código do registo</t>
  </si>
  <si>
    <t>RG-SGE-07</t>
  </si>
  <si>
    <t>Título</t>
  </si>
  <si>
    <t>Competência, Consciencialização, Comunicação e Sugestões do SGE</t>
  </si>
  <si>
    <t>Versão / Revisão</t>
  </si>
  <si>
    <t>01</t>
  </si>
  <si>
    <t>Data de emissão</t>
  </si>
  <si>
    <t>Elaborado por</t>
  </si>
  <si>
    <t>Gestor(a) de Energia</t>
  </si>
  <si>
    <t>Aprovado por</t>
  </si>
  <si>
    <t>Diretor Geral</t>
  </si>
  <si>
    <t>Estado</t>
  </si>
  <si>
    <t>Em vigor</t>
  </si>
  <si>
    <t>Retenção</t>
  </si>
  <si>
    <t>5 anos após substituição</t>
  </si>
  <si>
    <t>Localização</t>
  </si>
  <si>
    <t>Repositório controlado do SGE &gt; Registos_SGE_Plasticom (a versão eletrónica é a controlada; cópias impressas são não controladas). Controlo da informação documentada comum ao SGI: PR-SGA-08 (7.5.3 — distribuição, acesso, versão, retenção).</t>
  </si>
  <si>
    <t>FINALIDADE E ÂMBITO</t>
  </si>
  <si>
    <t>Finalidade</t>
  </si>
  <si>
    <t>Requisitos de competência por função ligados aos USE, catálogo de formação de energia, registo de formação com eficácia, sessões de consciencialização (7.3 a–d), matriz de comunicação (7.4 a–e) e registo de sugestões com resposta e poupança estimada.</t>
  </si>
  <si>
    <t>Utilização / atividades</t>
  </si>
  <si>
    <t>Determinar as competências das pessoas que afetam o desempenho energético e o SGE; formar e avaliar a eficácia; consciencializar; comunicar interna e externamente; processo pelo qual qualquer pessoa pode fazer comentários ou sugestões de melhoria.</t>
  </si>
  <si>
    <t>Requisitos ISO 50001:2018</t>
  </si>
  <si>
    <t>7.1 recursos; 7.2 a)–d) competência (reter evidência); 7.3 a)–d) consciencialização; 7.4 a)–e) comunicação (o quê, quando, com quem, como, quem comunica; informação consistente e fiável) + processo de comentários e sugestões (considerar reter as sugestões).</t>
  </si>
  <si>
    <t>NORMAS DE ORIENTAÇÃO E REFERÊNCIAS APLICADAS (orientação — não são requisitos auditáveis da ISO 50001)</t>
  </si>
  <si>
    <t>ISO 50004:2020 §7.2–7.4</t>
  </si>
  <si>
    <t>Exemplos de competências por função e de temas de consciencialização.</t>
  </si>
  <si>
    <t>ISO 10015 (gestão da competência) / modelo de Kirkpatrick</t>
  </si>
  <si>
    <t>Avaliação da eficácia da formação em 4 níveis (reação, aprendizagem, comportamento, resultados).</t>
  </si>
  <si>
    <t>ISO 50003:2021 (anexo sobre competência)</t>
  </si>
  <si>
    <t>Competências de desempenho energético exigidas aos auditores (usado no COMPE-08).</t>
  </si>
  <si>
    <t>Kent/BPF</t>
  </si>
  <si>
    <t>A formação dos operadores é das medidas mais rápidas e rentáveis.</t>
  </si>
  <si>
    <t>REQUISITOS LEGAIS E OUTROS REQUISITOS APLICADOS (4.2, 9.1.2 — lista completa no RG-SGE-11)</t>
  </si>
  <si>
    <t>Código do Trabalho, arts. 130.º–134.º (formação contínua)</t>
  </si>
  <si>
    <t>As horas de formação de energia contam para as 40 h anuais obrigatórias.</t>
  </si>
  <si>
    <t>ESTRUTURA DO FICHEIRO</t>
  </si>
  <si>
    <t>Competencias</t>
  </si>
  <si>
    <t>Requisitos de competência das funções que afetam o desempenho energético (7.2) — mesma estrutura do RG-SGA-08.</t>
  </si>
  <si>
    <t>Formacoes</t>
  </si>
  <si>
    <t>Catálogo de formação de energia.</t>
  </si>
  <si>
    <t>Registo_Formacao</t>
  </si>
  <si>
    <t>Evidência de competência (7.2 d — reter).</t>
  </si>
  <si>
    <t>Consciencializacao</t>
  </si>
  <si>
    <t>Consciencialização (7.3 a–d) — mesma estrutura do RG-SGQ-07.</t>
  </si>
  <si>
    <t>Comunicacao</t>
  </si>
  <si>
    <t>Matriz de comunicação do SGE (7.4 a–e) — mesmas colunas do RG-SGA-09.</t>
  </si>
  <si>
    <t>Sugestoes</t>
  </si>
  <si>
    <t>Processo de comentários e sugestões de melhoria do SGE e do desempenho energético (7.4) — mesma estrutura do RG-SGQ-19.</t>
  </si>
  <si>
    <t>Listas</t>
  </si>
  <si>
    <t>Domínios (listas de valores) usados na validação de dados das tabelas.</t>
  </si>
  <si>
    <t>Dicionario_Dados</t>
  </si>
  <si>
    <t>Descrição de cada coluna de cada tabela: tipo, origem (entrada/calculado), domínio, obrigatoriedade e chaves.</t>
  </si>
  <si>
    <t>CONVENÇÕES (prontas para análise de dados e machine learning)</t>
  </si>
  <si>
    <t>Tabelas</t>
  </si>
  <si>
    <t>Cada registo é uma Tabela Excel com nome próprio (tbl_*): uma linha = um registo, cabeçalho único, sem células mescladas. Ler com pandas (pd.read_excel(ficheiro, sheet_name=folha, header=&lt;linha do cabeçalho - 1&gt;)) ou Power BI (Obter Dados &gt; Tabela).</t>
  </si>
  <si>
    <t>Cabeçalho cinzento</t>
  </si>
  <si>
    <t>Coluna CALCULADA por fórmula — não escrever por cima. As restantes colunas são de entrada.</t>
  </si>
  <si>
    <t>Validação</t>
  </si>
  <si>
    <t>Colunas com lista controlada só aceitam valores da folha Listas (evita categorias duplicadas por grafia diferente).</t>
  </si>
  <si>
    <t>Chaves</t>
  </si>
  <si>
    <t>IDs estáveis e únicos (PK) e referências a IDs de outros registos (FK) permitem juntar tabelas entre ficheiros do SGE, do SGA e do SGQ — ver SGE-00_Indice_Modelo_Dados.xlsx.</t>
  </si>
  <si>
    <t>Datas e unidades</t>
  </si>
  <si>
    <t>Datas em formato data (aaaa-mm-dd); energia em kWh (MWh quando indicado); a unidade está no nome da coluna ou no dicionário. Data de referência do SGE: 2026-12-31.</t>
  </si>
  <si>
    <t>Dados</t>
  </si>
  <si>
    <t>Fábrica simulada Plasticom. Eletricidade mensal por uso: fonte única RG-SGA-13 (tbl_dados_ambientais, mar/2025 a dez/2026, já com o efeito das ações de energia de out–dez/2026). Produção e horas de marcha por máquina: dataset do projeto (datasets/silver). Dados que o dataset não tem (campanha de medição por máquina, faturas por período tarifário, gasóleo, compressores, SGCIE) são simulação didática coerente com esses dados e estão marcados como tal.</t>
  </si>
  <si>
    <t>LIGAÇÕES A OUTROS REGISTOS</t>
  </si>
  <si>
    <t>RG-SGE-04 tbl_use</t>
  </si>
  <si>
    <t>Pessoas que influenciam os USE (6.3 c 3) → competências aqui.</t>
  </si>
  <si>
    <t>RG-SGA-08 / RG-SGQ-07</t>
  </si>
  <si>
    <t>Competências do SGA/SGQ (mesma estrutura).</t>
  </si>
  <si>
    <t>RG-SGA-16</t>
  </si>
  <si>
    <t>Sugestões KZ-01 e KZ-04 (origem das SUGE-01/02).</t>
  </si>
  <si>
    <t>COMPETÊNCIAS DO SGE (7.2)</t>
  </si>
  <si>
    <t>ID_Competencia</t>
  </si>
  <si>
    <t>Funcao</t>
  </si>
  <si>
    <t>Processo</t>
  </si>
  <si>
    <t>ID_USE</t>
  </si>
  <si>
    <t>USE_Descricao</t>
  </si>
  <si>
    <t>Educacao_Habilitacoes</t>
  </si>
  <si>
    <t>Formacao_Obrigatoria</t>
  </si>
  <si>
    <t>Formacao_Descricao</t>
  </si>
  <si>
    <t>Experiencia</t>
  </si>
  <si>
    <t>Soft_Skills</t>
  </si>
  <si>
    <t>Tema_Consciencializacao</t>
  </si>
  <si>
    <t>Consequencia_Desvio</t>
  </si>
  <si>
    <t>Avaliacao_Eficacia</t>
  </si>
  <si>
    <t>N_Colaboradores</t>
  </si>
  <si>
    <t>Registos_Aprovados</t>
  </si>
  <si>
    <t>Cobertura</t>
  </si>
  <si>
    <t>COMPE-01</t>
  </si>
  <si>
    <t>Gestor(a) de Energia (líder da equipa de gestão de energia)</t>
  </si>
  <si>
    <t>UTL</t>
  </si>
  <si>
    <t>Todos</t>
  </si>
  <si>
    <t>Todos os USE e o SGE</t>
  </si>
  <si>
    <t>Licenciatura em engenharia (eletrotécnica/mecânica/energia)</t>
  </si>
  <si>
    <t>FOR-E-03; FOR-E-05; FOR-E-06</t>
  </si>
  <si>
    <t>ISO 50001/50006, M&amp;V (IPMVP/ISO 50015), auditor interno</t>
  </si>
  <si>
    <t>3 anos em energia industrial</t>
  </si>
  <si>
    <t>Análise de dados; comunicação com a gestão</t>
  </si>
  <si>
    <t>Política, objetivos, IDE</t>
  </si>
  <si>
    <t>IDE mal definidos; melhoria não demonstrada</t>
  </si>
  <si>
    <t>Auditoria interna e revisão pela gestão</t>
  </si>
  <si>
    <t>COMPE-02</t>
  </si>
  <si>
    <t>Técnico de Utilidades</t>
  </si>
  <si>
    <t>USE-03; USE-04</t>
  </si>
  <si>
    <t>Ar comprimido e frio</t>
  </si>
  <si>
    <t>Curso profissional de eletromecânica (nível 4)</t>
  </si>
  <si>
    <t>FOR-E-02; FOR-E-07</t>
  </si>
  <si>
    <t>Ar comprimido (ISO 11011), fugas por ultrassom, setpoints do chiller</t>
  </si>
  <si>
    <t>2 anos em utilidades</t>
  </si>
  <si>
    <t>Rigor no registo</t>
  </si>
  <si>
    <t>Fugas e setpoints</t>
  </si>
  <si>
    <t>Fugas não reparadas; setpoint baixo</t>
  </si>
  <si>
    <t>Nível 3 (comportamento no posto): rondas conformes</t>
  </si>
  <si>
    <t>COMPE-03</t>
  </si>
  <si>
    <t>Operador de Injeção</t>
  </si>
  <si>
    <t>INJ</t>
  </si>
  <si>
    <t>USE-02</t>
  </si>
  <si>
    <t>Injeção</t>
  </si>
  <si>
    <t>12.º ano ou experiência comprovada em moldação</t>
  </si>
  <si>
    <t>FOR-E-01</t>
  </si>
  <si>
    <t>Standby, arranque eficiente, temperaturas por molde</t>
  </si>
  <si>
    <t>6 meses no posto</t>
  </si>
  <si>
    <t>Atenção ao detalhe</t>
  </si>
  <si>
    <t>Standby nas pausas</t>
  </si>
  <si>
    <t>Máquina aquecida em vazio (até 78% da potência)</t>
  </si>
  <si>
    <t>Nível 3: ronda de standby</t>
  </si>
  <si>
    <t>COMPE-04</t>
  </si>
  <si>
    <t>Operador de Sopro (ISBM)</t>
  </si>
  <si>
    <t>SOP</t>
  </si>
  <si>
    <t>USE-01</t>
  </si>
  <si>
    <t>Sopro</t>
  </si>
  <si>
    <t>12.º ano ou experiência comprovada</t>
  </si>
  <si>
    <t>Standby, pressão de sopro mínima, fornos de pré-forma</t>
  </si>
  <si>
    <t>Standby e ar de sopro</t>
  </si>
  <si>
    <t>Consumo de ar e de aquecimento desnecessário</t>
  </si>
  <si>
    <t>COMPE-05</t>
  </si>
  <si>
    <t>Chefe de Turno</t>
  </si>
  <si>
    <t>PCP</t>
  </si>
  <si>
    <t>USE-01; USE-02</t>
  </si>
  <si>
    <t>Sopro e injeção</t>
  </si>
  <si>
    <t>12.º ano + formação de chefia</t>
  </si>
  <si>
    <t>Checklist de pausa; leitura do quadro de energia</t>
  </si>
  <si>
    <t>2 anos</t>
  </si>
  <si>
    <t>Liderança de equipa</t>
  </si>
  <si>
    <t>Metas de energia do turno</t>
  </si>
  <si>
    <t>Standby não aplicado no turno</t>
  </si>
  <si>
    <t>Checklist assinado (100%)</t>
  </si>
  <si>
    <t>COMPE-06</t>
  </si>
  <si>
    <t>Técnico de Manutenção</t>
  </si>
  <si>
    <t>MAN</t>
  </si>
  <si>
    <t>USE-01; USE-02; USE-03; USE-04</t>
  </si>
  <si>
    <t>Manutenção dos USE</t>
  </si>
  <si>
    <t>Curso profissional de eletromecânica</t>
  </si>
  <si>
    <t>FOR-E-02</t>
  </si>
  <si>
    <t>Manutenção hidráulica, fugas, isolamento de canhões, motores IE3/IE4</t>
  </si>
  <si>
    <t>1 ano</t>
  </si>
  <si>
    <t>Rigor</t>
  </si>
  <si>
    <t>Impacto da manutenção na energia</t>
  </si>
  <si>
    <t>Perdas por fugas e desgaste</t>
  </si>
  <si>
    <t>Nível 2: teste</t>
  </si>
  <si>
    <t>COMPE-07</t>
  </si>
  <si>
    <t>Responsável de Compras</t>
  </si>
  <si>
    <t>CMP</t>
  </si>
  <si>
    <t>Compras de equipamentos e energia</t>
  </si>
  <si>
    <t>Licenciatura em gestão/engenharia</t>
  </si>
  <si>
    <t>FOR-E-04</t>
  </si>
  <si>
    <t>Critérios energéticos, LCC (EN 17463), informação aos fornecedores (8.3)</t>
  </si>
  <si>
    <t>Negociação</t>
  </si>
  <si>
    <t>Desempenho energético nas compras</t>
  </si>
  <si>
    <t>Comprar equipamento ineficiente</t>
  </si>
  <si>
    <t>Auditoria às compras de 2026</t>
  </si>
  <si>
    <t>COMPE-08</t>
  </si>
  <si>
    <t>Auditor(a) Interno(a) do SGE</t>
  </si>
  <si>
    <t>QUA</t>
  </si>
  <si>
    <t>—</t>
  </si>
  <si>
    <t>Auditoria ao SGE</t>
  </si>
  <si>
    <t>Licenciatura</t>
  </si>
  <si>
    <t>FOR-E-06</t>
  </si>
  <si>
    <t>ISO 19011, ISO 50001, ISO 50003 (competência em desempenho energético)</t>
  </si>
  <si>
    <t>2 auditorias acompanhadas</t>
  </si>
  <si>
    <t>Imparcialidade</t>
  </si>
  <si>
    <t>Auditoria sem avaliar a melhoria do desempenho</t>
  </si>
  <si>
    <t>Avaliação do auditor (RG-SGE-12)</t>
  </si>
  <si>
    <t>COMPE-09</t>
  </si>
  <si>
    <t>Engenheiro(a) de Processo</t>
  </si>
  <si>
    <t>Engenharia de processo</t>
  </si>
  <si>
    <t>Licenciatura em engenharia</t>
  </si>
  <si>
    <t>FOR-E-03</t>
  </si>
  <si>
    <t>IDE por máquina, DOE com energia como resposta, projeto (8.2)</t>
  </si>
  <si>
    <t>Análise de dados</t>
  </si>
  <si>
    <t>Energia nos parâmetros de processo</t>
  </si>
  <si>
    <t>Parâmetros que desperdiçam energia</t>
  </si>
  <si>
    <t>Projetos com energia avaliada</t>
  </si>
  <si>
    <t>CATÁLOGO DE FORMAÇÃO DE ENERGIA</t>
  </si>
  <si>
    <t>ID_Formacao</t>
  </si>
  <si>
    <t>Titulo</t>
  </si>
  <si>
    <t>Duracao_h</t>
  </si>
  <si>
    <t>Formador</t>
  </si>
  <si>
    <t>Modalidade</t>
  </si>
  <si>
    <t>Reciclagem_Meses</t>
  </si>
  <si>
    <t>Boas práticas de energia no posto: standby, arranques, ar comprimido</t>
  </si>
  <si>
    <t>Interna (Gestor de Energia)</t>
  </si>
  <si>
    <t>No posto</t>
  </si>
  <si>
    <t>Ar comprimido: eficiência (ISO 11011), fugas por ultrassom, pressão</t>
  </si>
  <si>
    <t>Externa (fornecedor de compressores)</t>
  </si>
  <si>
    <t>Presencial</t>
  </si>
  <si>
    <t>ISO 50001 e ISO 50006 para a equipa de gestão de energia (IDE, LBE, normalização)</t>
  </si>
  <si>
    <t>Externa (organismo de formação)</t>
  </si>
  <si>
    <t>Compras com critérios energéticos e custo do ciclo de vida (EN 17463)</t>
  </si>
  <si>
    <t>Interna</t>
  </si>
  <si>
    <t>FOR-E-05</t>
  </si>
  <si>
    <t>Medição e verificação de poupanças (IPMVP / ISO 50015)</t>
  </si>
  <si>
    <t>Externa (EVO — CMVP)</t>
  </si>
  <si>
    <t>Online</t>
  </si>
  <si>
    <t>Auditor interno do SGE (ISO 19011 + ISO 50001 + ISO 50003)</t>
  </si>
  <si>
    <t>Externa (organismo de certificação)</t>
  </si>
  <si>
    <t>FOR-E-07</t>
  </si>
  <si>
    <t>Operação eficiente do chiller e da torre (setpoints, free-cooling)</t>
  </si>
  <si>
    <t>Externa (fornecedor do chiller)</t>
  </si>
  <si>
    <t>REGISTO DE FORMAÇÃO DE ENERGIA (7.2 d)</t>
  </si>
  <si>
    <t>Registos simulados (operadores com IDs do dataset)</t>
  </si>
  <si>
    <t>ID_Registo</t>
  </si>
  <si>
    <t>Colaborador</t>
  </si>
  <si>
    <t>Data_Realizacao</t>
  </si>
  <si>
    <t>Resultado</t>
  </si>
  <si>
    <t>Nota_Teste</t>
  </si>
  <si>
    <t>Nivel_Avaliado</t>
  </si>
  <si>
    <t>Validade</t>
  </si>
  <si>
    <t>Valida</t>
  </si>
  <si>
    <t>REGE-001</t>
  </si>
  <si>
    <t>OP-INJ-001</t>
  </si>
  <si>
    <t>Aprovado</t>
  </si>
  <si>
    <t>N3 Comportamento</t>
  </si>
  <si>
    <t>REGE-002</t>
  </si>
  <si>
    <t>OP-INJ-002</t>
  </si>
  <si>
    <t>REGE-003</t>
  </si>
  <si>
    <t>OP-INJ-003</t>
  </si>
  <si>
    <t>REGE-004</t>
  </si>
  <si>
    <t>OP-INJ-004</t>
  </si>
  <si>
    <t>REGE-005</t>
  </si>
  <si>
    <t>OP-INJ-005</t>
  </si>
  <si>
    <t>REGE-006</t>
  </si>
  <si>
    <t>AUX-INJ-001</t>
  </si>
  <si>
    <t>REGE-007</t>
  </si>
  <si>
    <t>OP-SOP-001</t>
  </si>
  <si>
    <t>Reprovado</t>
  </si>
  <si>
    <t>REGE-008</t>
  </si>
  <si>
    <t>OP-SOP-002</t>
  </si>
  <si>
    <t>REGE-009</t>
  </si>
  <si>
    <t>OP-SOP-003</t>
  </si>
  <si>
    <t>REGE-010</t>
  </si>
  <si>
    <t>OP-SOP-004</t>
  </si>
  <si>
    <t>REGE-011</t>
  </si>
  <si>
    <t>OP-SOP-005</t>
  </si>
  <si>
    <t>REGE-012</t>
  </si>
  <si>
    <t>OP-SOP-006</t>
  </si>
  <si>
    <t>REGE-013</t>
  </si>
  <si>
    <t>P-006</t>
  </si>
  <si>
    <t>N2 Aprendizagem</t>
  </si>
  <si>
    <t>REGE-014</t>
  </si>
  <si>
    <t>P-007</t>
  </si>
  <si>
    <t>REGE-015</t>
  </si>
  <si>
    <t>P-013</t>
  </si>
  <si>
    <t>REGE-016</t>
  </si>
  <si>
    <t>REGE-017</t>
  </si>
  <si>
    <t>REGE-018</t>
  </si>
  <si>
    <t>REGE-019</t>
  </si>
  <si>
    <t>REGE-020</t>
  </si>
  <si>
    <t>REGE-021</t>
  </si>
  <si>
    <t>REGE-022</t>
  </si>
  <si>
    <t>REGE-023</t>
  </si>
  <si>
    <t>Auditor(a) Interno(a) do SGQ</t>
  </si>
  <si>
    <t>REGE-024</t>
  </si>
  <si>
    <t>REGE-025</t>
  </si>
  <si>
    <t>REGE-026</t>
  </si>
  <si>
    <t>REGE-027</t>
  </si>
  <si>
    <t>REGE-028</t>
  </si>
  <si>
    <t>REGE-029</t>
  </si>
  <si>
    <t>CONSCIENCIALIZAÇÃO (7.3)</t>
  </si>
  <si>
    <t>ID_Sessao</t>
  </si>
  <si>
    <t>Data</t>
  </si>
  <si>
    <t>Tema</t>
  </si>
  <si>
    <t>Alineas_7_3</t>
  </si>
  <si>
    <t>Publico</t>
  </si>
  <si>
    <t>Presentes</t>
  </si>
  <si>
    <t>Convocados</t>
  </si>
  <si>
    <t>Evidencia</t>
  </si>
  <si>
    <t>CONE-01</t>
  </si>
  <si>
    <t>Lançamento do SGE: política energética e objetivos</t>
  </si>
  <si>
    <t>a) b)</t>
  </si>
  <si>
    <t>Chefias e equipa de gestão de energia</t>
  </si>
  <si>
    <t>Lista de presenças; apresentação</t>
  </si>
  <si>
    <t>CONE-02</t>
  </si>
  <si>
    <t>Standby nas pausas e impacto das máquinas paradas (turno 1)</t>
  </si>
  <si>
    <t>b) c) d)</t>
  </si>
  <si>
    <t>Operadores de injeção e sopro — turno 1</t>
  </si>
  <si>
    <t>Lista de presenças</t>
  </si>
  <si>
    <t>CONE-03</t>
  </si>
  <si>
    <t>Standby nas pausas (turno 2)</t>
  </si>
  <si>
    <t>Operadores — turno 2</t>
  </si>
  <si>
    <t>CONE-04</t>
  </si>
  <si>
    <t>Standby nas pausas (turno 3)</t>
  </si>
  <si>
    <t>Operadores — turno 3</t>
  </si>
  <si>
    <t>Lista de presenças; 3 ausentes em férias</t>
  </si>
  <si>
    <t>CONE-05</t>
  </si>
  <si>
    <t>Ar comprimido não é gratuito: fugas e usos indevidos (limpeza com ar)</t>
  </si>
  <si>
    <t>c) d)</t>
  </si>
  <si>
    <t>Todos os operadores e manutenção</t>
  </si>
  <si>
    <t>Lista de presenças; quiz</t>
  </si>
  <si>
    <t>CONE-06</t>
  </si>
  <si>
    <t>Resultados de energia e sugestões premiadas (reunião geral)</t>
  </si>
  <si>
    <t>Todos os trabalhadores</t>
  </si>
  <si>
    <t>Ata da reunião geral</t>
  </si>
  <si>
    <t>CONE-07</t>
  </si>
  <si>
    <t>Arranque do standby obrigatório (PA-E-03) e do checklist de pausa</t>
  </si>
  <si>
    <t>Chefes de turno e operadores (3 turnos)</t>
  </si>
  <si>
    <t>Lista de presenças; checklist</t>
  </si>
  <si>
    <t>CONE-08</t>
  </si>
  <si>
    <t>Resultados do 4.º trimestre: melhoria demonstrada após as ações</t>
  </si>
  <si>
    <t>Todos os trabalhadores (reunião de Natal)</t>
  </si>
  <si>
    <t>Ata; quadro de energia</t>
  </si>
  <si>
    <t>MATRIZ DE COMUNICAÇÃO DO SGE (7.4)</t>
  </si>
  <si>
    <t>Informação comunicada consistente com a gerada no SGE e fiável (7.4): os números saem dos registos RG-SGE-05/09/10</t>
  </si>
  <si>
    <t>ID_Comunicacao</t>
  </si>
  <si>
    <t>Tipo</t>
  </si>
  <si>
    <t>Cenario</t>
  </si>
  <si>
    <t>O_Que_Mensagem</t>
  </si>
  <si>
    <t>A_Quem_Publico</t>
  </si>
  <si>
    <t>Quando_Momento</t>
  </si>
  <si>
    <t>Como_Canal</t>
  </si>
  <si>
    <t>Porque_Objetivo</t>
  </si>
  <si>
    <t>Responsavel</t>
  </si>
  <si>
    <t>COME-01</t>
  </si>
  <si>
    <t>Política energética</t>
  </si>
  <si>
    <t>Política energética POL-SGE-01 e o seu significado</t>
  </si>
  <si>
    <t>Na receção e na revisão anual</t>
  </si>
  <si>
    <t>Afixação, intranet, reunião geral</t>
  </si>
  <si>
    <t>7.3 a); 5.2</t>
  </si>
  <si>
    <t>COME-02</t>
  </si>
  <si>
    <t>Desempenho energético mensal</t>
  </si>
  <si>
    <t>IDE-01 (esperado vs real), CUSUM, SEC e desvios</t>
  </si>
  <si>
    <t>Gestão de topo e chefias</t>
  </si>
  <si>
    <t>Reunião mensal de desempenho (2.ª terça)</t>
  </si>
  <si>
    <t>Quadro Power BI</t>
  </si>
  <si>
    <t>Informar decisões (9.1)</t>
  </si>
  <si>
    <t>COME-03</t>
  </si>
  <si>
    <t>Energia no turno</t>
  </si>
  <si>
    <t>Consumo do turno, standby e fugas assinaladas</t>
  </si>
  <si>
    <t>Operadores e chefes de turno</t>
  </si>
  <si>
    <t>Início de turno (SQDC)</t>
  </si>
  <si>
    <t>Quadro SQDC</t>
  </si>
  <si>
    <t>Consciencialização 7.3 c)</t>
  </si>
  <si>
    <t>COME-04</t>
  </si>
  <si>
    <t>Sugestões de melhoria</t>
  </si>
  <si>
    <t>Canal para comentários e sugestões sobre o SGE e o desempenho energético</t>
  </si>
  <si>
    <t>Qualquer pessoa que trabalhe para a Plasticom</t>
  </si>
  <si>
    <t>Contínuo</t>
  </si>
  <si>
    <t>Caixa de sugestões, app, e-mail energia@</t>
  </si>
  <si>
    <t>7.4 (processo obrigatório)</t>
  </si>
  <si>
    <t>COME-05</t>
  </si>
  <si>
    <t>Externa</t>
  </si>
  <si>
    <t>SGCIE</t>
  </si>
  <si>
    <t>Relatórios de execução e progresso (REP) do PREn</t>
  </si>
  <si>
    <t>DGEG / ADENE</t>
  </si>
  <si>
    <t>Bienal (próximo out/2026)</t>
  </si>
  <si>
    <t>Plataforma SGCIE</t>
  </si>
  <si>
    <t>Obrigação legal</t>
  </si>
  <si>
    <t>COME-06</t>
  </si>
  <si>
    <t>Clientes</t>
  </si>
  <si>
    <t>Dados de energia e carbono por produto; política energética a pedido</t>
  </si>
  <si>
    <t>A pedido / anual</t>
  </si>
  <si>
    <t>Questionários, portal do cliente</t>
  </si>
  <si>
    <t>4.2 (requisitos de clientes)</t>
  </si>
  <si>
    <t>Diretor Geral (Gestão de Topo)</t>
  </si>
  <si>
    <t>COME-07</t>
  </si>
  <si>
    <t>Fornecedores</t>
  </si>
  <si>
    <t>O desempenho energético é critério de avaliação na aquisição (8.3)</t>
  </si>
  <si>
    <t>Fornecedores de equipamentos e serviços com impacto nos USE</t>
  </si>
  <si>
    <t>Em cada consulta</t>
  </si>
  <si>
    <t>Caderno de encargos</t>
  </si>
  <si>
    <t>8.3</t>
  </si>
  <si>
    <t>COME-08</t>
  </si>
  <si>
    <t>Relato de sustentabilidade</t>
  </si>
  <si>
    <t>Consumo de energia, mix e intensidade (ESRS E1-5 / VSME B3)</t>
  </si>
  <si>
    <t>Clientes, bancos, público</t>
  </si>
  <si>
    <t>Anual</t>
  </si>
  <si>
    <t>Relatório de sustentabilidade (RG-SGA-19)</t>
  </si>
  <si>
    <t>Coerência com o SGE (7.4)</t>
  </si>
  <si>
    <t>Gestor do SGA / EHS (Responsável Ambiental)</t>
  </si>
  <si>
    <t>SUGESTÕES DE MELHORIA (7.4)</t>
  </si>
  <si>
    <t>ID_Sugestao</t>
  </si>
  <si>
    <t>Proponente</t>
  </si>
  <si>
    <t>Sugestao</t>
  </si>
  <si>
    <t>Ligacao</t>
  </si>
  <si>
    <t>Dias_Resposta</t>
  </si>
  <si>
    <t>Poupanca_Estimada_MWh</t>
  </si>
  <si>
    <t>Resposta_no_Prazo</t>
  </si>
  <si>
    <t>SUGE-01</t>
  </si>
  <si>
    <t>Chefe de turno 3 (injeção)</t>
  </si>
  <si>
    <t>Standby das máquinas na pausa de 80 min do turno 3 (KZ-01 do SGA)</t>
  </si>
  <si>
    <t>Aprovada</t>
  </si>
  <si>
    <t>OPE-03; PA-E-03</t>
  </si>
  <si>
    <t>SUGE-02</t>
  </si>
  <si>
    <t>Técnico de manutenção</t>
  </si>
  <si>
    <t>UTL-AR</t>
  </si>
  <si>
    <t>Fechar os ramais de ar das áreas paradas ao fim de semana (KZ-04 do SGA)</t>
  </si>
  <si>
    <t>OPE-04</t>
  </si>
  <si>
    <t>SUGE-03</t>
  </si>
  <si>
    <t>Operador OP-SOP-002</t>
  </si>
  <si>
    <t>Baixar a pressão de sopro de pré-forma nos frascos de 150 mL (há margem no teste de queda)</t>
  </si>
  <si>
    <t>Implementada</t>
  </si>
  <si>
    <t>CO-02 (ficha de parâmetros)</t>
  </si>
  <si>
    <t>SUGE-04</t>
  </si>
  <si>
    <t>Operador OP-INJ-004</t>
  </si>
  <si>
    <t>Desligar a extração e a iluminação da ilha IM-006 quando a máquina está parada por falta de molde</t>
  </si>
  <si>
    <t>OPE-03</t>
  </si>
  <si>
    <t>SUGE-05</t>
  </si>
  <si>
    <t>UTL-FRIO</t>
  </si>
  <si>
    <t>Limpar os permutadores da torre antes do verão (ΔT caiu 1,5 °C)</t>
  </si>
  <si>
    <t>RG-SGE-08 CO-15</t>
  </si>
  <si>
    <t>SUGE-06</t>
  </si>
  <si>
    <t>Engenheiro de processo</t>
  </si>
  <si>
    <t>Recuperar o ar de 40 bar do sopro para a rede de 7 bar nas ISBM hidráulicas</t>
  </si>
  <si>
    <t>OPE-07 (em estudo)</t>
  </si>
  <si>
    <t>SUGE-07</t>
  </si>
  <si>
    <t>Operador de armazém</t>
  </si>
  <si>
    <t>GER</t>
  </si>
  <si>
    <t>Sensores de presença na zona de expedição (luzes ligadas 24 h)</t>
  </si>
  <si>
    <t>OPE-11</t>
  </si>
  <si>
    <t>SUGE-08</t>
  </si>
  <si>
    <t>Operador OP-HF-001</t>
  </si>
  <si>
    <t>HFS</t>
  </si>
  <si>
    <t>Temporizador para desligar as placas aquecidas do hot foil 20 min antes do fim do turno de sexta</t>
  </si>
  <si>
    <t>CO-16</t>
  </si>
  <si>
    <t>SUGE-09</t>
  </si>
  <si>
    <t>Chefe de turno 1</t>
  </si>
  <si>
    <t>Proibir a limpeza de roupa/bancadas com ar comprimido (usar aspirador)</t>
  </si>
  <si>
    <t>SUGE-10</t>
  </si>
  <si>
    <t>Planeador de produção</t>
  </si>
  <si>
    <t>Agendar a moagem de scrap para as horas de vazio</t>
  </si>
  <si>
    <t>OE-04</t>
  </si>
  <si>
    <t>SUGE-11</t>
  </si>
  <si>
    <t>Operador OP-INJ-002</t>
  </si>
  <si>
    <t>Sinal luminoso na injetora quando está em standby há &gt; 2 h (lembrete para desligar)</t>
  </si>
  <si>
    <t>CO-05</t>
  </si>
  <si>
    <t>SUGE-12</t>
  </si>
  <si>
    <t>Alarme no BI quando o setpoint do chiller for alterado (ANI-02)</t>
  </si>
  <si>
    <t>CO-13</t>
  </si>
  <si>
    <t>SUGE-13</t>
  </si>
  <si>
    <t>Chefe de turno 2</t>
  </si>
  <si>
    <t>Arranque escalonado das ISBM após a paragem de Natal para não exceder a potência</t>
  </si>
  <si>
    <t>Em análise</t>
  </si>
  <si>
    <t>RE-03</t>
  </si>
  <si>
    <t>LISTAS CONTROLADAS (domínios de validação de dados) — editar aqui para alterar opções</t>
  </si>
  <si>
    <t>DataReferencia</t>
  </si>
  <si>
    <t>EstadoSug</t>
  </si>
  <si>
    <t>Nivel</t>
  </si>
  <si>
    <t>Recebida</t>
  </si>
  <si>
    <t>N1 Reação</t>
  </si>
  <si>
    <t>Diretor Industrial</t>
  </si>
  <si>
    <t>Gerente de Manutenção</t>
  </si>
  <si>
    <t>N4 Resultados</t>
  </si>
  <si>
    <t>Gerente de Produção</t>
  </si>
  <si>
    <t>Rejeitada</t>
  </si>
  <si>
    <t>Gerente da Qualidade</t>
  </si>
  <si>
    <t>Diretor Financeiro</t>
  </si>
  <si>
    <t>Responsável de R&amp;D</t>
  </si>
  <si>
    <t>Responsável de Recursos Humanos</t>
  </si>
  <si>
    <t>Gerente de Dados / TI</t>
  </si>
  <si>
    <t>Operador de Serigrafia</t>
  </si>
  <si>
    <t>Operador de Hot Foil</t>
  </si>
  <si>
    <t>Responsável de Armazém e Logística</t>
  </si>
  <si>
    <t>Folha</t>
  </si>
  <si>
    <t>Tabela</t>
  </si>
  <si>
    <t>Coluna</t>
  </si>
  <si>
    <t>Origem</t>
  </si>
  <si>
    <t>Descricao</t>
  </si>
  <si>
    <t>Dominio_Unidade</t>
  </si>
  <si>
    <t>Obrigatorio</t>
  </si>
  <si>
    <t>Chave</t>
  </si>
  <si>
    <t>tbl_competencias</t>
  </si>
  <si>
    <t>Texto</t>
  </si>
  <si>
    <t>Entrada</t>
  </si>
  <si>
    <t>Requisito de competência.</t>
  </si>
  <si>
    <t>Sim</t>
  </si>
  <si>
    <t>PK</t>
  </si>
  <si>
    <t>Função.</t>
  </si>
  <si>
    <t>Lista lst_Funcao</t>
  </si>
  <si>
    <t>Processo.</t>
  </si>
  <si>
    <t>USE que a função influencia (posição de ID_Aspeto_AAS no SGA).</t>
  </si>
  <si>
    <t>FK → RG-SGE-04 tbl_use</t>
  </si>
  <si>
    <t>USE (posição de Aspeto_Significativo no SGA).</t>
  </si>
  <si>
    <t>Educação (7.2 b).</t>
  </si>
  <si>
    <t>Formações obrigatórias.</t>
  </si>
  <si>
    <t>FK → tbl_formacoes</t>
  </si>
  <si>
    <t>Conteúdo.</t>
  </si>
  <si>
    <t>Experiência.</t>
  </si>
  <si>
    <t>Competências comportamentais.</t>
  </si>
  <si>
    <t>Tema de consciencialização (7.3).</t>
  </si>
  <si>
    <t>Implicação de não cumprir (7.3 d).</t>
  </si>
  <si>
    <t>Como se avalia a eficácia (7.2 c).</t>
  </si>
  <si>
    <t>Inteiro</t>
  </si>
  <si>
    <t>Pessoas na função.</t>
  </si>
  <si>
    <t>Calculado (fórmula)</t>
  </si>
  <si>
    <t>Formações aprovadas registadas.</t>
  </si>
  <si>
    <t>Percentagem (fração 0-1)</t>
  </si>
  <si>
    <t>Aprovações ÷ (pessoas × formações obrigatórias).</t>
  </si>
  <si>
    <t>Coberto ≥ 90%.</t>
  </si>
  <si>
    <t>tbl_formacoes</t>
  </si>
  <si>
    <t>Ação de formação.</t>
  </si>
  <si>
    <t>Título.</t>
  </si>
  <si>
    <t>Decimal</t>
  </si>
  <si>
    <t>Duração (h).</t>
  </si>
  <si>
    <t>Formador.</t>
  </si>
  <si>
    <t>Modalidade.</t>
  </si>
  <si>
    <t>Periodicidade de reciclagem.</t>
  </si>
  <si>
    <t>tbl_registo_formacao</t>
  </si>
  <si>
    <t>Registo.</t>
  </si>
  <si>
    <t>Pessoa (ID do dataset/RG-SGQ-07) ou função.</t>
  </si>
  <si>
    <t>Competência.</t>
  </si>
  <si>
    <t>FK → tbl_competencias</t>
  </si>
  <si>
    <t>Formação.</t>
  </si>
  <si>
    <t>Data (aaaa-mm-dd)</t>
  </si>
  <si>
    <t>Data.</t>
  </si>
  <si>
    <t>Horas.</t>
  </si>
  <si>
    <t>Aprovado / reprovado.</t>
  </si>
  <si>
    <t>Lista lst_Resultado</t>
  </si>
  <si>
    <t>Nota (0–100).</t>
  </si>
  <si>
    <t>Nível de Kirkpatrick avaliado.</t>
  </si>
  <si>
    <t>Lista lst_Nivel</t>
  </si>
  <si>
    <t>Reciclagem.</t>
  </si>
  <si>
    <t>Válida até.</t>
  </si>
  <si>
    <t>Válida à data de referência?</t>
  </si>
  <si>
    <t>tbl_consciencializacao</t>
  </si>
  <si>
    <t>Sessão.</t>
  </si>
  <si>
    <t>Tema.</t>
  </si>
  <si>
    <t>Alíneas 7.3 a–d.</t>
  </si>
  <si>
    <t>Público.</t>
  </si>
  <si>
    <t>Presentes.</t>
  </si>
  <si>
    <t>Convocados.</t>
  </si>
  <si>
    <t>Presentes ÷ convocados.</t>
  </si>
  <si>
    <t>Evidência.</t>
  </si>
  <si>
    <t>tbl_comunicacao</t>
  </si>
  <si>
    <t>Comunicação.</t>
  </si>
  <si>
    <t>Interna / externa.</t>
  </si>
  <si>
    <t>Assunto.</t>
  </si>
  <si>
    <t>Sobre o que comunicar (7.4 a).</t>
  </si>
  <si>
    <t>Com quem (7.4 c).</t>
  </si>
  <si>
    <t>Quando (7.4 b).</t>
  </si>
  <si>
    <t>Como (7.4 d).</t>
  </si>
  <si>
    <t>Porquê.</t>
  </si>
  <si>
    <t>Quem comunica (7.4 e).</t>
  </si>
  <si>
    <t>tbl_sugestoes</t>
  </si>
  <si>
    <t>Sugestão.</t>
  </si>
  <si>
    <t>Data de receção.</t>
  </si>
  <si>
    <t>Quem sugeriu.</t>
  </si>
  <si>
    <t>Uso / processo.</t>
  </si>
  <si>
    <t>Comentário ou sugestão (7.4).</t>
  </si>
  <si>
    <t>Estado.</t>
  </si>
  <si>
    <t>Lista lst_EstadoSug</t>
  </si>
  <si>
    <t>Oportunidade / plano / controlo.</t>
  </si>
  <si>
    <t>Dias até à resposta ao proponente.</t>
  </si>
  <si>
    <t>Não</t>
  </si>
  <si>
    <t>[Só SGE] Poupança anual estimada (MWh).</t>
  </si>
  <si>
    <t>[Só SGE] Resposta em ≤ 15 dias?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</si>
</sst>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yyyy\-mm\-dd"/>
  </numFmts>
  <fonts count="6" x14ac:knownFonts="1">
    <font>
      <sz val="11"/>
      <color theme="1"/>
      <name val="Calibri"/>
      <family val="2"/>
      <scheme val="minor"/>
    </font>
    <font>
      <b/>
      <sz val="14"/>
      <color rgb="FF0F2F3A"/>
      <name val="Arial"/>
    </font>
    <font>
      <b/>
      <sz val="10"/>
      <color rgb="FFFFFFFF"/>
      <name val="Arial"/>
    </font>
    <font>
      <sz val="10"/>
      <name val="Arial"/>
    </font>
    <font>
      <i/>
      <sz val="10"/>
      <color rgb="FF4A5A6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4F6F7A"/>
      </patternFill>
    </fill>
    <fill>
      <patternFill patternType="solid">
        <fgColor rgb="FFEDEDED"/>
      </patternFill>
    </fill>
    <fill>
      <patternFill patternType="solid">
        <fgColor rgb="FFDCEBEF"/>
      </patternFill>
    </fill>
  </fills>
  <borders count="2">
    <border>
      <left/>
      <right/>
      <top/>
      <bottom/>
      <diagonal/>
    </border>
    <border>
      <left style="thin">
        <color rgb="FFB7C4C9"/>
      </left>
      <right style="thin">
        <color rgb="FFB7C4C9"/>
      </right>
      <top style="thin">
        <color rgb="FFB7C4C9"/>
      </top>
      <bottom style="thin">
        <color rgb="FFB7C4C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4" fillId="0" borderId="0" xfId="0" applyFont="1"/>
    <xf numFmtId="0" fontId="5" fillId="5" borderId="0" xfId="0" applyFont="1" applyFill="1"/>
    <xf numFmtId="0" fontId="0" fillId="5" borderId="0" xfId="0" applyFill="1"/>
    <xf numFmtId="0" fontId="5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165" fontId="3" fillId="0" borderId="0" xfId="0" applyNumberFormat="1" applyFont="1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49" fontId="3" fillId="0" borderId="1" xfId="0" applyNumberFormat="1" applyFont="1" applyBorder="1" applyAlignment="1">
      <alignment vertical="top" wrapText="1"/>
    </xf>
    <xf numFmtId="1" fontId="3" fillId="0" borderId="1" xfId="0" applyNumberFormat="1" applyFont="1" applyBorder="1" applyAlignment="1">
      <alignment vertical="top" wrapText="1"/>
    </xf>
    <xf numFmtId="1" fontId="3" fillId="4" borderId="1" xfId="0" applyNumberFormat="1" applyFont="1" applyFill="1" applyBorder="1" applyAlignment="1">
      <alignment vertical="top" wrapText="1"/>
    </xf>
    <xf numFmtId="9" fontId="3" fillId="4" borderId="1" xfId="0" applyNumberFormat="1" applyFont="1" applyFill="1" applyBorder="1" applyAlignment="1">
      <alignment vertical="top" wrapText="1"/>
    </xf>
    <xf numFmtId="49" fontId="3" fillId="4" borderId="1" xfId="0" applyNumberFormat="1" applyFont="1" applyFill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165" fontId="3" fillId="0" borderId="1" xfId="0" applyNumberFormat="1" applyFont="1" applyBorder="1" applyAlignment="1">
      <alignment vertical="top" wrapText="1"/>
    </xf>
    <xf numFmtId="165" fontId="3" fillId="4" borderId="1" xfId="0" applyNumberFormat="1" applyFont="1" applyFill="1" applyBorder="1" applyAlignment="1">
      <alignment vertical="top" wrapText="1"/>
    </xf>
    <xf numFmtId="3" fontId="3" fillId="0" borderId="1" xfId="0" applyNumberFormat="1" applyFont="1" applyBorder="1" applyAlignment="1">
      <alignment vertical="top" wrapText="1"/>
    </xf>
    <xf numFmtId="0" fontId="5" fillId="0" borderId="0" xfId="0" applyFont="1"/>
    <xf numFmtId="0" fontId="2" fillId="2" borderId="0" xfId="0" applyFont="1" applyFill="1" applyAlignment="1">
      <alignment horizontal="center" vertical="top" wrapText="1"/>
    </xf>
    <xf numFmtId="165" fontId="3" fillId="0" borderId="0" xfId="0" applyNumberFormat="1" applyFont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10"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competencias" displayName="tbl_competencias" ref="A4:Q13">
  <autoFilter ref="A4:Q13" xr:uid="{00000000-0009-0000-0100-000001000000}"/>
  <tableColumns count="17">
    <tableColumn id="1" xr3:uid="{00000000-0010-0000-0000-000001000000}" name="ID_Competencia"/>
    <tableColumn id="2" xr3:uid="{00000000-0010-0000-0000-000002000000}" name="Funcao"/>
    <tableColumn id="3" xr3:uid="{00000000-0010-0000-0000-000003000000}" name="Processo"/>
    <tableColumn id="4" xr3:uid="{00000000-0010-0000-0000-000004000000}" name="ID_USE"/>
    <tableColumn id="5" xr3:uid="{00000000-0010-0000-0000-000005000000}" name="USE_Descricao"/>
    <tableColumn id="6" xr3:uid="{00000000-0010-0000-0000-000006000000}" name="Educacao_Habilitacoes"/>
    <tableColumn id="7" xr3:uid="{00000000-0010-0000-0000-000007000000}" name="Formacao_Obrigatoria"/>
    <tableColumn id="8" xr3:uid="{00000000-0010-0000-0000-000008000000}" name="Formacao_Descricao"/>
    <tableColumn id="9" xr3:uid="{00000000-0010-0000-0000-000009000000}" name="Experiencia"/>
    <tableColumn id="10" xr3:uid="{00000000-0010-0000-0000-00000A000000}" name="Soft_Skills"/>
    <tableColumn id="11" xr3:uid="{00000000-0010-0000-0000-00000B000000}" name="Tema_Consciencializacao"/>
    <tableColumn id="12" xr3:uid="{00000000-0010-0000-0000-00000C000000}" name="Consequencia_Desvio"/>
    <tableColumn id="13" xr3:uid="{00000000-0010-0000-0000-00000D000000}" name="Avaliacao_Eficacia"/>
    <tableColumn id="14" xr3:uid="{00000000-0010-0000-0000-00000E000000}" name="N_Colaboradores"/>
    <tableColumn id="15" xr3:uid="{00000000-0010-0000-0000-00000F000000}" name="Registos_Aprovados"/>
    <tableColumn id="16" xr3:uid="{00000000-0010-0000-0000-000010000000}" name="Cobertura"/>
    <tableColumn id="17" xr3:uid="{00000000-0010-0000-0000-000011000000}" name="Estado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formacoes" displayName="tbl_formacoes" ref="A4:F11">
  <autoFilter ref="A4:F11" xr:uid="{00000000-0009-0000-0100-000002000000}"/>
  <tableColumns count="6">
    <tableColumn id="1" xr3:uid="{00000000-0010-0000-0100-000001000000}" name="ID_Formacao"/>
    <tableColumn id="2" xr3:uid="{00000000-0010-0000-0100-000002000000}" name="Titulo"/>
    <tableColumn id="3" xr3:uid="{00000000-0010-0000-0100-000003000000}" name="Duracao_h"/>
    <tableColumn id="4" xr3:uid="{00000000-0010-0000-0100-000004000000}" name="Formador"/>
    <tableColumn id="5" xr3:uid="{00000000-0010-0000-0100-000005000000}" name="Modalidade"/>
    <tableColumn id="6" xr3:uid="{00000000-0010-0000-0100-000006000000}" name="Reciclagem_Meses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registo_formacao" displayName="tbl_registo_formacao" ref="A4:L33">
  <autoFilter ref="A4:L33" xr:uid="{00000000-0009-0000-0100-000003000000}"/>
  <tableColumns count="12">
    <tableColumn id="1" xr3:uid="{00000000-0010-0000-0200-000001000000}" name="ID_Registo"/>
    <tableColumn id="2" xr3:uid="{00000000-0010-0000-0200-000002000000}" name="Colaborador"/>
    <tableColumn id="3" xr3:uid="{00000000-0010-0000-0200-000003000000}" name="ID_Competencia"/>
    <tableColumn id="4" xr3:uid="{00000000-0010-0000-0200-000004000000}" name="ID_Formacao"/>
    <tableColumn id="5" xr3:uid="{00000000-0010-0000-0200-000005000000}" name="Data_Realizacao"/>
    <tableColumn id="6" xr3:uid="{00000000-0010-0000-0200-000006000000}" name="Duracao_h"/>
    <tableColumn id="7" xr3:uid="{00000000-0010-0000-0200-000007000000}" name="Resultado"/>
    <tableColumn id="8" xr3:uid="{00000000-0010-0000-0200-000008000000}" name="Nota_Teste"/>
    <tableColumn id="9" xr3:uid="{00000000-0010-0000-0200-000009000000}" name="Nivel_Avaliado"/>
    <tableColumn id="10" xr3:uid="{00000000-0010-0000-0200-00000A000000}" name="Reciclagem_Meses"/>
    <tableColumn id="11" xr3:uid="{00000000-0010-0000-0200-00000B000000}" name="Validade"/>
    <tableColumn id="12" xr3:uid="{00000000-0010-0000-0200-00000C000000}" name="Valida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consciencializacao" displayName="tbl_consciencializacao" ref="A4:I12">
  <autoFilter ref="A4:I12" xr:uid="{00000000-0009-0000-0100-000004000000}"/>
  <tableColumns count="9">
    <tableColumn id="1" xr3:uid="{00000000-0010-0000-0300-000001000000}" name="ID_Sessao"/>
    <tableColumn id="2" xr3:uid="{00000000-0010-0000-0300-000002000000}" name="Data"/>
    <tableColumn id="3" xr3:uid="{00000000-0010-0000-0300-000003000000}" name="Tema"/>
    <tableColumn id="4" xr3:uid="{00000000-0010-0000-0300-000004000000}" name="Alineas_7_3"/>
    <tableColumn id="5" xr3:uid="{00000000-0010-0000-0300-000005000000}" name="Publico"/>
    <tableColumn id="6" xr3:uid="{00000000-0010-0000-0300-000006000000}" name="Presentes"/>
    <tableColumn id="7" xr3:uid="{00000000-0010-0000-0300-000007000000}" name="Convocados"/>
    <tableColumn id="8" xr3:uid="{00000000-0010-0000-0300-000008000000}" name="Cobertura"/>
    <tableColumn id="9" xr3:uid="{00000000-0010-0000-0300-000009000000}" name="Evidencia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comunicacao" displayName="tbl_comunicacao" ref="A4:I12">
  <autoFilter ref="A4:I12" xr:uid="{00000000-0009-0000-0100-000005000000}"/>
  <tableColumns count="9">
    <tableColumn id="1" xr3:uid="{00000000-0010-0000-0400-000001000000}" name="ID_Comunicacao"/>
    <tableColumn id="2" xr3:uid="{00000000-0010-0000-0400-000002000000}" name="Tipo"/>
    <tableColumn id="3" xr3:uid="{00000000-0010-0000-0400-000003000000}" name="Cenario"/>
    <tableColumn id="4" xr3:uid="{00000000-0010-0000-0400-000004000000}" name="O_Que_Mensagem"/>
    <tableColumn id="5" xr3:uid="{00000000-0010-0000-0400-000005000000}" name="A_Quem_Publico"/>
    <tableColumn id="6" xr3:uid="{00000000-0010-0000-0400-000006000000}" name="Quando_Momento"/>
    <tableColumn id="7" xr3:uid="{00000000-0010-0000-0400-000007000000}" name="Como_Canal"/>
    <tableColumn id="8" xr3:uid="{00000000-0010-0000-0400-000008000000}" name="Porque_Objetivo"/>
    <tableColumn id="9" xr3:uid="{00000000-0010-0000-0400-000009000000}" name="Responsavel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_sugestoes" displayName="tbl_sugestoes" ref="A4:J17">
  <autoFilter ref="A4:J17" xr:uid="{00000000-0009-0000-0100-000006000000}"/>
  <tableColumns count="10">
    <tableColumn id="1" xr3:uid="{00000000-0010-0000-0500-000001000000}" name="ID_Sugestao"/>
    <tableColumn id="2" xr3:uid="{00000000-0010-0000-0500-000002000000}" name="Data"/>
    <tableColumn id="3" xr3:uid="{00000000-0010-0000-0500-000003000000}" name="Proponente"/>
    <tableColumn id="4" xr3:uid="{00000000-0010-0000-0500-000004000000}" name="Processo"/>
    <tableColumn id="5" xr3:uid="{00000000-0010-0000-0500-000005000000}" name="Sugestao"/>
    <tableColumn id="6" xr3:uid="{00000000-0010-0000-0500-000006000000}" name="Estado"/>
    <tableColumn id="7" xr3:uid="{00000000-0010-0000-0500-000007000000}" name="Ligacao"/>
    <tableColumn id="8" xr3:uid="{00000000-0010-0000-0500-000008000000}" name="Dias_Resposta"/>
    <tableColumn id="9" xr3:uid="{00000000-0010-0000-0500-000009000000}" name="Poupanca_Estimada_MWh"/>
    <tableColumn id="10" xr3:uid="{00000000-0010-0000-0500-00000A000000}" name="Resposta_no_Prazo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_dicionario" displayName="tbl_dicionario" ref="A1:I64">
  <autoFilter ref="A1:I64" xr:uid="{00000000-0009-0000-0100-000007000000}"/>
  <tableColumns count="9">
    <tableColumn id="1" xr3:uid="{00000000-0010-0000-0600-000001000000}" name="Folha"/>
    <tableColumn id="2" xr3:uid="{00000000-0010-0000-0600-000002000000}" name="Tabela"/>
    <tableColumn id="3" xr3:uid="{00000000-0010-0000-0600-000003000000}" name="Coluna"/>
    <tableColumn id="4" xr3:uid="{00000000-0010-0000-0600-000004000000}" name="Tipo"/>
    <tableColumn id="5" xr3:uid="{00000000-0010-0000-0600-000005000000}" name="Origem"/>
    <tableColumn id="6" xr3:uid="{00000000-0010-0000-0600-000006000000}" name="Descricao"/>
    <tableColumn id="7" xr3:uid="{00000000-0010-0000-0600-000007000000}" name="Dominio_Unidade"/>
    <tableColumn id="8" xr3:uid="{00000000-0010-0000-0600-000008000000}" name="Obrigatorio"/>
    <tableColumn id="9" xr3:uid="{00000000-0010-0000-0600-000009000000}" name="Chav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5F"/>
  </sheetPr>
  <dimension ref="A1:B50"/>
  <sheetViews>
    <sheetView showGridLines="0" tabSelected="1" workbookViewId="0"/>
  </sheetViews>
  <sheetFormatPr defaultRowHeight="14.4" x14ac:dyDescent="0.3"/>
  <cols>
    <col min="1" max="1" width="30" customWidth="1"/>
    <col min="2" max="2" width="11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/>
    </row>
    <row r="5" spans="1:2" x14ac:dyDescent="0.3">
      <c r="A5" s="5" t="s">
        <v>3</v>
      </c>
      <c r="B5" s="6" t="s">
        <v>4</v>
      </c>
    </row>
    <row r="6" spans="1:2" x14ac:dyDescent="0.3">
      <c r="A6" s="5" t="s">
        <v>5</v>
      </c>
      <c r="B6" s="6" t="s">
        <v>6</v>
      </c>
    </row>
    <row r="7" spans="1:2" x14ac:dyDescent="0.3">
      <c r="A7" s="5" t="s">
        <v>7</v>
      </c>
      <c r="B7" s="6" t="s">
        <v>8</v>
      </c>
    </row>
    <row r="8" spans="1:2" x14ac:dyDescent="0.3">
      <c r="A8" s="5" t="s">
        <v>9</v>
      </c>
      <c r="B8" s="7">
        <v>46387</v>
      </c>
    </row>
    <row r="9" spans="1:2" x14ac:dyDescent="0.3">
      <c r="A9" s="5" t="s">
        <v>10</v>
      </c>
      <c r="B9" s="6" t="s">
        <v>11</v>
      </c>
    </row>
    <row r="10" spans="1:2" x14ac:dyDescent="0.3">
      <c r="A10" s="5" t="s">
        <v>12</v>
      </c>
      <c r="B10" s="6" t="s">
        <v>13</v>
      </c>
    </row>
    <row r="11" spans="1:2" x14ac:dyDescent="0.3">
      <c r="A11" s="5" t="s">
        <v>14</v>
      </c>
      <c r="B11" s="6" t="s">
        <v>15</v>
      </c>
    </row>
    <row r="12" spans="1:2" x14ac:dyDescent="0.3">
      <c r="A12" s="5" t="s">
        <v>16</v>
      </c>
      <c r="B12" s="6" t="s">
        <v>17</v>
      </c>
    </row>
    <row r="13" spans="1:2" ht="26.4" x14ac:dyDescent="0.3">
      <c r="A13" s="5" t="s">
        <v>18</v>
      </c>
      <c r="B13" s="6" t="s">
        <v>19</v>
      </c>
    </row>
    <row r="15" spans="1:2" x14ac:dyDescent="0.3">
      <c r="A15" s="3" t="s">
        <v>20</v>
      </c>
      <c r="B15" s="4"/>
    </row>
    <row r="16" spans="1:2" ht="39.6" x14ac:dyDescent="0.3">
      <c r="A16" s="5" t="s">
        <v>21</v>
      </c>
      <c r="B16" s="6" t="s">
        <v>22</v>
      </c>
    </row>
    <row r="17" spans="1:2" ht="39.6" x14ac:dyDescent="0.3">
      <c r="A17" s="5" t="s">
        <v>23</v>
      </c>
      <c r="B17" s="6" t="s">
        <v>24</v>
      </c>
    </row>
    <row r="18" spans="1:2" ht="39.6" x14ac:dyDescent="0.3">
      <c r="A18" s="5" t="s">
        <v>25</v>
      </c>
      <c r="B18" s="6" t="s">
        <v>26</v>
      </c>
    </row>
    <row r="20" spans="1:2" x14ac:dyDescent="0.3">
      <c r="A20" s="3" t="s">
        <v>27</v>
      </c>
      <c r="B20" s="4"/>
    </row>
    <row r="21" spans="1:2" x14ac:dyDescent="0.3">
      <c r="A21" s="5" t="s">
        <v>28</v>
      </c>
      <c r="B21" s="6" t="s">
        <v>29</v>
      </c>
    </row>
    <row r="22" spans="1:2" ht="39.6" x14ac:dyDescent="0.3">
      <c r="A22" s="5" t="s">
        <v>30</v>
      </c>
      <c r="B22" s="6" t="s">
        <v>31</v>
      </c>
    </row>
    <row r="23" spans="1:2" ht="26.4" x14ac:dyDescent="0.3">
      <c r="A23" s="5" t="s">
        <v>32</v>
      </c>
      <c r="B23" s="6" t="s">
        <v>33</v>
      </c>
    </row>
    <row r="24" spans="1:2" x14ac:dyDescent="0.3">
      <c r="A24" s="5" t="s">
        <v>34</v>
      </c>
      <c r="B24" s="6" t="s">
        <v>35</v>
      </c>
    </row>
    <row r="26" spans="1:2" x14ac:dyDescent="0.3">
      <c r="A26" s="3" t="s">
        <v>36</v>
      </c>
      <c r="B26" s="4"/>
    </row>
    <row r="27" spans="1:2" ht="26.4" x14ac:dyDescent="0.3">
      <c r="A27" s="5" t="s">
        <v>37</v>
      </c>
      <c r="B27" s="6" t="s">
        <v>38</v>
      </c>
    </row>
    <row r="29" spans="1:2" x14ac:dyDescent="0.3">
      <c r="A29" s="3" t="s">
        <v>39</v>
      </c>
      <c r="B29" s="4"/>
    </row>
    <row r="30" spans="1:2" x14ac:dyDescent="0.3">
      <c r="A30" s="5" t="s">
        <v>40</v>
      </c>
      <c r="B30" s="6" t="s">
        <v>41</v>
      </c>
    </row>
    <row r="31" spans="1:2" x14ac:dyDescent="0.3">
      <c r="A31" s="5" t="s">
        <v>42</v>
      </c>
      <c r="B31" s="6" t="s">
        <v>43</v>
      </c>
    </row>
    <row r="32" spans="1:2" x14ac:dyDescent="0.3">
      <c r="A32" s="5" t="s">
        <v>44</v>
      </c>
      <c r="B32" s="6" t="s">
        <v>45</v>
      </c>
    </row>
    <row r="33" spans="1:2" x14ac:dyDescent="0.3">
      <c r="A33" s="5" t="s">
        <v>46</v>
      </c>
      <c r="B33" s="6" t="s">
        <v>47</v>
      </c>
    </row>
    <row r="34" spans="1:2" x14ac:dyDescent="0.3">
      <c r="A34" s="5" t="s">
        <v>48</v>
      </c>
      <c r="B34" s="6" t="s">
        <v>49</v>
      </c>
    </row>
    <row r="35" spans="1:2" x14ac:dyDescent="0.3">
      <c r="A35" s="5" t="s">
        <v>50</v>
      </c>
      <c r="B35" s="6" t="s">
        <v>51</v>
      </c>
    </row>
    <row r="36" spans="1:2" x14ac:dyDescent="0.3">
      <c r="A36" s="5" t="s">
        <v>52</v>
      </c>
      <c r="B36" s="6" t="s">
        <v>53</v>
      </c>
    </row>
    <row r="37" spans="1:2" x14ac:dyDescent="0.3">
      <c r="A37" s="5" t="s">
        <v>54</v>
      </c>
      <c r="B37" s="6" t="s">
        <v>55</v>
      </c>
    </row>
    <row r="39" spans="1:2" x14ac:dyDescent="0.3">
      <c r="A39" s="3" t="s">
        <v>56</v>
      </c>
      <c r="B39" s="4"/>
    </row>
    <row r="40" spans="1:2" ht="26.4" x14ac:dyDescent="0.3">
      <c r="A40" s="5" t="s">
        <v>57</v>
      </c>
      <c r="B40" s="6" t="s">
        <v>58</v>
      </c>
    </row>
    <row r="41" spans="1:2" x14ac:dyDescent="0.3">
      <c r="A41" s="5" t="s">
        <v>59</v>
      </c>
      <c r="B41" s="6" t="s">
        <v>60</v>
      </c>
    </row>
    <row r="42" spans="1:2" x14ac:dyDescent="0.3">
      <c r="A42" s="5" t="s">
        <v>61</v>
      </c>
      <c r="B42" s="6" t="s">
        <v>62</v>
      </c>
    </row>
    <row r="43" spans="1:2" ht="26.4" x14ac:dyDescent="0.3">
      <c r="A43" s="5" t="s">
        <v>63</v>
      </c>
      <c r="B43" s="6" t="s">
        <v>64</v>
      </c>
    </row>
    <row r="44" spans="1:2" ht="26.4" x14ac:dyDescent="0.3">
      <c r="A44" s="5" t="s">
        <v>65</v>
      </c>
      <c r="B44" s="6" t="s">
        <v>66</v>
      </c>
    </row>
    <row r="45" spans="1:2" ht="52.8" x14ac:dyDescent="0.3">
      <c r="A45" s="5" t="s">
        <v>67</v>
      </c>
      <c r="B45" s="6" t="s">
        <v>68</v>
      </c>
    </row>
    <row r="47" spans="1:2" x14ac:dyDescent="0.3">
      <c r="A47" s="3" t="s">
        <v>69</v>
      </c>
      <c r="B47" s="4"/>
    </row>
    <row r="48" spans="1:2" x14ac:dyDescent="0.3">
      <c r="A48" s="5" t="s">
        <v>70</v>
      </c>
      <c r="B48" s="6" t="s">
        <v>71</v>
      </c>
    </row>
    <row r="49" spans="1:2" x14ac:dyDescent="0.3">
      <c r="A49" s="5" t="s">
        <v>72</v>
      </c>
      <c r="B49" s="6" t="s">
        <v>73</v>
      </c>
    </row>
    <row r="50" spans="1:2" x14ac:dyDescent="0.3">
      <c r="A50" s="5" t="s">
        <v>74</v>
      </c>
      <c r="B50" s="6" t="s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13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26" customWidth="1"/>
    <col min="3" max="3" width="7" customWidth="1"/>
    <col min="4" max="4" width="12" customWidth="1"/>
    <col min="5" max="5" width="22" customWidth="1"/>
    <col min="6" max="6" width="28" customWidth="1"/>
    <col min="7" max="7" width="16" customWidth="1"/>
    <col min="8" max="8" width="36" customWidth="1"/>
    <col min="9" max="9" width="16" customWidth="1"/>
    <col min="10" max="10" width="18" customWidth="1"/>
    <col min="11" max="11" width="22" customWidth="1"/>
    <col min="12" max="12" width="30" customWidth="1"/>
    <col min="13" max="13" width="26" customWidth="1"/>
    <col min="14" max="16" width="8" customWidth="1"/>
    <col min="17" max="17" width="10" customWidth="1"/>
  </cols>
  <sheetData>
    <row r="1" spans="1:17" ht="17.399999999999999" x14ac:dyDescent="0.3">
      <c r="A1" s="1" t="s">
        <v>76</v>
      </c>
    </row>
    <row r="4" spans="1:17" ht="39.6" x14ac:dyDescent="0.3">
      <c r="A4" s="8" t="s">
        <v>77</v>
      </c>
      <c r="B4" s="8" t="s">
        <v>78</v>
      </c>
      <c r="C4" s="8" t="s">
        <v>79</v>
      </c>
      <c r="D4" s="8" t="s">
        <v>80</v>
      </c>
      <c r="E4" s="8" t="s">
        <v>81</v>
      </c>
      <c r="F4" s="8" t="s">
        <v>82</v>
      </c>
      <c r="G4" s="8" t="s">
        <v>83</v>
      </c>
      <c r="H4" s="8" t="s">
        <v>84</v>
      </c>
      <c r="I4" s="8" t="s">
        <v>85</v>
      </c>
      <c r="J4" s="8" t="s">
        <v>86</v>
      </c>
      <c r="K4" s="8" t="s">
        <v>87</v>
      </c>
      <c r="L4" s="8" t="s">
        <v>88</v>
      </c>
      <c r="M4" s="8" t="s">
        <v>89</v>
      </c>
      <c r="N4" s="8" t="s">
        <v>90</v>
      </c>
      <c r="O4" s="9" t="s">
        <v>91</v>
      </c>
      <c r="P4" s="9" t="s">
        <v>92</v>
      </c>
      <c r="Q4" s="9" t="s">
        <v>14</v>
      </c>
    </row>
    <row r="5" spans="1:17" ht="45" customHeight="1" x14ac:dyDescent="0.3">
      <c r="A5" s="10" t="s">
        <v>93</v>
      </c>
      <c r="B5" s="10" t="s">
        <v>94</v>
      </c>
      <c r="C5" s="10" t="s">
        <v>95</v>
      </c>
      <c r="D5" s="10" t="s">
        <v>96</v>
      </c>
      <c r="E5" s="10" t="s">
        <v>97</v>
      </c>
      <c r="F5" s="10" t="s">
        <v>98</v>
      </c>
      <c r="G5" s="10" t="s">
        <v>99</v>
      </c>
      <c r="H5" s="10" t="s">
        <v>100</v>
      </c>
      <c r="I5" s="10" t="s">
        <v>101</v>
      </c>
      <c r="J5" s="10" t="s">
        <v>102</v>
      </c>
      <c r="K5" s="10" t="s">
        <v>103</v>
      </c>
      <c r="L5" s="10" t="s">
        <v>104</v>
      </c>
      <c r="M5" s="10" t="s">
        <v>105</v>
      </c>
      <c r="N5" s="11">
        <v>1</v>
      </c>
      <c r="O5" s="12">
        <f>IF(A5="","",COUNTIFS(tbl_registo_formacao[ID_Competencia],A5,tbl_registo_formacao[Resultado],"Aprovado"))</f>
        <v>3</v>
      </c>
      <c r="P5" s="13">
        <f t="shared" ref="P5:P13" si="0">IF(A5="","",MIN(1,O5/(N5*(LEN(G5)-LEN(SUBSTITUTE(G5,";",""))+1))))</f>
        <v>1</v>
      </c>
      <c r="Q5" s="14" t="str">
        <f t="shared" ref="Q5:Q13" si="1">IF(A5="","",IF(P5&gt;=0.9,"Coberto",IF(P5&gt;=0.3,"Parcial","Lacuna")))</f>
        <v>Coberto</v>
      </c>
    </row>
    <row r="6" spans="1:17" ht="45" customHeight="1" x14ac:dyDescent="0.3">
      <c r="A6" s="10" t="s">
        <v>106</v>
      </c>
      <c r="B6" s="10" t="s">
        <v>107</v>
      </c>
      <c r="C6" s="10" t="s">
        <v>95</v>
      </c>
      <c r="D6" s="10" t="s">
        <v>108</v>
      </c>
      <c r="E6" s="10" t="s">
        <v>109</v>
      </c>
      <c r="F6" s="10" t="s">
        <v>110</v>
      </c>
      <c r="G6" s="10" t="s">
        <v>111</v>
      </c>
      <c r="H6" s="10" t="s">
        <v>112</v>
      </c>
      <c r="I6" s="10" t="s">
        <v>113</v>
      </c>
      <c r="J6" s="10" t="s">
        <v>114</v>
      </c>
      <c r="K6" s="10" t="s">
        <v>115</v>
      </c>
      <c r="L6" s="10" t="s">
        <v>116</v>
      </c>
      <c r="M6" s="10" t="s">
        <v>117</v>
      </c>
      <c r="N6" s="11">
        <v>2</v>
      </c>
      <c r="O6" s="12">
        <f>IF(A6="","",COUNTIFS(tbl_registo_formacao[ID_Competencia],A6,tbl_registo_formacao[Resultado],"Aprovado"))</f>
        <v>3</v>
      </c>
      <c r="P6" s="13">
        <f t="shared" si="0"/>
        <v>0.75</v>
      </c>
      <c r="Q6" s="14" t="str">
        <f t="shared" si="1"/>
        <v>Parcial</v>
      </c>
    </row>
    <row r="7" spans="1:17" ht="45" customHeight="1" x14ac:dyDescent="0.3">
      <c r="A7" s="10" t="s">
        <v>118</v>
      </c>
      <c r="B7" s="10" t="s">
        <v>119</v>
      </c>
      <c r="C7" s="10" t="s">
        <v>120</v>
      </c>
      <c r="D7" s="10" t="s">
        <v>121</v>
      </c>
      <c r="E7" s="10" t="s">
        <v>122</v>
      </c>
      <c r="F7" s="10" t="s">
        <v>123</v>
      </c>
      <c r="G7" s="10" t="s">
        <v>124</v>
      </c>
      <c r="H7" s="10" t="s">
        <v>125</v>
      </c>
      <c r="I7" s="10" t="s">
        <v>126</v>
      </c>
      <c r="J7" s="10" t="s">
        <v>127</v>
      </c>
      <c r="K7" s="10" t="s">
        <v>128</v>
      </c>
      <c r="L7" s="10" t="s">
        <v>129</v>
      </c>
      <c r="M7" s="10" t="s">
        <v>130</v>
      </c>
      <c r="N7" s="11">
        <v>18</v>
      </c>
      <c r="O7" s="12">
        <f>IF(A7="","",COUNTIFS(tbl_registo_formacao[ID_Competencia],A7,tbl_registo_formacao[Resultado],"Aprovado"))</f>
        <v>6</v>
      </c>
      <c r="P7" s="13">
        <f t="shared" si="0"/>
        <v>0.33333333333333331</v>
      </c>
      <c r="Q7" s="14" t="str">
        <f t="shared" si="1"/>
        <v>Parcial</v>
      </c>
    </row>
    <row r="8" spans="1:17" ht="45" customHeight="1" x14ac:dyDescent="0.3">
      <c r="A8" s="10" t="s">
        <v>131</v>
      </c>
      <c r="B8" s="10" t="s">
        <v>132</v>
      </c>
      <c r="C8" s="10" t="s">
        <v>133</v>
      </c>
      <c r="D8" s="10" t="s">
        <v>134</v>
      </c>
      <c r="E8" s="10" t="s">
        <v>135</v>
      </c>
      <c r="F8" s="10" t="s">
        <v>136</v>
      </c>
      <c r="G8" s="10" t="s">
        <v>124</v>
      </c>
      <c r="H8" s="10" t="s">
        <v>137</v>
      </c>
      <c r="I8" s="10" t="s">
        <v>126</v>
      </c>
      <c r="J8" s="10" t="s">
        <v>127</v>
      </c>
      <c r="K8" s="10" t="s">
        <v>138</v>
      </c>
      <c r="L8" s="10" t="s">
        <v>139</v>
      </c>
      <c r="M8" s="10" t="s">
        <v>130</v>
      </c>
      <c r="N8" s="11">
        <v>24</v>
      </c>
      <c r="O8" s="12">
        <f>IF(A8="","",COUNTIFS(tbl_registo_formacao[ID_Competencia],A8,tbl_registo_formacao[Resultado],"Aprovado"))</f>
        <v>6</v>
      </c>
      <c r="P8" s="13">
        <f t="shared" si="0"/>
        <v>0.25</v>
      </c>
      <c r="Q8" s="14" t="str">
        <f t="shared" si="1"/>
        <v>Lacuna</v>
      </c>
    </row>
    <row r="9" spans="1:17" ht="45" customHeight="1" x14ac:dyDescent="0.3">
      <c r="A9" s="10" t="s">
        <v>140</v>
      </c>
      <c r="B9" s="10" t="s">
        <v>141</v>
      </c>
      <c r="C9" s="10" t="s">
        <v>142</v>
      </c>
      <c r="D9" s="10" t="s">
        <v>143</v>
      </c>
      <c r="E9" s="10" t="s">
        <v>144</v>
      </c>
      <c r="F9" s="10" t="s">
        <v>145</v>
      </c>
      <c r="G9" s="10" t="s">
        <v>124</v>
      </c>
      <c r="H9" s="10" t="s">
        <v>146</v>
      </c>
      <c r="I9" s="10" t="s">
        <v>147</v>
      </c>
      <c r="J9" s="10" t="s">
        <v>148</v>
      </c>
      <c r="K9" s="10" t="s">
        <v>149</v>
      </c>
      <c r="L9" s="10" t="s">
        <v>150</v>
      </c>
      <c r="M9" s="10" t="s">
        <v>151</v>
      </c>
      <c r="N9" s="11">
        <v>6</v>
      </c>
      <c r="O9" s="12">
        <f>IF(A9="","",COUNTIFS(tbl_registo_formacao[ID_Competencia],A9,tbl_registo_formacao[Resultado],"Aprovado"))</f>
        <v>3</v>
      </c>
      <c r="P9" s="13">
        <f t="shared" si="0"/>
        <v>0.5</v>
      </c>
      <c r="Q9" s="14" t="str">
        <f t="shared" si="1"/>
        <v>Parcial</v>
      </c>
    </row>
    <row r="10" spans="1:17" ht="45" customHeight="1" x14ac:dyDescent="0.3">
      <c r="A10" s="10" t="s">
        <v>152</v>
      </c>
      <c r="B10" s="10" t="s">
        <v>153</v>
      </c>
      <c r="C10" s="10" t="s">
        <v>154</v>
      </c>
      <c r="D10" s="10" t="s">
        <v>155</v>
      </c>
      <c r="E10" s="10" t="s">
        <v>156</v>
      </c>
      <c r="F10" s="10" t="s">
        <v>157</v>
      </c>
      <c r="G10" s="10" t="s">
        <v>158</v>
      </c>
      <c r="H10" s="10" t="s">
        <v>159</v>
      </c>
      <c r="I10" s="10" t="s">
        <v>160</v>
      </c>
      <c r="J10" s="10" t="s">
        <v>161</v>
      </c>
      <c r="K10" s="10" t="s">
        <v>162</v>
      </c>
      <c r="L10" s="10" t="s">
        <v>163</v>
      </c>
      <c r="M10" s="10" t="s">
        <v>164</v>
      </c>
      <c r="N10" s="11">
        <v>7</v>
      </c>
      <c r="O10" s="12">
        <f>IF(A10="","",COUNTIFS(tbl_registo_formacao[ID_Competencia],A10,tbl_registo_formacao[Resultado],"Aprovado"))</f>
        <v>3</v>
      </c>
      <c r="P10" s="13">
        <f t="shared" si="0"/>
        <v>0.42857142857142855</v>
      </c>
      <c r="Q10" s="14" t="str">
        <f t="shared" si="1"/>
        <v>Parcial</v>
      </c>
    </row>
    <row r="11" spans="1:17" ht="45" customHeight="1" x14ac:dyDescent="0.3">
      <c r="A11" s="10" t="s">
        <v>165</v>
      </c>
      <c r="B11" s="10" t="s">
        <v>166</v>
      </c>
      <c r="C11" s="10" t="s">
        <v>167</v>
      </c>
      <c r="D11" s="10" t="s">
        <v>96</v>
      </c>
      <c r="E11" s="10" t="s">
        <v>168</v>
      </c>
      <c r="F11" s="10" t="s">
        <v>169</v>
      </c>
      <c r="G11" s="10" t="s">
        <v>170</v>
      </c>
      <c r="H11" s="10" t="s">
        <v>171</v>
      </c>
      <c r="I11" s="10" t="s">
        <v>147</v>
      </c>
      <c r="J11" s="10" t="s">
        <v>172</v>
      </c>
      <c r="K11" s="10" t="s">
        <v>173</v>
      </c>
      <c r="L11" s="10" t="s">
        <v>174</v>
      </c>
      <c r="M11" s="10" t="s">
        <v>175</v>
      </c>
      <c r="N11" s="11">
        <v>2</v>
      </c>
      <c r="O11" s="12">
        <f>IF(A11="","",COUNTIFS(tbl_registo_formacao[ID_Competencia],A11,tbl_registo_formacao[Resultado],"Aprovado"))</f>
        <v>1</v>
      </c>
      <c r="P11" s="13">
        <f t="shared" si="0"/>
        <v>0.5</v>
      </c>
      <c r="Q11" s="14" t="str">
        <f t="shared" si="1"/>
        <v>Parcial</v>
      </c>
    </row>
    <row r="12" spans="1:17" ht="45" customHeight="1" x14ac:dyDescent="0.3">
      <c r="A12" s="10" t="s">
        <v>176</v>
      </c>
      <c r="B12" s="10" t="s">
        <v>177</v>
      </c>
      <c r="C12" s="10" t="s">
        <v>178</v>
      </c>
      <c r="D12" s="10" t="s">
        <v>179</v>
      </c>
      <c r="E12" s="10" t="s">
        <v>180</v>
      </c>
      <c r="F12" s="10" t="s">
        <v>181</v>
      </c>
      <c r="G12" s="10" t="s">
        <v>182</v>
      </c>
      <c r="H12" s="10" t="s">
        <v>183</v>
      </c>
      <c r="I12" s="10" t="s">
        <v>184</v>
      </c>
      <c r="J12" s="10" t="s">
        <v>185</v>
      </c>
      <c r="K12" s="10" t="s">
        <v>179</v>
      </c>
      <c r="L12" s="10" t="s">
        <v>186</v>
      </c>
      <c r="M12" s="10" t="s">
        <v>187</v>
      </c>
      <c r="N12" s="11">
        <v>3</v>
      </c>
      <c r="O12" s="12">
        <f>IF(A12="","",COUNTIFS(tbl_registo_formacao[ID_Competencia],A12,tbl_registo_formacao[Resultado],"Aprovado"))</f>
        <v>1</v>
      </c>
      <c r="P12" s="13">
        <f t="shared" si="0"/>
        <v>0.33333333333333331</v>
      </c>
      <c r="Q12" s="14" t="str">
        <f t="shared" si="1"/>
        <v>Parcial</v>
      </c>
    </row>
    <row r="13" spans="1:17" ht="45" customHeight="1" x14ac:dyDescent="0.3">
      <c r="A13" s="10" t="s">
        <v>188</v>
      </c>
      <c r="B13" s="10" t="s">
        <v>189</v>
      </c>
      <c r="C13" s="10" t="s">
        <v>142</v>
      </c>
      <c r="D13" s="10" t="s">
        <v>143</v>
      </c>
      <c r="E13" s="10" t="s">
        <v>190</v>
      </c>
      <c r="F13" s="10" t="s">
        <v>191</v>
      </c>
      <c r="G13" s="10" t="s">
        <v>192</v>
      </c>
      <c r="H13" s="10" t="s">
        <v>193</v>
      </c>
      <c r="I13" s="10" t="s">
        <v>147</v>
      </c>
      <c r="J13" s="10" t="s">
        <v>194</v>
      </c>
      <c r="K13" s="10" t="s">
        <v>195</v>
      </c>
      <c r="L13" s="10" t="s">
        <v>196</v>
      </c>
      <c r="M13" s="10" t="s">
        <v>197</v>
      </c>
      <c r="N13" s="11">
        <v>2</v>
      </c>
      <c r="O13" s="12">
        <f>IF(A13="","",COUNTIFS(tbl_registo_formacao[ID_Competencia],A13,tbl_registo_formacao[Resultado],"Aprovado"))</f>
        <v>1</v>
      </c>
      <c r="P13" s="13">
        <f t="shared" si="0"/>
        <v>0.5</v>
      </c>
      <c r="Q13" s="14" t="str">
        <f t="shared" si="1"/>
        <v>Parcial</v>
      </c>
    </row>
  </sheetData>
  <conditionalFormatting sqref="Q5:Q213">
    <cfRule type="expression" dxfId="9" priority="1">
      <formula>ISNUMBER(SEARCH("Coberto",Q5))</formula>
    </cfRule>
    <cfRule type="expression" dxfId="8" priority="2">
      <formula>ISNUMBER(SEARCH("Parcial",Q5))</formula>
    </cfRule>
    <cfRule type="expression" dxfId="7" priority="3">
      <formula>ISNUMBER(SEARCH("Lacuna",Q5))</formula>
    </cfRule>
  </conditionalFormatting>
  <dataValidations count="1">
    <dataValidation type="list" allowBlank="1" showErrorMessage="1" errorTitle="Valor inválido" error="Valor fora da lista controlada (ver folha Listas)." sqref="B5:B213" xr:uid="{00000000-0002-0000-0100-000000000000}">
      <formula1>lst_Funcao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1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60" customWidth="1"/>
    <col min="3" max="3" width="8" customWidth="1"/>
    <col min="4" max="4" width="28" customWidth="1"/>
    <col min="5" max="5" width="12" customWidth="1"/>
    <col min="6" max="6" width="9" customWidth="1"/>
  </cols>
  <sheetData>
    <row r="1" spans="1:6" ht="17.399999999999999" x14ac:dyDescent="0.3">
      <c r="A1" s="1" t="s">
        <v>198</v>
      </c>
    </row>
    <row r="4" spans="1:6" ht="39.6" x14ac:dyDescent="0.3">
      <c r="A4" s="8" t="s">
        <v>199</v>
      </c>
      <c r="B4" s="8" t="s">
        <v>200</v>
      </c>
      <c r="C4" s="8" t="s">
        <v>201</v>
      </c>
      <c r="D4" s="8" t="s">
        <v>202</v>
      </c>
      <c r="E4" s="8" t="s">
        <v>203</v>
      </c>
      <c r="F4" s="8" t="s">
        <v>204</v>
      </c>
    </row>
    <row r="5" spans="1:6" ht="18" customHeight="1" x14ac:dyDescent="0.3">
      <c r="A5" s="10" t="s">
        <v>124</v>
      </c>
      <c r="B5" s="10" t="s">
        <v>205</v>
      </c>
      <c r="C5" s="15">
        <v>0.5</v>
      </c>
      <c r="D5" s="10" t="s">
        <v>206</v>
      </c>
      <c r="E5" s="10" t="s">
        <v>207</v>
      </c>
      <c r="F5" s="11">
        <v>24</v>
      </c>
    </row>
    <row r="6" spans="1:6" ht="18" customHeight="1" x14ac:dyDescent="0.3">
      <c r="A6" s="10" t="s">
        <v>158</v>
      </c>
      <c r="B6" s="10" t="s">
        <v>208</v>
      </c>
      <c r="C6" s="15">
        <v>4</v>
      </c>
      <c r="D6" s="10" t="s">
        <v>209</v>
      </c>
      <c r="E6" s="10" t="s">
        <v>210</v>
      </c>
      <c r="F6" s="11">
        <v>36</v>
      </c>
    </row>
    <row r="7" spans="1:6" ht="18" customHeight="1" x14ac:dyDescent="0.3">
      <c r="A7" s="10" t="s">
        <v>192</v>
      </c>
      <c r="B7" s="10" t="s">
        <v>211</v>
      </c>
      <c r="C7" s="15">
        <v>16</v>
      </c>
      <c r="D7" s="10" t="s">
        <v>212</v>
      </c>
      <c r="E7" s="10" t="s">
        <v>210</v>
      </c>
      <c r="F7" s="11">
        <v>24</v>
      </c>
    </row>
    <row r="8" spans="1:6" ht="18" customHeight="1" x14ac:dyDescent="0.3">
      <c r="A8" s="10" t="s">
        <v>170</v>
      </c>
      <c r="B8" s="10" t="s">
        <v>213</v>
      </c>
      <c r="C8" s="15">
        <v>4</v>
      </c>
      <c r="D8" s="10" t="s">
        <v>214</v>
      </c>
      <c r="E8" s="10" t="s">
        <v>210</v>
      </c>
      <c r="F8" s="11">
        <v>36</v>
      </c>
    </row>
    <row r="9" spans="1:6" ht="18" customHeight="1" x14ac:dyDescent="0.3">
      <c r="A9" s="10" t="s">
        <v>215</v>
      </c>
      <c r="B9" s="10" t="s">
        <v>216</v>
      </c>
      <c r="C9" s="15">
        <v>16</v>
      </c>
      <c r="D9" s="10" t="s">
        <v>217</v>
      </c>
      <c r="E9" s="10" t="s">
        <v>218</v>
      </c>
      <c r="F9" s="11">
        <v>36</v>
      </c>
    </row>
    <row r="10" spans="1:6" ht="18" customHeight="1" x14ac:dyDescent="0.3">
      <c r="A10" s="10" t="s">
        <v>182</v>
      </c>
      <c r="B10" s="10" t="s">
        <v>219</v>
      </c>
      <c r="C10" s="15">
        <v>24</v>
      </c>
      <c r="D10" s="10" t="s">
        <v>220</v>
      </c>
      <c r="E10" s="10" t="s">
        <v>210</v>
      </c>
      <c r="F10" s="11">
        <v>36</v>
      </c>
    </row>
    <row r="11" spans="1:6" ht="18" customHeight="1" x14ac:dyDescent="0.3">
      <c r="A11" s="10" t="s">
        <v>221</v>
      </c>
      <c r="B11" s="10" t="s">
        <v>222</v>
      </c>
      <c r="C11" s="15">
        <v>2</v>
      </c>
      <c r="D11" s="10" t="s">
        <v>223</v>
      </c>
      <c r="E11" s="10" t="s">
        <v>207</v>
      </c>
      <c r="F11" s="11">
        <v>36</v>
      </c>
    </row>
  </sheetData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33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24" customWidth="1"/>
    <col min="3" max="4" width="9" customWidth="1"/>
    <col min="5" max="5" width="11" customWidth="1"/>
    <col min="6" max="6" width="7" customWidth="1"/>
    <col min="7" max="7" width="10" customWidth="1"/>
    <col min="8" max="8" width="7" customWidth="1"/>
    <col min="9" max="9" width="14" customWidth="1"/>
    <col min="10" max="10" width="8" customWidth="1"/>
    <col min="11" max="11" width="11" customWidth="1"/>
    <col min="12" max="12" width="7" customWidth="1"/>
  </cols>
  <sheetData>
    <row r="1" spans="1:12" ht="17.399999999999999" x14ac:dyDescent="0.3">
      <c r="A1" s="1" t="s">
        <v>224</v>
      </c>
    </row>
    <row r="2" spans="1:12" x14ac:dyDescent="0.3">
      <c r="A2" s="2" t="s">
        <v>225</v>
      </c>
    </row>
    <row r="4" spans="1:12" ht="39.6" x14ac:dyDescent="0.3">
      <c r="A4" s="8" t="s">
        <v>226</v>
      </c>
      <c r="B4" s="8" t="s">
        <v>227</v>
      </c>
      <c r="C4" s="8" t="s">
        <v>77</v>
      </c>
      <c r="D4" s="8" t="s">
        <v>199</v>
      </c>
      <c r="E4" s="8" t="s">
        <v>228</v>
      </c>
      <c r="F4" s="8" t="s">
        <v>201</v>
      </c>
      <c r="G4" s="8" t="s">
        <v>229</v>
      </c>
      <c r="H4" s="8" t="s">
        <v>230</v>
      </c>
      <c r="I4" s="8" t="s">
        <v>231</v>
      </c>
      <c r="J4" s="8" t="s">
        <v>204</v>
      </c>
      <c r="K4" s="9" t="s">
        <v>232</v>
      </c>
      <c r="L4" s="9" t="s">
        <v>233</v>
      </c>
    </row>
    <row r="5" spans="1:12" ht="16.05" customHeight="1" x14ac:dyDescent="0.3">
      <c r="A5" s="10" t="s">
        <v>234</v>
      </c>
      <c r="B5" s="10" t="s">
        <v>235</v>
      </c>
      <c r="C5" s="10" t="s">
        <v>118</v>
      </c>
      <c r="D5" s="10" t="s">
        <v>124</v>
      </c>
      <c r="E5" s="16">
        <v>46224</v>
      </c>
      <c r="F5" s="15">
        <v>0.5</v>
      </c>
      <c r="G5" s="10" t="s">
        <v>236</v>
      </c>
      <c r="H5" s="11">
        <v>72</v>
      </c>
      <c r="I5" s="10" t="s">
        <v>237</v>
      </c>
      <c r="J5" s="11">
        <v>36</v>
      </c>
      <c r="K5" s="17">
        <f t="shared" ref="K5:K33" si="0">IF(A5="","",EDATE(E5,J5))</f>
        <v>47320</v>
      </c>
      <c r="L5" s="14" t="str">
        <f t="shared" ref="L5:L33" si="1">IF(A5="","",IF(AND(G5="Aprovado",K5&gt;=DataRef),"Sim","Não"))</f>
        <v>Sim</v>
      </c>
    </row>
    <row r="6" spans="1:12" ht="16.05" customHeight="1" x14ac:dyDescent="0.3">
      <c r="A6" s="10" t="s">
        <v>238</v>
      </c>
      <c r="B6" s="10" t="s">
        <v>239</v>
      </c>
      <c r="C6" s="10" t="s">
        <v>118</v>
      </c>
      <c r="D6" s="10" t="s">
        <v>124</v>
      </c>
      <c r="E6" s="16">
        <v>46224</v>
      </c>
      <c r="F6" s="15">
        <v>0.5</v>
      </c>
      <c r="G6" s="10" t="s">
        <v>236</v>
      </c>
      <c r="H6" s="11">
        <v>78</v>
      </c>
      <c r="I6" s="10" t="s">
        <v>237</v>
      </c>
      <c r="J6" s="11">
        <v>36</v>
      </c>
      <c r="K6" s="17">
        <f t="shared" si="0"/>
        <v>47320</v>
      </c>
      <c r="L6" s="14" t="str">
        <f t="shared" si="1"/>
        <v>Sim</v>
      </c>
    </row>
    <row r="7" spans="1:12" ht="16.05" customHeight="1" x14ac:dyDescent="0.3">
      <c r="A7" s="10" t="s">
        <v>240</v>
      </c>
      <c r="B7" s="10" t="s">
        <v>241</v>
      </c>
      <c r="C7" s="10" t="s">
        <v>118</v>
      </c>
      <c r="D7" s="10" t="s">
        <v>124</v>
      </c>
      <c r="E7" s="16">
        <v>46223</v>
      </c>
      <c r="F7" s="15">
        <v>0.5</v>
      </c>
      <c r="G7" s="10" t="s">
        <v>236</v>
      </c>
      <c r="H7" s="11">
        <v>81</v>
      </c>
      <c r="I7" s="10" t="s">
        <v>237</v>
      </c>
      <c r="J7" s="11">
        <v>36</v>
      </c>
      <c r="K7" s="17">
        <f t="shared" si="0"/>
        <v>47319</v>
      </c>
      <c r="L7" s="14" t="str">
        <f t="shared" si="1"/>
        <v>Sim</v>
      </c>
    </row>
    <row r="8" spans="1:12" ht="16.05" customHeight="1" x14ac:dyDescent="0.3">
      <c r="A8" s="10" t="s">
        <v>242</v>
      </c>
      <c r="B8" s="10" t="s">
        <v>243</v>
      </c>
      <c r="C8" s="10" t="s">
        <v>118</v>
      </c>
      <c r="D8" s="10" t="s">
        <v>124</v>
      </c>
      <c r="E8" s="16">
        <v>46224</v>
      </c>
      <c r="F8" s="15">
        <v>0.5</v>
      </c>
      <c r="G8" s="10" t="s">
        <v>236</v>
      </c>
      <c r="H8" s="11">
        <v>79</v>
      </c>
      <c r="I8" s="10" t="s">
        <v>237</v>
      </c>
      <c r="J8" s="11">
        <v>36</v>
      </c>
      <c r="K8" s="17">
        <f t="shared" si="0"/>
        <v>47320</v>
      </c>
      <c r="L8" s="14" t="str">
        <f t="shared" si="1"/>
        <v>Sim</v>
      </c>
    </row>
    <row r="9" spans="1:12" ht="16.05" customHeight="1" x14ac:dyDescent="0.3">
      <c r="A9" s="10" t="s">
        <v>244</v>
      </c>
      <c r="B9" s="10" t="s">
        <v>245</v>
      </c>
      <c r="C9" s="10" t="s">
        <v>118</v>
      </c>
      <c r="D9" s="10" t="s">
        <v>124</v>
      </c>
      <c r="E9" s="16">
        <v>46225</v>
      </c>
      <c r="F9" s="15">
        <v>0.5</v>
      </c>
      <c r="G9" s="10" t="s">
        <v>236</v>
      </c>
      <c r="H9" s="11">
        <v>71</v>
      </c>
      <c r="I9" s="10" t="s">
        <v>237</v>
      </c>
      <c r="J9" s="11">
        <v>36</v>
      </c>
      <c r="K9" s="17">
        <f t="shared" si="0"/>
        <v>47321</v>
      </c>
      <c r="L9" s="14" t="str">
        <f t="shared" si="1"/>
        <v>Sim</v>
      </c>
    </row>
    <row r="10" spans="1:12" ht="16.05" customHeight="1" x14ac:dyDescent="0.3">
      <c r="A10" s="10" t="s">
        <v>246</v>
      </c>
      <c r="B10" s="10" t="s">
        <v>247</v>
      </c>
      <c r="C10" s="10" t="s">
        <v>118</v>
      </c>
      <c r="D10" s="10" t="s">
        <v>124</v>
      </c>
      <c r="E10" s="16">
        <v>46225</v>
      </c>
      <c r="F10" s="15">
        <v>0.5</v>
      </c>
      <c r="G10" s="10" t="s">
        <v>236</v>
      </c>
      <c r="H10" s="11">
        <v>77</v>
      </c>
      <c r="I10" s="10" t="s">
        <v>237</v>
      </c>
      <c r="J10" s="11">
        <v>36</v>
      </c>
      <c r="K10" s="17">
        <f t="shared" si="0"/>
        <v>47321</v>
      </c>
      <c r="L10" s="14" t="str">
        <f t="shared" si="1"/>
        <v>Sim</v>
      </c>
    </row>
    <row r="11" spans="1:12" ht="16.05" customHeight="1" x14ac:dyDescent="0.3">
      <c r="A11" s="10" t="s">
        <v>248</v>
      </c>
      <c r="B11" s="10" t="s">
        <v>249</v>
      </c>
      <c r="C11" s="10" t="s">
        <v>131</v>
      </c>
      <c r="D11" s="10" t="s">
        <v>124</v>
      </c>
      <c r="E11" s="16">
        <v>46225</v>
      </c>
      <c r="F11" s="15">
        <v>0.5</v>
      </c>
      <c r="G11" s="10" t="s">
        <v>250</v>
      </c>
      <c r="H11" s="11">
        <v>66</v>
      </c>
      <c r="I11" s="10" t="s">
        <v>237</v>
      </c>
      <c r="J11" s="11">
        <v>36</v>
      </c>
      <c r="K11" s="17">
        <f t="shared" si="0"/>
        <v>47321</v>
      </c>
      <c r="L11" s="14" t="str">
        <f t="shared" si="1"/>
        <v>Não</v>
      </c>
    </row>
    <row r="12" spans="1:12" ht="16.05" customHeight="1" x14ac:dyDescent="0.3">
      <c r="A12" s="10" t="s">
        <v>251</v>
      </c>
      <c r="B12" s="10" t="s">
        <v>252</v>
      </c>
      <c r="C12" s="10" t="s">
        <v>131</v>
      </c>
      <c r="D12" s="10" t="s">
        <v>124</v>
      </c>
      <c r="E12" s="16">
        <v>46225</v>
      </c>
      <c r="F12" s="15">
        <v>0.5</v>
      </c>
      <c r="G12" s="10" t="s">
        <v>250</v>
      </c>
      <c r="H12" s="11">
        <v>66</v>
      </c>
      <c r="I12" s="10" t="s">
        <v>237</v>
      </c>
      <c r="J12" s="11">
        <v>36</v>
      </c>
      <c r="K12" s="17">
        <f t="shared" si="0"/>
        <v>47321</v>
      </c>
      <c r="L12" s="14" t="str">
        <f t="shared" si="1"/>
        <v>Não</v>
      </c>
    </row>
    <row r="13" spans="1:12" ht="16.05" customHeight="1" x14ac:dyDescent="0.3">
      <c r="A13" s="10" t="s">
        <v>253</v>
      </c>
      <c r="B13" s="10" t="s">
        <v>254</v>
      </c>
      <c r="C13" s="10" t="s">
        <v>131</v>
      </c>
      <c r="D13" s="10" t="s">
        <v>124</v>
      </c>
      <c r="E13" s="16">
        <v>46224</v>
      </c>
      <c r="F13" s="15">
        <v>0.5</v>
      </c>
      <c r="G13" s="10" t="s">
        <v>236</v>
      </c>
      <c r="H13" s="11">
        <v>71</v>
      </c>
      <c r="I13" s="10" t="s">
        <v>237</v>
      </c>
      <c r="J13" s="11">
        <v>36</v>
      </c>
      <c r="K13" s="17">
        <f t="shared" si="0"/>
        <v>47320</v>
      </c>
      <c r="L13" s="14" t="str">
        <f t="shared" si="1"/>
        <v>Sim</v>
      </c>
    </row>
    <row r="14" spans="1:12" ht="16.05" customHeight="1" x14ac:dyDescent="0.3">
      <c r="A14" s="10" t="s">
        <v>255</v>
      </c>
      <c r="B14" s="10" t="s">
        <v>256</v>
      </c>
      <c r="C14" s="10" t="s">
        <v>131</v>
      </c>
      <c r="D14" s="10" t="s">
        <v>124</v>
      </c>
      <c r="E14" s="16">
        <v>46224</v>
      </c>
      <c r="F14" s="15">
        <v>0.5</v>
      </c>
      <c r="G14" s="10" t="s">
        <v>236</v>
      </c>
      <c r="H14" s="11">
        <v>79</v>
      </c>
      <c r="I14" s="10" t="s">
        <v>237</v>
      </c>
      <c r="J14" s="11">
        <v>36</v>
      </c>
      <c r="K14" s="17">
        <f t="shared" si="0"/>
        <v>47320</v>
      </c>
      <c r="L14" s="14" t="str">
        <f t="shared" si="1"/>
        <v>Sim</v>
      </c>
    </row>
    <row r="15" spans="1:12" ht="16.05" customHeight="1" x14ac:dyDescent="0.3">
      <c r="A15" s="10" t="s">
        <v>257</v>
      </c>
      <c r="B15" s="10" t="s">
        <v>258</v>
      </c>
      <c r="C15" s="10" t="s">
        <v>131</v>
      </c>
      <c r="D15" s="10" t="s">
        <v>124</v>
      </c>
      <c r="E15" s="16">
        <v>46224</v>
      </c>
      <c r="F15" s="15">
        <v>0.5</v>
      </c>
      <c r="G15" s="10" t="s">
        <v>236</v>
      </c>
      <c r="H15" s="11">
        <v>97</v>
      </c>
      <c r="I15" s="10" t="s">
        <v>237</v>
      </c>
      <c r="J15" s="11">
        <v>36</v>
      </c>
      <c r="K15" s="17">
        <f t="shared" si="0"/>
        <v>47320</v>
      </c>
      <c r="L15" s="14" t="str">
        <f t="shared" si="1"/>
        <v>Sim</v>
      </c>
    </row>
    <row r="16" spans="1:12" ht="16.05" customHeight="1" x14ac:dyDescent="0.3">
      <c r="A16" s="10" t="s">
        <v>259</v>
      </c>
      <c r="B16" s="10" t="s">
        <v>260</v>
      </c>
      <c r="C16" s="10" t="s">
        <v>131</v>
      </c>
      <c r="D16" s="10" t="s">
        <v>124</v>
      </c>
      <c r="E16" s="16">
        <v>46225</v>
      </c>
      <c r="F16" s="15">
        <v>0.5</v>
      </c>
      <c r="G16" s="10" t="s">
        <v>236</v>
      </c>
      <c r="H16" s="11">
        <v>70</v>
      </c>
      <c r="I16" s="10" t="s">
        <v>237</v>
      </c>
      <c r="J16" s="11">
        <v>36</v>
      </c>
      <c r="K16" s="17">
        <f t="shared" si="0"/>
        <v>47321</v>
      </c>
      <c r="L16" s="14" t="str">
        <f t="shared" si="1"/>
        <v>Sim</v>
      </c>
    </row>
    <row r="17" spans="1:12" ht="16.05" customHeight="1" x14ac:dyDescent="0.3">
      <c r="A17" s="10" t="s">
        <v>261</v>
      </c>
      <c r="B17" s="10" t="s">
        <v>262</v>
      </c>
      <c r="C17" s="10" t="s">
        <v>152</v>
      </c>
      <c r="D17" s="10" t="s">
        <v>158</v>
      </c>
      <c r="E17" s="16">
        <v>46246</v>
      </c>
      <c r="F17" s="15">
        <v>4</v>
      </c>
      <c r="G17" s="10" t="s">
        <v>236</v>
      </c>
      <c r="H17" s="11">
        <v>72</v>
      </c>
      <c r="I17" s="10" t="s">
        <v>263</v>
      </c>
      <c r="J17" s="11">
        <v>36</v>
      </c>
      <c r="K17" s="17">
        <f t="shared" si="0"/>
        <v>47342</v>
      </c>
      <c r="L17" s="14" t="str">
        <f t="shared" si="1"/>
        <v>Sim</v>
      </c>
    </row>
    <row r="18" spans="1:12" ht="16.05" customHeight="1" x14ac:dyDescent="0.3">
      <c r="A18" s="10" t="s">
        <v>264</v>
      </c>
      <c r="B18" s="10" t="s">
        <v>265</v>
      </c>
      <c r="C18" s="10" t="s">
        <v>152</v>
      </c>
      <c r="D18" s="10" t="s">
        <v>158</v>
      </c>
      <c r="E18" s="16">
        <v>46246</v>
      </c>
      <c r="F18" s="15">
        <v>4</v>
      </c>
      <c r="G18" s="10" t="s">
        <v>236</v>
      </c>
      <c r="H18" s="11">
        <v>91</v>
      </c>
      <c r="I18" s="10" t="s">
        <v>263</v>
      </c>
      <c r="J18" s="11">
        <v>36</v>
      </c>
      <c r="K18" s="17">
        <f t="shared" si="0"/>
        <v>47342</v>
      </c>
      <c r="L18" s="14" t="str">
        <f t="shared" si="1"/>
        <v>Sim</v>
      </c>
    </row>
    <row r="19" spans="1:12" ht="16.05" customHeight="1" x14ac:dyDescent="0.3">
      <c r="A19" s="10" t="s">
        <v>266</v>
      </c>
      <c r="B19" s="10" t="s">
        <v>267</v>
      </c>
      <c r="C19" s="10" t="s">
        <v>152</v>
      </c>
      <c r="D19" s="10" t="s">
        <v>158</v>
      </c>
      <c r="E19" s="16">
        <v>46246</v>
      </c>
      <c r="F19" s="15">
        <v>4</v>
      </c>
      <c r="G19" s="10" t="s">
        <v>236</v>
      </c>
      <c r="H19" s="11">
        <v>94</v>
      </c>
      <c r="I19" s="10" t="s">
        <v>263</v>
      </c>
      <c r="J19" s="11">
        <v>36</v>
      </c>
      <c r="K19" s="17">
        <f t="shared" si="0"/>
        <v>47342</v>
      </c>
      <c r="L19" s="14" t="str">
        <f t="shared" si="1"/>
        <v>Sim</v>
      </c>
    </row>
    <row r="20" spans="1:12" ht="16.05" customHeight="1" x14ac:dyDescent="0.3">
      <c r="A20" s="10" t="s">
        <v>268</v>
      </c>
      <c r="B20" s="10" t="s">
        <v>107</v>
      </c>
      <c r="C20" s="10" t="s">
        <v>106</v>
      </c>
      <c r="D20" s="10" t="s">
        <v>158</v>
      </c>
      <c r="E20" s="16">
        <v>46246</v>
      </c>
      <c r="F20" s="15">
        <v>4</v>
      </c>
      <c r="G20" s="10" t="s">
        <v>236</v>
      </c>
      <c r="H20" s="11">
        <v>72</v>
      </c>
      <c r="I20" s="10" t="s">
        <v>263</v>
      </c>
      <c r="J20" s="11">
        <v>36</v>
      </c>
      <c r="K20" s="17">
        <f t="shared" si="0"/>
        <v>47342</v>
      </c>
      <c r="L20" s="14" t="str">
        <f t="shared" si="1"/>
        <v>Sim</v>
      </c>
    </row>
    <row r="21" spans="1:12" ht="16.05" customHeight="1" x14ac:dyDescent="0.3">
      <c r="A21" s="10" t="s">
        <v>269</v>
      </c>
      <c r="B21" s="10" t="s">
        <v>107</v>
      </c>
      <c r="C21" s="10" t="s">
        <v>106</v>
      </c>
      <c r="D21" s="10" t="s">
        <v>221</v>
      </c>
      <c r="E21" s="16">
        <v>46260</v>
      </c>
      <c r="F21" s="15">
        <v>2</v>
      </c>
      <c r="G21" s="10" t="s">
        <v>236</v>
      </c>
      <c r="H21" s="11">
        <v>72</v>
      </c>
      <c r="I21" s="10" t="s">
        <v>263</v>
      </c>
      <c r="J21" s="11">
        <v>36</v>
      </c>
      <c r="K21" s="17">
        <f t="shared" si="0"/>
        <v>47356</v>
      </c>
      <c r="L21" s="14" t="str">
        <f t="shared" si="1"/>
        <v>Sim</v>
      </c>
    </row>
    <row r="22" spans="1:12" ht="16.05" customHeight="1" x14ac:dyDescent="0.3">
      <c r="A22" s="10" t="s">
        <v>270</v>
      </c>
      <c r="B22" s="10" t="s">
        <v>94</v>
      </c>
      <c r="C22" s="10" t="s">
        <v>93</v>
      </c>
      <c r="D22" s="10" t="s">
        <v>192</v>
      </c>
      <c r="E22" s="16">
        <v>46217</v>
      </c>
      <c r="F22" s="15">
        <v>16</v>
      </c>
      <c r="G22" s="10" t="s">
        <v>236</v>
      </c>
      <c r="H22" s="11">
        <v>83</v>
      </c>
      <c r="I22" s="10" t="s">
        <v>263</v>
      </c>
      <c r="J22" s="11">
        <v>36</v>
      </c>
      <c r="K22" s="17">
        <f t="shared" si="0"/>
        <v>47313</v>
      </c>
      <c r="L22" s="14" t="str">
        <f t="shared" si="1"/>
        <v>Sim</v>
      </c>
    </row>
    <row r="23" spans="1:12" ht="16.05" customHeight="1" x14ac:dyDescent="0.3">
      <c r="A23" s="10" t="s">
        <v>271</v>
      </c>
      <c r="B23" s="10" t="s">
        <v>94</v>
      </c>
      <c r="C23" s="10" t="s">
        <v>93</v>
      </c>
      <c r="D23" s="10" t="s">
        <v>215</v>
      </c>
      <c r="E23" s="16">
        <v>46275</v>
      </c>
      <c r="F23" s="15">
        <v>16</v>
      </c>
      <c r="G23" s="10" t="s">
        <v>236</v>
      </c>
      <c r="H23" s="11">
        <v>80</v>
      </c>
      <c r="I23" s="10" t="s">
        <v>263</v>
      </c>
      <c r="J23" s="11">
        <v>36</v>
      </c>
      <c r="K23" s="17">
        <f t="shared" si="0"/>
        <v>47371</v>
      </c>
      <c r="L23" s="14" t="str">
        <f t="shared" si="1"/>
        <v>Sim</v>
      </c>
    </row>
    <row r="24" spans="1:12" ht="16.05" customHeight="1" x14ac:dyDescent="0.3">
      <c r="A24" s="10" t="s">
        <v>272</v>
      </c>
      <c r="B24" s="10" t="s">
        <v>94</v>
      </c>
      <c r="C24" s="10" t="s">
        <v>93</v>
      </c>
      <c r="D24" s="10" t="s">
        <v>182</v>
      </c>
      <c r="E24" s="16">
        <v>46176</v>
      </c>
      <c r="F24" s="15">
        <v>24</v>
      </c>
      <c r="G24" s="10" t="s">
        <v>236</v>
      </c>
      <c r="H24" s="11">
        <v>86</v>
      </c>
      <c r="I24" s="10" t="s">
        <v>263</v>
      </c>
      <c r="J24" s="11">
        <v>36</v>
      </c>
      <c r="K24" s="17">
        <f t="shared" si="0"/>
        <v>47272</v>
      </c>
      <c r="L24" s="14" t="str">
        <f t="shared" si="1"/>
        <v>Sim</v>
      </c>
    </row>
    <row r="25" spans="1:12" ht="16.05" customHeight="1" x14ac:dyDescent="0.3">
      <c r="A25" s="10" t="s">
        <v>273</v>
      </c>
      <c r="B25" s="10" t="s">
        <v>189</v>
      </c>
      <c r="C25" s="10" t="s">
        <v>188</v>
      </c>
      <c r="D25" s="10" t="s">
        <v>192</v>
      </c>
      <c r="E25" s="16">
        <v>46217</v>
      </c>
      <c r="F25" s="15">
        <v>16</v>
      </c>
      <c r="G25" s="10" t="s">
        <v>236</v>
      </c>
      <c r="H25" s="11">
        <v>81</v>
      </c>
      <c r="I25" s="10" t="s">
        <v>263</v>
      </c>
      <c r="J25" s="11">
        <v>36</v>
      </c>
      <c r="K25" s="17">
        <f t="shared" si="0"/>
        <v>47313</v>
      </c>
      <c r="L25" s="14" t="str">
        <f t="shared" si="1"/>
        <v>Sim</v>
      </c>
    </row>
    <row r="26" spans="1:12" ht="16.05" customHeight="1" x14ac:dyDescent="0.3">
      <c r="A26" s="10" t="s">
        <v>274</v>
      </c>
      <c r="B26" s="10" t="s">
        <v>166</v>
      </c>
      <c r="C26" s="10" t="s">
        <v>165</v>
      </c>
      <c r="D26" s="10" t="s">
        <v>170</v>
      </c>
      <c r="E26" s="16">
        <v>46281</v>
      </c>
      <c r="F26" s="15">
        <v>4</v>
      </c>
      <c r="G26" s="10" t="s">
        <v>236</v>
      </c>
      <c r="H26" s="11">
        <v>86</v>
      </c>
      <c r="I26" s="10" t="s">
        <v>263</v>
      </c>
      <c r="J26" s="11">
        <v>36</v>
      </c>
      <c r="K26" s="17">
        <f t="shared" si="0"/>
        <v>47377</v>
      </c>
      <c r="L26" s="14" t="str">
        <f t="shared" si="1"/>
        <v>Sim</v>
      </c>
    </row>
    <row r="27" spans="1:12" ht="16.05" customHeight="1" x14ac:dyDescent="0.3">
      <c r="A27" s="10" t="s">
        <v>275</v>
      </c>
      <c r="B27" s="10" t="s">
        <v>276</v>
      </c>
      <c r="C27" s="10" t="s">
        <v>176</v>
      </c>
      <c r="D27" s="10" t="s">
        <v>182</v>
      </c>
      <c r="E27" s="16">
        <v>46176</v>
      </c>
      <c r="F27" s="15">
        <v>24</v>
      </c>
      <c r="G27" s="10" t="s">
        <v>236</v>
      </c>
      <c r="H27" s="11">
        <v>92</v>
      </c>
      <c r="I27" s="10" t="s">
        <v>263</v>
      </c>
      <c r="J27" s="11">
        <v>36</v>
      </c>
      <c r="K27" s="17">
        <f t="shared" si="0"/>
        <v>47272</v>
      </c>
      <c r="L27" s="14" t="str">
        <f t="shared" si="1"/>
        <v>Sim</v>
      </c>
    </row>
    <row r="28" spans="1:12" ht="16.05" customHeight="1" x14ac:dyDescent="0.3">
      <c r="A28" s="10" t="s">
        <v>277</v>
      </c>
      <c r="B28" s="10" t="s">
        <v>141</v>
      </c>
      <c r="C28" s="10" t="s">
        <v>140</v>
      </c>
      <c r="D28" s="10" t="s">
        <v>124</v>
      </c>
      <c r="E28" s="16">
        <v>46296</v>
      </c>
      <c r="F28" s="15">
        <v>0.5</v>
      </c>
      <c r="G28" s="10" t="s">
        <v>236</v>
      </c>
      <c r="H28" s="11">
        <v>81</v>
      </c>
      <c r="I28" s="10" t="s">
        <v>237</v>
      </c>
      <c r="J28" s="11">
        <v>36</v>
      </c>
      <c r="K28" s="17">
        <f t="shared" si="0"/>
        <v>47392</v>
      </c>
      <c r="L28" s="14" t="str">
        <f t="shared" si="1"/>
        <v>Sim</v>
      </c>
    </row>
    <row r="29" spans="1:12" ht="16.05" customHeight="1" x14ac:dyDescent="0.3">
      <c r="A29" s="10" t="s">
        <v>278</v>
      </c>
      <c r="B29" s="10" t="s">
        <v>141</v>
      </c>
      <c r="C29" s="10" t="s">
        <v>140</v>
      </c>
      <c r="D29" s="10" t="s">
        <v>124</v>
      </c>
      <c r="E29" s="16">
        <v>46296</v>
      </c>
      <c r="F29" s="15">
        <v>0.5</v>
      </c>
      <c r="G29" s="10" t="s">
        <v>236</v>
      </c>
      <c r="H29" s="11">
        <v>93</v>
      </c>
      <c r="I29" s="10" t="s">
        <v>237</v>
      </c>
      <c r="J29" s="11">
        <v>36</v>
      </c>
      <c r="K29" s="17">
        <f t="shared" si="0"/>
        <v>47392</v>
      </c>
      <c r="L29" s="14" t="str">
        <f t="shared" si="1"/>
        <v>Sim</v>
      </c>
    </row>
    <row r="30" spans="1:12" ht="16.05" customHeight="1" x14ac:dyDescent="0.3">
      <c r="A30" s="10" t="s">
        <v>279</v>
      </c>
      <c r="B30" s="10" t="s">
        <v>141</v>
      </c>
      <c r="C30" s="10" t="s">
        <v>140</v>
      </c>
      <c r="D30" s="10" t="s">
        <v>124</v>
      </c>
      <c r="E30" s="16">
        <v>46297</v>
      </c>
      <c r="F30" s="15">
        <v>0.5</v>
      </c>
      <c r="G30" s="10" t="s">
        <v>236</v>
      </c>
      <c r="H30" s="11">
        <v>78</v>
      </c>
      <c r="I30" s="10" t="s">
        <v>237</v>
      </c>
      <c r="J30" s="11">
        <v>36</v>
      </c>
      <c r="K30" s="17">
        <f t="shared" si="0"/>
        <v>47393</v>
      </c>
      <c r="L30" s="14" t="str">
        <f t="shared" si="1"/>
        <v>Sim</v>
      </c>
    </row>
    <row r="31" spans="1:12" ht="16.05" customHeight="1" x14ac:dyDescent="0.3">
      <c r="A31" s="10" t="s">
        <v>280</v>
      </c>
      <c r="B31" s="10" t="s">
        <v>249</v>
      </c>
      <c r="C31" s="10" t="s">
        <v>131</v>
      </c>
      <c r="D31" s="10" t="s">
        <v>124</v>
      </c>
      <c r="E31" s="16">
        <v>46310</v>
      </c>
      <c r="F31" s="15">
        <v>0.5</v>
      </c>
      <c r="G31" s="10" t="s">
        <v>236</v>
      </c>
      <c r="H31" s="11">
        <v>87</v>
      </c>
      <c r="I31" s="10" t="s">
        <v>237</v>
      </c>
      <c r="J31" s="11">
        <v>36</v>
      </c>
      <c r="K31" s="17">
        <f t="shared" si="0"/>
        <v>47406</v>
      </c>
      <c r="L31" s="14" t="str">
        <f t="shared" si="1"/>
        <v>Sim</v>
      </c>
    </row>
    <row r="32" spans="1:12" ht="16.05" customHeight="1" x14ac:dyDescent="0.3">
      <c r="A32" s="10" t="s">
        <v>281</v>
      </c>
      <c r="B32" s="10" t="s">
        <v>252</v>
      </c>
      <c r="C32" s="10" t="s">
        <v>131</v>
      </c>
      <c r="D32" s="10" t="s">
        <v>124</v>
      </c>
      <c r="E32" s="16">
        <v>46310</v>
      </c>
      <c r="F32" s="15">
        <v>0.5</v>
      </c>
      <c r="G32" s="10" t="s">
        <v>236</v>
      </c>
      <c r="H32" s="11">
        <v>87</v>
      </c>
      <c r="I32" s="10" t="s">
        <v>237</v>
      </c>
      <c r="J32" s="11">
        <v>36</v>
      </c>
      <c r="K32" s="17">
        <f t="shared" si="0"/>
        <v>47406</v>
      </c>
      <c r="L32" s="14" t="str">
        <f t="shared" si="1"/>
        <v>Sim</v>
      </c>
    </row>
    <row r="33" spans="1:12" ht="16.05" customHeight="1" x14ac:dyDescent="0.3">
      <c r="A33" s="10" t="s">
        <v>282</v>
      </c>
      <c r="B33" s="10" t="s">
        <v>107</v>
      </c>
      <c r="C33" s="10" t="s">
        <v>106</v>
      </c>
      <c r="D33" s="10" t="s">
        <v>158</v>
      </c>
      <c r="E33" s="16">
        <v>46351</v>
      </c>
      <c r="F33" s="15">
        <v>4</v>
      </c>
      <c r="G33" s="10" t="s">
        <v>236</v>
      </c>
      <c r="H33" s="11">
        <v>84</v>
      </c>
      <c r="I33" s="10" t="s">
        <v>237</v>
      </c>
      <c r="J33" s="11">
        <v>36</v>
      </c>
      <c r="K33" s="17">
        <f t="shared" si="0"/>
        <v>47447</v>
      </c>
      <c r="L33" s="14" t="str">
        <f t="shared" si="1"/>
        <v>Sim</v>
      </c>
    </row>
  </sheetData>
  <conditionalFormatting sqref="G5:G233">
    <cfRule type="expression" dxfId="6" priority="1">
      <formula>ISNUMBER(SEARCH("Reprovado",G5))</formula>
    </cfRule>
  </conditionalFormatting>
  <conditionalFormatting sqref="L5:L233">
    <cfRule type="expression" dxfId="5" priority="2">
      <formula>ISNUMBER(SEARCH("Não",L5))</formula>
    </cfRule>
  </conditionalFormatting>
  <dataValidations count="2">
    <dataValidation type="list" allowBlank="1" showErrorMessage="1" errorTitle="Valor inválido" error="Valor fora da lista controlada (ver folha Listas)." sqref="G5:G233" xr:uid="{00000000-0002-0000-0300-000000000000}">
      <formula1>lst_Resultado</formula1>
    </dataValidation>
    <dataValidation type="list" allowBlank="1" showErrorMessage="1" errorTitle="Valor inválido" error="Valor fora da lista controlada (ver folha Listas)." sqref="I5:I233" xr:uid="{00000000-0002-0000-0300-000001000000}">
      <formula1>lst_Nivel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12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11" customWidth="1"/>
    <col min="3" max="3" width="50" customWidth="1"/>
    <col min="4" max="4" width="8" customWidth="1"/>
    <col min="5" max="5" width="34" customWidth="1"/>
    <col min="6" max="8" width="8" customWidth="1"/>
    <col min="9" max="9" width="30" customWidth="1"/>
  </cols>
  <sheetData>
    <row r="1" spans="1:9" ht="17.399999999999999" x14ac:dyDescent="0.3">
      <c r="A1" s="1" t="s">
        <v>283</v>
      </c>
    </row>
    <row r="4" spans="1:9" ht="26.4" x14ac:dyDescent="0.3">
      <c r="A4" s="8" t="s">
        <v>284</v>
      </c>
      <c r="B4" s="8" t="s">
        <v>285</v>
      </c>
      <c r="C4" s="8" t="s">
        <v>286</v>
      </c>
      <c r="D4" s="8" t="s">
        <v>287</v>
      </c>
      <c r="E4" s="8" t="s">
        <v>288</v>
      </c>
      <c r="F4" s="8" t="s">
        <v>289</v>
      </c>
      <c r="G4" s="8" t="s">
        <v>290</v>
      </c>
      <c r="H4" s="9" t="s">
        <v>92</v>
      </c>
      <c r="I4" s="8" t="s">
        <v>291</v>
      </c>
    </row>
    <row r="5" spans="1:9" ht="19.95" customHeight="1" x14ac:dyDescent="0.3">
      <c r="A5" s="10" t="s">
        <v>292</v>
      </c>
      <c r="B5" s="16">
        <v>46209</v>
      </c>
      <c r="C5" s="10" t="s">
        <v>293</v>
      </c>
      <c r="D5" s="10" t="s">
        <v>294</v>
      </c>
      <c r="E5" s="10" t="s">
        <v>295</v>
      </c>
      <c r="F5" s="11">
        <v>21</v>
      </c>
      <c r="G5" s="11">
        <v>22</v>
      </c>
      <c r="H5" s="13">
        <f t="shared" ref="H5:H12" si="0">IF(A5="","",F5/G5)</f>
        <v>0.95454545454545459</v>
      </c>
      <c r="I5" s="10" t="s">
        <v>296</v>
      </c>
    </row>
    <row r="6" spans="1:9" ht="19.95" customHeight="1" x14ac:dyDescent="0.3">
      <c r="A6" s="10" t="s">
        <v>297</v>
      </c>
      <c r="B6" s="16">
        <v>46223</v>
      </c>
      <c r="C6" s="10" t="s">
        <v>298</v>
      </c>
      <c r="D6" s="10" t="s">
        <v>299</v>
      </c>
      <c r="E6" s="10" t="s">
        <v>300</v>
      </c>
      <c r="F6" s="11">
        <v>15</v>
      </c>
      <c r="G6" s="11">
        <v>16</v>
      </c>
      <c r="H6" s="13">
        <f t="shared" si="0"/>
        <v>0.9375</v>
      </c>
      <c r="I6" s="10" t="s">
        <v>301</v>
      </c>
    </row>
    <row r="7" spans="1:9" ht="19.95" customHeight="1" x14ac:dyDescent="0.3">
      <c r="A7" s="10" t="s">
        <v>302</v>
      </c>
      <c r="B7" s="16">
        <v>46224</v>
      </c>
      <c r="C7" s="10" t="s">
        <v>303</v>
      </c>
      <c r="D7" s="10" t="s">
        <v>299</v>
      </c>
      <c r="E7" s="10" t="s">
        <v>304</v>
      </c>
      <c r="F7" s="11">
        <v>14</v>
      </c>
      <c r="G7" s="11">
        <v>15</v>
      </c>
      <c r="H7" s="13">
        <f t="shared" si="0"/>
        <v>0.93333333333333335</v>
      </c>
      <c r="I7" s="10" t="s">
        <v>301</v>
      </c>
    </row>
    <row r="8" spans="1:9" ht="19.95" customHeight="1" x14ac:dyDescent="0.3">
      <c r="A8" s="10" t="s">
        <v>305</v>
      </c>
      <c r="B8" s="16">
        <v>46225</v>
      </c>
      <c r="C8" s="10" t="s">
        <v>306</v>
      </c>
      <c r="D8" s="10" t="s">
        <v>299</v>
      </c>
      <c r="E8" s="10" t="s">
        <v>307</v>
      </c>
      <c r="F8" s="11">
        <v>11</v>
      </c>
      <c r="G8" s="11">
        <v>14</v>
      </c>
      <c r="H8" s="13">
        <f t="shared" si="0"/>
        <v>0.7857142857142857</v>
      </c>
      <c r="I8" s="10" t="s">
        <v>308</v>
      </c>
    </row>
    <row r="9" spans="1:9" ht="19.95" customHeight="1" x14ac:dyDescent="0.3">
      <c r="A9" s="10" t="s">
        <v>309</v>
      </c>
      <c r="B9" s="16">
        <v>46273</v>
      </c>
      <c r="C9" s="10" t="s">
        <v>310</v>
      </c>
      <c r="D9" s="10" t="s">
        <v>311</v>
      </c>
      <c r="E9" s="10" t="s">
        <v>312</v>
      </c>
      <c r="F9" s="11">
        <v>58</v>
      </c>
      <c r="G9" s="11">
        <v>68</v>
      </c>
      <c r="H9" s="13">
        <f t="shared" si="0"/>
        <v>0.8529411764705882</v>
      </c>
      <c r="I9" s="10" t="s">
        <v>313</v>
      </c>
    </row>
    <row r="10" spans="1:9" ht="19.95" customHeight="1" x14ac:dyDescent="0.3">
      <c r="A10" s="10" t="s">
        <v>314</v>
      </c>
      <c r="B10" s="16">
        <v>46287</v>
      </c>
      <c r="C10" s="10" t="s">
        <v>315</v>
      </c>
      <c r="D10" s="10" t="s">
        <v>294</v>
      </c>
      <c r="E10" s="10" t="s">
        <v>316</v>
      </c>
      <c r="F10" s="11">
        <v>131</v>
      </c>
      <c r="G10" s="11">
        <v>150</v>
      </c>
      <c r="H10" s="13">
        <f t="shared" si="0"/>
        <v>0.87333333333333329</v>
      </c>
      <c r="I10" s="10" t="s">
        <v>317</v>
      </c>
    </row>
    <row r="11" spans="1:9" ht="19.95" customHeight="1" x14ac:dyDescent="0.3">
      <c r="A11" s="10" t="s">
        <v>318</v>
      </c>
      <c r="B11" s="16">
        <v>46296</v>
      </c>
      <c r="C11" s="10" t="s">
        <v>319</v>
      </c>
      <c r="D11" s="10" t="s">
        <v>299</v>
      </c>
      <c r="E11" s="10" t="s">
        <v>320</v>
      </c>
      <c r="F11" s="11">
        <v>44</v>
      </c>
      <c r="G11" s="11">
        <v>46</v>
      </c>
      <c r="H11" s="13">
        <f t="shared" si="0"/>
        <v>0.95652173913043481</v>
      </c>
      <c r="I11" s="10" t="s">
        <v>321</v>
      </c>
    </row>
    <row r="12" spans="1:9" ht="19.95" customHeight="1" x14ac:dyDescent="0.3">
      <c r="A12" s="10" t="s">
        <v>322</v>
      </c>
      <c r="B12" s="16">
        <v>46374</v>
      </c>
      <c r="C12" s="10" t="s">
        <v>323</v>
      </c>
      <c r="D12" s="10" t="s">
        <v>294</v>
      </c>
      <c r="E12" s="10" t="s">
        <v>324</v>
      </c>
      <c r="F12" s="11">
        <v>138</v>
      </c>
      <c r="G12" s="11">
        <v>152</v>
      </c>
      <c r="H12" s="13">
        <f t="shared" si="0"/>
        <v>0.90789473684210531</v>
      </c>
      <c r="I12" s="10" t="s">
        <v>325</v>
      </c>
    </row>
  </sheetData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12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9" customWidth="1"/>
    <col min="2" max="2" width="8" customWidth="1"/>
    <col min="3" max="3" width="22" customWidth="1"/>
    <col min="4" max="4" width="44" customWidth="1"/>
    <col min="5" max="5" width="30" customWidth="1"/>
    <col min="6" max="6" width="24" customWidth="1"/>
    <col min="7" max="7" width="26" customWidth="1"/>
    <col min="8" max="9" width="22" customWidth="1"/>
  </cols>
  <sheetData>
    <row r="1" spans="1:9" ht="17.399999999999999" x14ac:dyDescent="0.3">
      <c r="A1" s="1" t="s">
        <v>326</v>
      </c>
    </row>
    <row r="2" spans="1:9" x14ac:dyDescent="0.3">
      <c r="A2" s="2" t="s">
        <v>327</v>
      </c>
    </row>
    <row r="4" spans="1:9" ht="26.4" x14ac:dyDescent="0.3">
      <c r="A4" s="8" t="s">
        <v>328</v>
      </c>
      <c r="B4" s="8" t="s">
        <v>329</v>
      </c>
      <c r="C4" s="8" t="s">
        <v>330</v>
      </c>
      <c r="D4" s="8" t="s">
        <v>331</v>
      </c>
      <c r="E4" s="8" t="s">
        <v>332</v>
      </c>
      <c r="F4" s="8" t="s">
        <v>333</v>
      </c>
      <c r="G4" s="8" t="s">
        <v>334</v>
      </c>
      <c r="H4" s="8" t="s">
        <v>335</v>
      </c>
      <c r="I4" s="8" t="s">
        <v>336</v>
      </c>
    </row>
    <row r="5" spans="1:9" ht="30" customHeight="1" x14ac:dyDescent="0.3">
      <c r="A5" s="10" t="s">
        <v>337</v>
      </c>
      <c r="B5" s="10" t="s">
        <v>214</v>
      </c>
      <c r="C5" s="10" t="s">
        <v>338</v>
      </c>
      <c r="D5" s="10" t="s">
        <v>339</v>
      </c>
      <c r="E5" s="10" t="s">
        <v>316</v>
      </c>
      <c r="F5" s="10" t="s">
        <v>340</v>
      </c>
      <c r="G5" s="10" t="s">
        <v>341</v>
      </c>
      <c r="H5" s="10" t="s">
        <v>342</v>
      </c>
      <c r="I5" s="10" t="s">
        <v>94</v>
      </c>
    </row>
    <row r="6" spans="1:9" ht="30" customHeight="1" x14ac:dyDescent="0.3">
      <c r="A6" s="10" t="s">
        <v>343</v>
      </c>
      <c r="B6" s="10" t="s">
        <v>214</v>
      </c>
      <c r="C6" s="10" t="s">
        <v>344</v>
      </c>
      <c r="D6" s="10" t="s">
        <v>345</v>
      </c>
      <c r="E6" s="10" t="s">
        <v>346</v>
      </c>
      <c r="F6" s="10" t="s">
        <v>347</v>
      </c>
      <c r="G6" s="10" t="s">
        <v>348</v>
      </c>
      <c r="H6" s="10" t="s">
        <v>349</v>
      </c>
      <c r="I6" s="10" t="s">
        <v>94</v>
      </c>
    </row>
    <row r="7" spans="1:9" ht="30" customHeight="1" x14ac:dyDescent="0.3">
      <c r="A7" s="10" t="s">
        <v>350</v>
      </c>
      <c r="B7" s="10" t="s">
        <v>214</v>
      </c>
      <c r="C7" s="10" t="s">
        <v>351</v>
      </c>
      <c r="D7" s="10" t="s">
        <v>352</v>
      </c>
      <c r="E7" s="10" t="s">
        <v>353</v>
      </c>
      <c r="F7" s="10" t="s">
        <v>354</v>
      </c>
      <c r="G7" s="10" t="s">
        <v>355</v>
      </c>
      <c r="H7" s="10" t="s">
        <v>356</v>
      </c>
      <c r="I7" s="10" t="s">
        <v>141</v>
      </c>
    </row>
    <row r="8" spans="1:9" ht="30" customHeight="1" x14ac:dyDescent="0.3">
      <c r="A8" s="10" t="s">
        <v>357</v>
      </c>
      <c r="B8" s="10" t="s">
        <v>214</v>
      </c>
      <c r="C8" s="10" t="s">
        <v>358</v>
      </c>
      <c r="D8" s="10" t="s">
        <v>359</v>
      </c>
      <c r="E8" s="10" t="s">
        <v>360</v>
      </c>
      <c r="F8" s="10" t="s">
        <v>361</v>
      </c>
      <c r="G8" s="10" t="s">
        <v>362</v>
      </c>
      <c r="H8" s="10" t="s">
        <v>363</v>
      </c>
      <c r="I8" s="10" t="s">
        <v>94</v>
      </c>
    </row>
    <row r="9" spans="1:9" ht="30" customHeight="1" x14ac:dyDescent="0.3">
      <c r="A9" s="10" t="s">
        <v>364</v>
      </c>
      <c r="B9" s="10" t="s">
        <v>365</v>
      </c>
      <c r="C9" s="10" t="s">
        <v>366</v>
      </c>
      <c r="D9" s="10" t="s">
        <v>367</v>
      </c>
      <c r="E9" s="10" t="s">
        <v>368</v>
      </c>
      <c r="F9" s="10" t="s">
        <v>369</v>
      </c>
      <c r="G9" s="10" t="s">
        <v>370</v>
      </c>
      <c r="H9" s="10" t="s">
        <v>371</v>
      </c>
      <c r="I9" s="10" t="s">
        <v>94</v>
      </c>
    </row>
    <row r="10" spans="1:9" ht="30" customHeight="1" x14ac:dyDescent="0.3">
      <c r="A10" s="10" t="s">
        <v>372</v>
      </c>
      <c r="B10" s="10" t="s">
        <v>365</v>
      </c>
      <c r="C10" s="10" t="s">
        <v>373</v>
      </c>
      <c r="D10" s="10" t="s">
        <v>374</v>
      </c>
      <c r="E10" s="10" t="s">
        <v>373</v>
      </c>
      <c r="F10" s="10" t="s">
        <v>375</v>
      </c>
      <c r="G10" s="10" t="s">
        <v>376</v>
      </c>
      <c r="H10" s="10" t="s">
        <v>377</v>
      </c>
      <c r="I10" s="10" t="s">
        <v>378</v>
      </c>
    </row>
    <row r="11" spans="1:9" ht="30" customHeight="1" x14ac:dyDescent="0.3">
      <c r="A11" s="10" t="s">
        <v>379</v>
      </c>
      <c r="B11" s="10" t="s">
        <v>365</v>
      </c>
      <c r="C11" s="10" t="s">
        <v>380</v>
      </c>
      <c r="D11" s="10" t="s">
        <v>381</v>
      </c>
      <c r="E11" s="10" t="s">
        <v>382</v>
      </c>
      <c r="F11" s="10" t="s">
        <v>383</v>
      </c>
      <c r="G11" s="10" t="s">
        <v>384</v>
      </c>
      <c r="H11" s="10" t="s">
        <v>385</v>
      </c>
      <c r="I11" s="10" t="s">
        <v>166</v>
      </c>
    </row>
    <row r="12" spans="1:9" ht="30" customHeight="1" x14ac:dyDescent="0.3">
      <c r="A12" s="10" t="s">
        <v>386</v>
      </c>
      <c r="B12" s="10" t="s">
        <v>365</v>
      </c>
      <c r="C12" s="10" t="s">
        <v>387</v>
      </c>
      <c r="D12" s="10" t="s">
        <v>388</v>
      </c>
      <c r="E12" s="10" t="s">
        <v>389</v>
      </c>
      <c r="F12" s="10" t="s">
        <v>390</v>
      </c>
      <c r="G12" s="10" t="s">
        <v>391</v>
      </c>
      <c r="H12" s="10" t="s">
        <v>392</v>
      </c>
      <c r="I12" s="10" t="s">
        <v>393</v>
      </c>
    </row>
  </sheetData>
  <dataValidations count="1">
    <dataValidation type="list" allowBlank="1" showErrorMessage="1" errorTitle="Valor inválido" error="Valor fora da lista controlada (ver folha Listas)." sqref="I5:I212" xr:uid="{00000000-0002-0000-0500-000000000000}">
      <formula1>lst_Funcao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17"/>
  <sheetViews>
    <sheetView zoomScale="9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11" customWidth="1"/>
    <col min="3" max="3" width="26" customWidth="1"/>
    <col min="4" max="4" width="8" customWidth="1"/>
    <col min="5" max="5" width="56" customWidth="1"/>
    <col min="6" max="6" width="11" customWidth="1"/>
    <col min="7" max="7" width="18" customWidth="1"/>
    <col min="8" max="8" width="8" customWidth="1"/>
    <col min="9" max="10" width="9" customWidth="1"/>
  </cols>
  <sheetData>
    <row r="1" spans="1:10" ht="17.399999999999999" x14ac:dyDescent="0.3">
      <c r="A1" s="1" t="s">
        <v>394</v>
      </c>
    </row>
    <row r="4" spans="1:10" ht="39.6" x14ac:dyDescent="0.3">
      <c r="A4" s="8" t="s">
        <v>395</v>
      </c>
      <c r="B4" s="8" t="s">
        <v>285</v>
      </c>
      <c r="C4" s="8" t="s">
        <v>396</v>
      </c>
      <c r="D4" s="8" t="s">
        <v>79</v>
      </c>
      <c r="E4" s="8" t="s">
        <v>397</v>
      </c>
      <c r="F4" s="8" t="s">
        <v>14</v>
      </c>
      <c r="G4" s="8" t="s">
        <v>398</v>
      </c>
      <c r="H4" s="8" t="s">
        <v>399</v>
      </c>
      <c r="I4" s="8" t="s">
        <v>400</v>
      </c>
      <c r="J4" s="9" t="s">
        <v>401</v>
      </c>
    </row>
    <row r="5" spans="1:10" ht="30" customHeight="1" x14ac:dyDescent="0.3">
      <c r="A5" s="10" t="s">
        <v>402</v>
      </c>
      <c r="B5" s="16">
        <v>46283</v>
      </c>
      <c r="C5" s="10" t="s">
        <v>403</v>
      </c>
      <c r="D5" s="10" t="s">
        <v>120</v>
      </c>
      <c r="E5" s="10" t="s">
        <v>404</v>
      </c>
      <c r="F5" s="10" t="s">
        <v>405</v>
      </c>
      <c r="G5" s="10" t="s">
        <v>406</v>
      </c>
      <c r="H5" s="11">
        <v>0</v>
      </c>
      <c r="I5" s="18">
        <v>145</v>
      </c>
      <c r="J5" s="14" t="str">
        <f t="shared" ref="J5:J17" si="0">IF(A5="","",IF(H5="",IF(DataRef-B5&gt;15,"Atrasada","Em prazo"),IF(H5&lt;=15,"Sim","Não")))</f>
        <v>Sim</v>
      </c>
    </row>
    <row r="6" spans="1:10" ht="30" customHeight="1" x14ac:dyDescent="0.3">
      <c r="A6" s="10" t="s">
        <v>407</v>
      </c>
      <c r="B6" s="16">
        <v>46254</v>
      </c>
      <c r="C6" s="10" t="s">
        <v>408</v>
      </c>
      <c r="D6" s="10" t="s">
        <v>409</v>
      </c>
      <c r="E6" s="10" t="s">
        <v>410</v>
      </c>
      <c r="F6" s="10" t="s">
        <v>405</v>
      </c>
      <c r="G6" s="10" t="s">
        <v>411</v>
      </c>
      <c r="H6" s="11">
        <v>5</v>
      </c>
      <c r="I6" s="18">
        <v>29</v>
      </c>
      <c r="J6" s="14" t="str">
        <f t="shared" si="0"/>
        <v>Sim</v>
      </c>
    </row>
    <row r="7" spans="1:10" ht="30" customHeight="1" x14ac:dyDescent="0.3">
      <c r="A7" s="10" t="s">
        <v>412</v>
      </c>
      <c r="B7" s="16">
        <v>46231</v>
      </c>
      <c r="C7" s="10" t="s">
        <v>413</v>
      </c>
      <c r="D7" s="10" t="s">
        <v>133</v>
      </c>
      <c r="E7" s="10" t="s">
        <v>414</v>
      </c>
      <c r="F7" s="10" t="s">
        <v>415</v>
      </c>
      <c r="G7" s="10" t="s">
        <v>416</v>
      </c>
      <c r="H7" s="11">
        <v>12</v>
      </c>
      <c r="I7" s="18">
        <v>20</v>
      </c>
      <c r="J7" s="14" t="str">
        <f t="shared" si="0"/>
        <v>Sim</v>
      </c>
    </row>
    <row r="8" spans="1:10" ht="30" customHeight="1" x14ac:dyDescent="0.3">
      <c r="A8" s="10" t="s">
        <v>417</v>
      </c>
      <c r="B8" s="16">
        <v>46238</v>
      </c>
      <c r="C8" s="10" t="s">
        <v>418</v>
      </c>
      <c r="D8" s="10" t="s">
        <v>120</v>
      </c>
      <c r="E8" s="10" t="s">
        <v>419</v>
      </c>
      <c r="F8" s="10" t="s">
        <v>405</v>
      </c>
      <c r="G8" s="10" t="s">
        <v>420</v>
      </c>
      <c r="H8" s="11">
        <v>3</v>
      </c>
      <c r="I8" s="18">
        <v>6</v>
      </c>
      <c r="J8" s="14" t="str">
        <f t="shared" si="0"/>
        <v>Sim</v>
      </c>
    </row>
    <row r="9" spans="1:10" ht="30" customHeight="1" x14ac:dyDescent="0.3">
      <c r="A9" s="10" t="s">
        <v>421</v>
      </c>
      <c r="B9" s="16">
        <v>46245</v>
      </c>
      <c r="C9" s="10" t="s">
        <v>107</v>
      </c>
      <c r="D9" s="10" t="s">
        <v>422</v>
      </c>
      <c r="E9" s="10" t="s">
        <v>423</v>
      </c>
      <c r="F9" s="10" t="s">
        <v>415</v>
      </c>
      <c r="G9" s="10" t="s">
        <v>424</v>
      </c>
      <c r="H9" s="11">
        <v>2</v>
      </c>
      <c r="I9" s="18">
        <v>15</v>
      </c>
      <c r="J9" s="14" t="str">
        <f t="shared" si="0"/>
        <v>Sim</v>
      </c>
    </row>
    <row r="10" spans="1:10" ht="30" customHeight="1" x14ac:dyDescent="0.3">
      <c r="A10" s="10" t="s">
        <v>425</v>
      </c>
      <c r="B10" s="16">
        <v>46259</v>
      </c>
      <c r="C10" s="10" t="s">
        <v>426</v>
      </c>
      <c r="D10" s="10" t="s">
        <v>133</v>
      </c>
      <c r="E10" s="10" t="s">
        <v>427</v>
      </c>
      <c r="F10" s="10" t="s">
        <v>405</v>
      </c>
      <c r="G10" s="10" t="s">
        <v>428</v>
      </c>
      <c r="H10" s="11">
        <v>14</v>
      </c>
      <c r="I10" s="18">
        <v>98</v>
      </c>
      <c r="J10" s="14" t="str">
        <f t="shared" si="0"/>
        <v>Sim</v>
      </c>
    </row>
    <row r="11" spans="1:10" ht="30" customHeight="1" x14ac:dyDescent="0.3">
      <c r="A11" s="10" t="s">
        <v>429</v>
      </c>
      <c r="B11" s="16">
        <v>46267</v>
      </c>
      <c r="C11" s="10" t="s">
        <v>430</v>
      </c>
      <c r="D11" s="10" t="s">
        <v>431</v>
      </c>
      <c r="E11" s="10" t="s">
        <v>432</v>
      </c>
      <c r="F11" s="10" t="s">
        <v>405</v>
      </c>
      <c r="G11" s="10" t="s">
        <v>433</v>
      </c>
      <c r="H11" s="11">
        <v>9</v>
      </c>
      <c r="I11" s="18">
        <v>10</v>
      </c>
      <c r="J11" s="14" t="str">
        <f t="shared" si="0"/>
        <v>Sim</v>
      </c>
    </row>
    <row r="12" spans="1:10" ht="30" customHeight="1" x14ac:dyDescent="0.3">
      <c r="A12" s="10" t="s">
        <v>434</v>
      </c>
      <c r="B12" s="16">
        <v>46274</v>
      </c>
      <c r="C12" s="10" t="s">
        <v>435</v>
      </c>
      <c r="D12" s="10" t="s">
        <v>436</v>
      </c>
      <c r="E12" s="10" t="s">
        <v>437</v>
      </c>
      <c r="F12" s="10" t="s">
        <v>415</v>
      </c>
      <c r="G12" s="10" t="s">
        <v>438</v>
      </c>
      <c r="H12" s="11">
        <v>8</v>
      </c>
      <c r="I12" s="18">
        <v>3</v>
      </c>
      <c r="J12" s="14" t="str">
        <f t="shared" si="0"/>
        <v>Sim</v>
      </c>
    </row>
    <row r="13" spans="1:10" ht="30" customHeight="1" x14ac:dyDescent="0.3">
      <c r="A13" s="10" t="s">
        <v>439</v>
      </c>
      <c r="B13" s="16">
        <v>46280</v>
      </c>
      <c r="C13" s="10" t="s">
        <v>440</v>
      </c>
      <c r="D13" s="10" t="s">
        <v>409</v>
      </c>
      <c r="E13" s="10" t="s">
        <v>441</v>
      </c>
      <c r="F13" s="10" t="s">
        <v>415</v>
      </c>
      <c r="G13" s="10" t="s">
        <v>309</v>
      </c>
      <c r="H13" s="11">
        <v>1</v>
      </c>
      <c r="I13" s="18">
        <v>12</v>
      </c>
      <c r="J13" s="14" t="str">
        <f t="shared" si="0"/>
        <v>Sim</v>
      </c>
    </row>
    <row r="14" spans="1:10" ht="30" customHeight="1" x14ac:dyDescent="0.3">
      <c r="A14" s="10" t="s">
        <v>442</v>
      </c>
      <c r="B14" s="16">
        <v>46289</v>
      </c>
      <c r="C14" s="10" t="s">
        <v>443</v>
      </c>
      <c r="D14" s="10" t="s">
        <v>96</v>
      </c>
      <c r="E14" s="10" t="s">
        <v>444</v>
      </c>
      <c r="F14" s="10" t="s">
        <v>415</v>
      </c>
      <c r="G14" s="10" t="s">
        <v>445</v>
      </c>
      <c r="H14" s="11">
        <v>13</v>
      </c>
      <c r="I14" s="18">
        <v>0</v>
      </c>
      <c r="J14" s="14" t="str">
        <f t="shared" si="0"/>
        <v>Sim</v>
      </c>
    </row>
    <row r="15" spans="1:10" ht="30" customHeight="1" x14ac:dyDescent="0.3">
      <c r="A15" s="10" t="s">
        <v>446</v>
      </c>
      <c r="B15" s="16">
        <v>46309</v>
      </c>
      <c r="C15" s="10" t="s">
        <v>447</v>
      </c>
      <c r="D15" s="10" t="s">
        <v>120</v>
      </c>
      <c r="E15" s="10" t="s">
        <v>448</v>
      </c>
      <c r="F15" s="10" t="s">
        <v>405</v>
      </c>
      <c r="G15" s="10" t="s">
        <v>449</v>
      </c>
      <c r="H15" s="11">
        <v>10</v>
      </c>
      <c r="I15" s="18">
        <v>8</v>
      </c>
      <c r="J15" s="14" t="str">
        <f t="shared" si="0"/>
        <v>Sim</v>
      </c>
    </row>
    <row r="16" spans="1:10" ht="30" customHeight="1" x14ac:dyDescent="0.3">
      <c r="A16" s="10" t="s">
        <v>450</v>
      </c>
      <c r="B16" s="16">
        <v>46346</v>
      </c>
      <c r="C16" s="10" t="s">
        <v>107</v>
      </c>
      <c r="D16" s="10" t="s">
        <v>422</v>
      </c>
      <c r="E16" s="10" t="s">
        <v>451</v>
      </c>
      <c r="F16" s="10" t="s">
        <v>415</v>
      </c>
      <c r="G16" s="10" t="s">
        <v>452</v>
      </c>
      <c r="H16" s="11">
        <v>6</v>
      </c>
      <c r="I16" s="18">
        <v>5</v>
      </c>
      <c r="J16" s="14" t="str">
        <f t="shared" si="0"/>
        <v>Sim</v>
      </c>
    </row>
    <row r="17" spans="1:10" ht="30" customHeight="1" x14ac:dyDescent="0.3">
      <c r="A17" s="10" t="s">
        <v>453</v>
      </c>
      <c r="B17" s="16">
        <v>46378</v>
      </c>
      <c r="C17" s="10" t="s">
        <v>454</v>
      </c>
      <c r="D17" s="10" t="s">
        <v>133</v>
      </c>
      <c r="E17" s="10" t="s">
        <v>455</v>
      </c>
      <c r="F17" s="10" t="s">
        <v>456</v>
      </c>
      <c r="G17" s="10" t="s">
        <v>457</v>
      </c>
      <c r="H17" s="11"/>
      <c r="I17" s="18">
        <v>0</v>
      </c>
      <c r="J17" s="14" t="str">
        <f t="shared" si="0"/>
        <v>Em prazo</v>
      </c>
    </row>
  </sheetData>
  <conditionalFormatting sqref="F5:F217">
    <cfRule type="expression" dxfId="4" priority="4">
      <formula>ISNUMBER(SEARCH("Implementada",F5))</formula>
    </cfRule>
    <cfRule type="expression" dxfId="3" priority="5">
      <formula>ISNUMBER(SEARCH("Aprovada",F5))</formula>
    </cfRule>
  </conditionalFormatting>
  <conditionalFormatting sqref="J5:J217">
    <cfRule type="expression" dxfId="2" priority="1">
      <formula>ISNUMBER(SEARCH("Atrasada",J5))</formula>
    </cfRule>
    <cfRule type="expression" dxfId="1" priority="2">
      <formula>ISNUMBER(SEARCH("Não",J5))</formula>
    </cfRule>
    <cfRule type="expression" dxfId="0" priority="3">
      <formula>ISNUMBER(SEARCH("Sim",J5))</formula>
    </cfRule>
  </conditionalFormatting>
  <dataValidations count="1">
    <dataValidation type="list" allowBlank="1" showErrorMessage="1" errorTitle="Valor inválido" error="Valor fora da lista controlada (ver folha Listas)." sqref="F5:F217" xr:uid="{00000000-0002-0000-0600-000000000000}">
      <formula1>lst_EstadoSug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4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6" customWidth="1"/>
    <col min="2" max="2" width="48" customWidth="1"/>
    <col min="3" max="4" width="16" customWidth="1"/>
    <col min="5" max="5" width="18" customWidth="1"/>
  </cols>
  <sheetData>
    <row r="1" spans="1:5" x14ac:dyDescent="0.3">
      <c r="A1" s="19" t="s">
        <v>458</v>
      </c>
    </row>
    <row r="2" spans="1:5" x14ac:dyDescent="0.3">
      <c r="A2" s="20" t="s">
        <v>459</v>
      </c>
      <c r="B2" s="20" t="s">
        <v>78</v>
      </c>
      <c r="C2" s="20" t="s">
        <v>460</v>
      </c>
      <c r="D2" s="20" t="s">
        <v>229</v>
      </c>
      <c r="E2" s="20" t="s">
        <v>461</v>
      </c>
    </row>
    <row r="3" spans="1:5" x14ac:dyDescent="0.3">
      <c r="A3" s="21">
        <v>46387</v>
      </c>
      <c r="B3" s="6" t="s">
        <v>378</v>
      </c>
      <c r="C3" s="6" t="s">
        <v>462</v>
      </c>
      <c r="D3" s="6" t="s">
        <v>236</v>
      </c>
      <c r="E3" s="6" t="s">
        <v>463</v>
      </c>
    </row>
    <row r="4" spans="1:5" x14ac:dyDescent="0.3">
      <c r="B4" s="6" t="s">
        <v>464</v>
      </c>
      <c r="C4" s="6" t="s">
        <v>456</v>
      </c>
      <c r="D4" s="6" t="s">
        <v>250</v>
      </c>
      <c r="E4" s="6" t="s">
        <v>263</v>
      </c>
    </row>
    <row r="5" spans="1:5" ht="26.4" x14ac:dyDescent="0.3">
      <c r="B5" s="6" t="s">
        <v>94</v>
      </c>
      <c r="C5" s="6" t="s">
        <v>405</v>
      </c>
      <c r="E5" s="6" t="s">
        <v>237</v>
      </c>
    </row>
    <row r="6" spans="1:5" x14ac:dyDescent="0.3">
      <c r="B6" s="6" t="s">
        <v>465</v>
      </c>
      <c r="C6" s="6" t="s">
        <v>415</v>
      </c>
      <c r="E6" s="6" t="s">
        <v>466</v>
      </c>
    </row>
    <row r="7" spans="1:5" x14ac:dyDescent="0.3">
      <c r="B7" s="6" t="s">
        <v>467</v>
      </c>
      <c r="C7" s="6" t="s">
        <v>468</v>
      </c>
    </row>
    <row r="8" spans="1:5" x14ac:dyDescent="0.3">
      <c r="B8" s="6" t="s">
        <v>107</v>
      </c>
    </row>
    <row r="9" spans="1:5" x14ac:dyDescent="0.3">
      <c r="B9" s="6" t="s">
        <v>393</v>
      </c>
    </row>
    <row r="10" spans="1:5" x14ac:dyDescent="0.3">
      <c r="B10" s="6" t="s">
        <v>469</v>
      </c>
    </row>
    <row r="11" spans="1:5" x14ac:dyDescent="0.3">
      <c r="B11" s="6" t="s">
        <v>470</v>
      </c>
    </row>
    <row r="12" spans="1:5" x14ac:dyDescent="0.3">
      <c r="B12" s="6" t="s">
        <v>166</v>
      </c>
    </row>
    <row r="13" spans="1:5" x14ac:dyDescent="0.3">
      <c r="B13" s="6" t="s">
        <v>471</v>
      </c>
    </row>
    <row r="14" spans="1:5" x14ac:dyDescent="0.3">
      <c r="B14" s="6" t="s">
        <v>472</v>
      </c>
    </row>
    <row r="15" spans="1:5" x14ac:dyDescent="0.3">
      <c r="B15" s="6" t="s">
        <v>473</v>
      </c>
    </row>
    <row r="16" spans="1:5" x14ac:dyDescent="0.3">
      <c r="B16" s="6" t="s">
        <v>189</v>
      </c>
    </row>
    <row r="17" spans="2:2" x14ac:dyDescent="0.3">
      <c r="B17" s="6" t="s">
        <v>141</v>
      </c>
    </row>
    <row r="18" spans="2:2" x14ac:dyDescent="0.3">
      <c r="B18" s="6" t="s">
        <v>119</v>
      </c>
    </row>
    <row r="19" spans="2:2" x14ac:dyDescent="0.3">
      <c r="B19" s="6" t="s">
        <v>132</v>
      </c>
    </row>
    <row r="20" spans="2:2" x14ac:dyDescent="0.3">
      <c r="B20" s="6" t="s">
        <v>474</v>
      </c>
    </row>
    <row r="21" spans="2:2" x14ac:dyDescent="0.3">
      <c r="B21" s="6" t="s">
        <v>475</v>
      </c>
    </row>
    <row r="22" spans="2:2" x14ac:dyDescent="0.3">
      <c r="B22" s="6" t="s">
        <v>153</v>
      </c>
    </row>
    <row r="23" spans="2:2" x14ac:dyDescent="0.3">
      <c r="B23" s="6" t="s">
        <v>177</v>
      </c>
    </row>
    <row r="24" spans="2:2" x14ac:dyDescent="0.3">
      <c r="B24" s="6" t="s">
        <v>476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4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4" customWidth="1"/>
    <col min="3" max="3" width="30" customWidth="1"/>
    <col min="4" max="4" width="16" customWidth="1"/>
    <col min="5" max="5" width="18" customWidth="1"/>
    <col min="6" max="6" width="70" customWidth="1"/>
    <col min="7" max="7" width="36" customWidth="1"/>
    <col min="8" max="8" width="11" customWidth="1"/>
    <col min="9" max="9" width="12" customWidth="1"/>
  </cols>
  <sheetData>
    <row r="1" spans="1:9" x14ac:dyDescent="0.3">
      <c r="A1" s="8" t="s">
        <v>477</v>
      </c>
      <c r="B1" s="8" t="s">
        <v>478</v>
      </c>
      <c r="C1" s="8" t="s">
        <v>479</v>
      </c>
      <c r="D1" s="8" t="s">
        <v>329</v>
      </c>
      <c r="E1" s="8" t="s">
        <v>480</v>
      </c>
      <c r="F1" s="8" t="s">
        <v>481</v>
      </c>
      <c r="G1" s="8" t="s">
        <v>482</v>
      </c>
      <c r="H1" s="8" t="s">
        <v>483</v>
      </c>
      <c r="I1" s="8" t="s">
        <v>484</v>
      </c>
    </row>
    <row r="2" spans="1:9" x14ac:dyDescent="0.3">
      <c r="A2" s="22" t="s">
        <v>40</v>
      </c>
      <c r="B2" s="22" t="s">
        <v>485</v>
      </c>
      <c r="C2" s="22" t="s">
        <v>77</v>
      </c>
      <c r="D2" s="22" t="s">
        <v>486</v>
      </c>
      <c r="E2" s="22" t="s">
        <v>487</v>
      </c>
      <c r="F2" s="22" t="s">
        <v>488</v>
      </c>
      <c r="G2" s="22"/>
      <c r="H2" s="22" t="s">
        <v>489</v>
      </c>
      <c r="I2" s="22" t="s">
        <v>490</v>
      </c>
    </row>
    <row r="3" spans="1:9" x14ac:dyDescent="0.3">
      <c r="A3" s="22" t="s">
        <v>40</v>
      </c>
      <c r="B3" s="22" t="s">
        <v>485</v>
      </c>
      <c r="C3" s="22" t="s">
        <v>78</v>
      </c>
      <c r="D3" s="22" t="s">
        <v>486</v>
      </c>
      <c r="E3" s="22" t="s">
        <v>487</v>
      </c>
      <c r="F3" s="22" t="s">
        <v>491</v>
      </c>
      <c r="G3" s="22" t="s">
        <v>492</v>
      </c>
      <c r="H3" s="22" t="s">
        <v>489</v>
      </c>
      <c r="I3" s="22"/>
    </row>
    <row r="4" spans="1:9" x14ac:dyDescent="0.3">
      <c r="A4" s="22" t="s">
        <v>40</v>
      </c>
      <c r="B4" s="22" t="s">
        <v>485</v>
      </c>
      <c r="C4" s="22" t="s">
        <v>79</v>
      </c>
      <c r="D4" s="22" t="s">
        <v>486</v>
      </c>
      <c r="E4" s="22" t="s">
        <v>487</v>
      </c>
      <c r="F4" s="22" t="s">
        <v>493</v>
      </c>
      <c r="G4" s="22"/>
      <c r="H4" s="22" t="s">
        <v>489</v>
      </c>
      <c r="I4" s="22"/>
    </row>
    <row r="5" spans="1:9" ht="39.6" x14ac:dyDescent="0.3">
      <c r="A5" s="22" t="s">
        <v>40</v>
      </c>
      <c r="B5" s="22" t="s">
        <v>485</v>
      </c>
      <c r="C5" s="22" t="s">
        <v>80</v>
      </c>
      <c r="D5" s="22" t="s">
        <v>486</v>
      </c>
      <c r="E5" s="22" t="s">
        <v>487</v>
      </c>
      <c r="F5" s="22" t="s">
        <v>494</v>
      </c>
      <c r="G5" s="22"/>
      <c r="H5" s="22" t="s">
        <v>489</v>
      </c>
      <c r="I5" s="22" t="s">
        <v>495</v>
      </c>
    </row>
    <row r="6" spans="1:9" x14ac:dyDescent="0.3">
      <c r="A6" s="22" t="s">
        <v>40</v>
      </c>
      <c r="B6" s="22" t="s">
        <v>485</v>
      </c>
      <c r="C6" s="22" t="s">
        <v>81</v>
      </c>
      <c r="D6" s="22" t="s">
        <v>486</v>
      </c>
      <c r="E6" s="22" t="s">
        <v>487</v>
      </c>
      <c r="F6" s="22" t="s">
        <v>496</v>
      </c>
      <c r="G6" s="22"/>
      <c r="H6" s="22" t="s">
        <v>489</v>
      </c>
      <c r="I6" s="22"/>
    </row>
    <row r="7" spans="1:9" x14ac:dyDescent="0.3">
      <c r="A7" s="22" t="s">
        <v>40</v>
      </c>
      <c r="B7" s="22" t="s">
        <v>485</v>
      </c>
      <c r="C7" s="22" t="s">
        <v>82</v>
      </c>
      <c r="D7" s="22" t="s">
        <v>486</v>
      </c>
      <c r="E7" s="22" t="s">
        <v>487</v>
      </c>
      <c r="F7" s="22" t="s">
        <v>497</v>
      </c>
      <c r="G7" s="22"/>
      <c r="H7" s="22" t="s">
        <v>489</v>
      </c>
      <c r="I7" s="22"/>
    </row>
    <row r="8" spans="1:9" ht="39.6" x14ac:dyDescent="0.3">
      <c r="A8" s="22" t="s">
        <v>40</v>
      </c>
      <c r="B8" s="22" t="s">
        <v>485</v>
      </c>
      <c r="C8" s="22" t="s">
        <v>83</v>
      </c>
      <c r="D8" s="22" t="s">
        <v>486</v>
      </c>
      <c r="E8" s="22" t="s">
        <v>487</v>
      </c>
      <c r="F8" s="22" t="s">
        <v>498</v>
      </c>
      <c r="G8" s="22"/>
      <c r="H8" s="22" t="s">
        <v>489</v>
      </c>
      <c r="I8" s="22" t="s">
        <v>499</v>
      </c>
    </row>
    <row r="9" spans="1:9" x14ac:dyDescent="0.3">
      <c r="A9" s="22" t="s">
        <v>40</v>
      </c>
      <c r="B9" s="22" t="s">
        <v>485</v>
      </c>
      <c r="C9" s="22" t="s">
        <v>84</v>
      </c>
      <c r="D9" s="22" t="s">
        <v>486</v>
      </c>
      <c r="E9" s="22" t="s">
        <v>487</v>
      </c>
      <c r="F9" s="22" t="s">
        <v>500</v>
      </c>
      <c r="G9" s="22"/>
      <c r="H9" s="22" t="s">
        <v>489</v>
      </c>
      <c r="I9" s="22"/>
    </row>
    <row r="10" spans="1:9" x14ac:dyDescent="0.3">
      <c r="A10" s="22" t="s">
        <v>40</v>
      </c>
      <c r="B10" s="22" t="s">
        <v>485</v>
      </c>
      <c r="C10" s="22" t="s">
        <v>85</v>
      </c>
      <c r="D10" s="22" t="s">
        <v>486</v>
      </c>
      <c r="E10" s="22" t="s">
        <v>487</v>
      </c>
      <c r="F10" s="22" t="s">
        <v>501</v>
      </c>
      <c r="G10" s="22"/>
      <c r="H10" s="22" t="s">
        <v>489</v>
      </c>
      <c r="I10" s="22"/>
    </row>
    <row r="11" spans="1:9" x14ac:dyDescent="0.3">
      <c r="A11" s="22" t="s">
        <v>40</v>
      </c>
      <c r="B11" s="22" t="s">
        <v>485</v>
      </c>
      <c r="C11" s="22" t="s">
        <v>86</v>
      </c>
      <c r="D11" s="22" t="s">
        <v>486</v>
      </c>
      <c r="E11" s="22" t="s">
        <v>487</v>
      </c>
      <c r="F11" s="22" t="s">
        <v>502</v>
      </c>
      <c r="G11" s="22"/>
      <c r="H11" s="22" t="s">
        <v>489</v>
      </c>
      <c r="I11" s="22"/>
    </row>
    <row r="12" spans="1:9" x14ac:dyDescent="0.3">
      <c r="A12" s="22" t="s">
        <v>40</v>
      </c>
      <c r="B12" s="22" t="s">
        <v>485</v>
      </c>
      <c r="C12" s="22" t="s">
        <v>87</v>
      </c>
      <c r="D12" s="22" t="s">
        <v>486</v>
      </c>
      <c r="E12" s="22" t="s">
        <v>487</v>
      </c>
      <c r="F12" s="22" t="s">
        <v>503</v>
      </c>
      <c r="G12" s="22"/>
      <c r="H12" s="22" t="s">
        <v>489</v>
      </c>
      <c r="I12" s="22"/>
    </row>
    <row r="13" spans="1:9" x14ac:dyDescent="0.3">
      <c r="A13" s="22" t="s">
        <v>40</v>
      </c>
      <c r="B13" s="22" t="s">
        <v>485</v>
      </c>
      <c r="C13" s="22" t="s">
        <v>88</v>
      </c>
      <c r="D13" s="22" t="s">
        <v>486</v>
      </c>
      <c r="E13" s="22" t="s">
        <v>487</v>
      </c>
      <c r="F13" s="22" t="s">
        <v>504</v>
      </c>
      <c r="G13" s="22"/>
      <c r="H13" s="22" t="s">
        <v>489</v>
      </c>
      <c r="I13" s="22"/>
    </row>
    <row r="14" spans="1:9" x14ac:dyDescent="0.3">
      <c r="A14" s="22" t="s">
        <v>40</v>
      </c>
      <c r="B14" s="22" t="s">
        <v>485</v>
      </c>
      <c r="C14" s="22" t="s">
        <v>89</v>
      </c>
      <c r="D14" s="22" t="s">
        <v>486</v>
      </c>
      <c r="E14" s="22" t="s">
        <v>487</v>
      </c>
      <c r="F14" s="22" t="s">
        <v>505</v>
      </c>
      <c r="G14" s="22"/>
      <c r="H14" s="22" t="s">
        <v>489</v>
      </c>
      <c r="I14" s="22"/>
    </row>
    <row r="15" spans="1:9" x14ac:dyDescent="0.3">
      <c r="A15" s="22" t="s">
        <v>40</v>
      </c>
      <c r="B15" s="22" t="s">
        <v>485</v>
      </c>
      <c r="C15" s="22" t="s">
        <v>90</v>
      </c>
      <c r="D15" s="22" t="s">
        <v>506</v>
      </c>
      <c r="E15" s="22" t="s">
        <v>487</v>
      </c>
      <c r="F15" s="22" t="s">
        <v>507</v>
      </c>
      <c r="G15" s="22"/>
      <c r="H15" s="22" t="s">
        <v>489</v>
      </c>
      <c r="I15" s="22"/>
    </row>
    <row r="16" spans="1:9" x14ac:dyDescent="0.3">
      <c r="A16" s="22" t="s">
        <v>40</v>
      </c>
      <c r="B16" s="22" t="s">
        <v>485</v>
      </c>
      <c r="C16" s="22" t="s">
        <v>91</v>
      </c>
      <c r="D16" s="22" t="s">
        <v>506</v>
      </c>
      <c r="E16" s="22" t="s">
        <v>508</v>
      </c>
      <c r="F16" s="22" t="s">
        <v>509</v>
      </c>
      <c r="G16" s="22"/>
      <c r="H16" s="22" t="s">
        <v>489</v>
      </c>
      <c r="I16" s="22"/>
    </row>
    <row r="17" spans="1:9" ht="26.4" x14ac:dyDescent="0.3">
      <c r="A17" s="22" t="s">
        <v>40</v>
      </c>
      <c r="B17" s="22" t="s">
        <v>485</v>
      </c>
      <c r="C17" s="22" t="s">
        <v>92</v>
      </c>
      <c r="D17" s="22" t="s">
        <v>510</v>
      </c>
      <c r="E17" s="22" t="s">
        <v>508</v>
      </c>
      <c r="F17" s="22" t="s">
        <v>511</v>
      </c>
      <c r="G17" s="22"/>
      <c r="H17" s="22" t="s">
        <v>489</v>
      </c>
      <c r="I17" s="22"/>
    </row>
    <row r="18" spans="1:9" x14ac:dyDescent="0.3">
      <c r="A18" s="22" t="s">
        <v>40</v>
      </c>
      <c r="B18" s="22" t="s">
        <v>485</v>
      </c>
      <c r="C18" s="22" t="s">
        <v>14</v>
      </c>
      <c r="D18" s="22" t="s">
        <v>486</v>
      </c>
      <c r="E18" s="22" t="s">
        <v>508</v>
      </c>
      <c r="F18" s="22" t="s">
        <v>512</v>
      </c>
      <c r="G18" s="22"/>
      <c r="H18" s="22" t="s">
        <v>489</v>
      </c>
      <c r="I18" s="22"/>
    </row>
    <row r="19" spans="1:9" x14ac:dyDescent="0.3">
      <c r="A19" s="22" t="s">
        <v>42</v>
      </c>
      <c r="B19" s="22" t="s">
        <v>513</v>
      </c>
      <c r="C19" s="22" t="s">
        <v>199</v>
      </c>
      <c r="D19" s="22" t="s">
        <v>486</v>
      </c>
      <c r="E19" s="22" t="s">
        <v>487</v>
      </c>
      <c r="F19" s="22" t="s">
        <v>514</v>
      </c>
      <c r="G19" s="22"/>
      <c r="H19" s="22" t="s">
        <v>489</v>
      </c>
      <c r="I19" s="22" t="s">
        <v>490</v>
      </c>
    </row>
    <row r="20" spans="1:9" x14ac:dyDescent="0.3">
      <c r="A20" s="22" t="s">
        <v>42</v>
      </c>
      <c r="B20" s="22" t="s">
        <v>513</v>
      </c>
      <c r="C20" s="22" t="s">
        <v>200</v>
      </c>
      <c r="D20" s="22" t="s">
        <v>486</v>
      </c>
      <c r="E20" s="22" t="s">
        <v>487</v>
      </c>
      <c r="F20" s="22" t="s">
        <v>515</v>
      </c>
      <c r="G20" s="22"/>
      <c r="H20" s="22" t="s">
        <v>489</v>
      </c>
      <c r="I20" s="22"/>
    </row>
    <row r="21" spans="1:9" x14ac:dyDescent="0.3">
      <c r="A21" s="22" t="s">
        <v>42</v>
      </c>
      <c r="B21" s="22" t="s">
        <v>513</v>
      </c>
      <c r="C21" s="22" t="s">
        <v>201</v>
      </c>
      <c r="D21" s="22" t="s">
        <v>516</v>
      </c>
      <c r="E21" s="22" t="s">
        <v>487</v>
      </c>
      <c r="F21" s="22" t="s">
        <v>517</v>
      </c>
      <c r="G21" s="22"/>
      <c r="H21" s="22" t="s">
        <v>489</v>
      </c>
      <c r="I21" s="22"/>
    </row>
    <row r="22" spans="1:9" x14ac:dyDescent="0.3">
      <c r="A22" s="22" t="s">
        <v>42</v>
      </c>
      <c r="B22" s="22" t="s">
        <v>513</v>
      </c>
      <c r="C22" s="22" t="s">
        <v>202</v>
      </c>
      <c r="D22" s="22" t="s">
        <v>486</v>
      </c>
      <c r="E22" s="22" t="s">
        <v>487</v>
      </c>
      <c r="F22" s="22" t="s">
        <v>518</v>
      </c>
      <c r="G22" s="22"/>
      <c r="H22" s="22" t="s">
        <v>489</v>
      </c>
      <c r="I22" s="22"/>
    </row>
    <row r="23" spans="1:9" x14ac:dyDescent="0.3">
      <c r="A23" s="22" t="s">
        <v>42</v>
      </c>
      <c r="B23" s="22" t="s">
        <v>513</v>
      </c>
      <c r="C23" s="22" t="s">
        <v>203</v>
      </c>
      <c r="D23" s="22" t="s">
        <v>486</v>
      </c>
      <c r="E23" s="22" t="s">
        <v>487</v>
      </c>
      <c r="F23" s="22" t="s">
        <v>519</v>
      </c>
      <c r="G23" s="22"/>
      <c r="H23" s="22" t="s">
        <v>489</v>
      </c>
      <c r="I23" s="22"/>
    </row>
    <row r="24" spans="1:9" x14ac:dyDescent="0.3">
      <c r="A24" s="22" t="s">
        <v>42</v>
      </c>
      <c r="B24" s="22" t="s">
        <v>513</v>
      </c>
      <c r="C24" s="22" t="s">
        <v>204</v>
      </c>
      <c r="D24" s="22" t="s">
        <v>506</v>
      </c>
      <c r="E24" s="22" t="s">
        <v>487</v>
      </c>
      <c r="F24" s="22" t="s">
        <v>520</v>
      </c>
      <c r="G24" s="22"/>
      <c r="H24" s="22" t="s">
        <v>489</v>
      </c>
      <c r="I24" s="22"/>
    </row>
    <row r="25" spans="1:9" x14ac:dyDescent="0.3">
      <c r="A25" s="22" t="s">
        <v>44</v>
      </c>
      <c r="B25" s="22" t="s">
        <v>521</v>
      </c>
      <c r="C25" s="22" t="s">
        <v>226</v>
      </c>
      <c r="D25" s="22" t="s">
        <v>486</v>
      </c>
      <c r="E25" s="22" t="s">
        <v>487</v>
      </c>
      <c r="F25" s="22" t="s">
        <v>522</v>
      </c>
      <c r="G25" s="22"/>
      <c r="H25" s="22" t="s">
        <v>489</v>
      </c>
      <c r="I25" s="22" t="s">
        <v>490</v>
      </c>
    </row>
    <row r="26" spans="1:9" x14ac:dyDescent="0.3">
      <c r="A26" s="22" t="s">
        <v>44</v>
      </c>
      <c r="B26" s="22" t="s">
        <v>521</v>
      </c>
      <c r="C26" s="22" t="s">
        <v>227</v>
      </c>
      <c r="D26" s="22" t="s">
        <v>486</v>
      </c>
      <c r="E26" s="22" t="s">
        <v>487</v>
      </c>
      <c r="F26" s="22" t="s">
        <v>523</v>
      </c>
      <c r="G26" s="22"/>
      <c r="H26" s="22" t="s">
        <v>489</v>
      </c>
      <c r="I26" s="22"/>
    </row>
    <row r="27" spans="1:9" ht="39.6" x14ac:dyDescent="0.3">
      <c r="A27" s="22" t="s">
        <v>44</v>
      </c>
      <c r="B27" s="22" t="s">
        <v>521</v>
      </c>
      <c r="C27" s="22" t="s">
        <v>77</v>
      </c>
      <c r="D27" s="22" t="s">
        <v>486</v>
      </c>
      <c r="E27" s="22" t="s">
        <v>487</v>
      </c>
      <c r="F27" s="22" t="s">
        <v>524</v>
      </c>
      <c r="G27" s="22"/>
      <c r="H27" s="22" t="s">
        <v>489</v>
      </c>
      <c r="I27" s="22" t="s">
        <v>525</v>
      </c>
    </row>
    <row r="28" spans="1:9" ht="39.6" x14ac:dyDescent="0.3">
      <c r="A28" s="22" t="s">
        <v>44</v>
      </c>
      <c r="B28" s="22" t="s">
        <v>521</v>
      </c>
      <c r="C28" s="22" t="s">
        <v>199</v>
      </c>
      <c r="D28" s="22" t="s">
        <v>486</v>
      </c>
      <c r="E28" s="22" t="s">
        <v>487</v>
      </c>
      <c r="F28" s="22" t="s">
        <v>526</v>
      </c>
      <c r="G28" s="22"/>
      <c r="H28" s="22" t="s">
        <v>489</v>
      </c>
      <c r="I28" s="22" t="s">
        <v>499</v>
      </c>
    </row>
    <row r="29" spans="1:9" ht="26.4" x14ac:dyDescent="0.3">
      <c r="A29" s="22" t="s">
        <v>44</v>
      </c>
      <c r="B29" s="22" t="s">
        <v>521</v>
      </c>
      <c r="C29" s="22" t="s">
        <v>228</v>
      </c>
      <c r="D29" s="22" t="s">
        <v>527</v>
      </c>
      <c r="E29" s="22" t="s">
        <v>487</v>
      </c>
      <c r="F29" s="22" t="s">
        <v>528</v>
      </c>
      <c r="G29" s="22"/>
      <c r="H29" s="22" t="s">
        <v>489</v>
      </c>
      <c r="I29" s="22"/>
    </row>
    <row r="30" spans="1:9" x14ac:dyDescent="0.3">
      <c r="A30" s="22" t="s">
        <v>44</v>
      </c>
      <c r="B30" s="22" t="s">
        <v>521</v>
      </c>
      <c r="C30" s="22" t="s">
        <v>201</v>
      </c>
      <c r="D30" s="22" t="s">
        <v>516</v>
      </c>
      <c r="E30" s="22" t="s">
        <v>487</v>
      </c>
      <c r="F30" s="22" t="s">
        <v>529</v>
      </c>
      <c r="G30" s="22"/>
      <c r="H30" s="22" t="s">
        <v>489</v>
      </c>
      <c r="I30" s="22"/>
    </row>
    <row r="31" spans="1:9" x14ac:dyDescent="0.3">
      <c r="A31" s="22" t="s">
        <v>44</v>
      </c>
      <c r="B31" s="22" t="s">
        <v>521</v>
      </c>
      <c r="C31" s="22" t="s">
        <v>229</v>
      </c>
      <c r="D31" s="22" t="s">
        <v>486</v>
      </c>
      <c r="E31" s="22" t="s">
        <v>487</v>
      </c>
      <c r="F31" s="22" t="s">
        <v>530</v>
      </c>
      <c r="G31" s="22" t="s">
        <v>531</v>
      </c>
      <c r="H31" s="22" t="s">
        <v>489</v>
      </c>
      <c r="I31" s="22"/>
    </row>
    <row r="32" spans="1:9" x14ac:dyDescent="0.3">
      <c r="A32" s="22" t="s">
        <v>44</v>
      </c>
      <c r="B32" s="22" t="s">
        <v>521</v>
      </c>
      <c r="C32" s="22" t="s">
        <v>230</v>
      </c>
      <c r="D32" s="22" t="s">
        <v>506</v>
      </c>
      <c r="E32" s="22" t="s">
        <v>487</v>
      </c>
      <c r="F32" s="22" t="s">
        <v>532</v>
      </c>
      <c r="G32" s="22"/>
      <c r="H32" s="22" t="s">
        <v>489</v>
      </c>
      <c r="I32" s="22"/>
    </row>
    <row r="33" spans="1:9" x14ac:dyDescent="0.3">
      <c r="A33" s="22" t="s">
        <v>44</v>
      </c>
      <c r="B33" s="22" t="s">
        <v>521</v>
      </c>
      <c r="C33" s="22" t="s">
        <v>231</v>
      </c>
      <c r="D33" s="22" t="s">
        <v>486</v>
      </c>
      <c r="E33" s="22" t="s">
        <v>487</v>
      </c>
      <c r="F33" s="22" t="s">
        <v>533</v>
      </c>
      <c r="G33" s="22" t="s">
        <v>534</v>
      </c>
      <c r="H33" s="22" t="s">
        <v>489</v>
      </c>
      <c r="I33" s="22"/>
    </row>
    <row r="34" spans="1:9" x14ac:dyDescent="0.3">
      <c r="A34" s="22" t="s">
        <v>44</v>
      </c>
      <c r="B34" s="22" t="s">
        <v>521</v>
      </c>
      <c r="C34" s="22" t="s">
        <v>204</v>
      </c>
      <c r="D34" s="22" t="s">
        <v>506</v>
      </c>
      <c r="E34" s="22" t="s">
        <v>487</v>
      </c>
      <c r="F34" s="22" t="s">
        <v>535</v>
      </c>
      <c r="G34" s="22"/>
      <c r="H34" s="22" t="s">
        <v>489</v>
      </c>
      <c r="I34" s="22"/>
    </row>
    <row r="35" spans="1:9" ht="26.4" x14ac:dyDescent="0.3">
      <c r="A35" s="22" t="s">
        <v>44</v>
      </c>
      <c r="B35" s="22" t="s">
        <v>521</v>
      </c>
      <c r="C35" s="22" t="s">
        <v>232</v>
      </c>
      <c r="D35" s="22" t="s">
        <v>527</v>
      </c>
      <c r="E35" s="22" t="s">
        <v>508</v>
      </c>
      <c r="F35" s="22" t="s">
        <v>536</v>
      </c>
      <c r="G35" s="22"/>
      <c r="H35" s="22" t="s">
        <v>489</v>
      </c>
      <c r="I35" s="22"/>
    </row>
    <row r="36" spans="1:9" x14ac:dyDescent="0.3">
      <c r="A36" s="22" t="s">
        <v>44</v>
      </c>
      <c r="B36" s="22" t="s">
        <v>521</v>
      </c>
      <c r="C36" s="22" t="s">
        <v>233</v>
      </c>
      <c r="D36" s="22" t="s">
        <v>486</v>
      </c>
      <c r="E36" s="22" t="s">
        <v>508</v>
      </c>
      <c r="F36" s="22" t="s">
        <v>537</v>
      </c>
      <c r="G36" s="22"/>
      <c r="H36" s="22" t="s">
        <v>489</v>
      </c>
      <c r="I36" s="22"/>
    </row>
    <row r="37" spans="1:9" x14ac:dyDescent="0.3">
      <c r="A37" s="22" t="s">
        <v>46</v>
      </c>
      <c r="B37" s="22" t="s">
        <v>538</v>
      </c>
      <c r="C37" s="22" t="s">
        <v>284</v>
      </c>
      <c r="D37" s="22" t="s">
        <v>486</v>
      </c>
      <c r="E37" s="22" t="s">
        <v>487</v>
      </c>
      <c r="F37" s="22" t="s">
        <v>539</v>
      </c>
      <c r="G37" s="22"/>
      <c r="H37" s="22" t="s">
        <v>489</v>
      </c>
      <c r="I37" s="22" t="s">
        <v>490</v>
      </c>
    </row>
    <row r="38" spans="1:9" ht="26.4" x14ac:dyDescent="0.3">
      <c r="A38" s="22" t="s">
        <v>46</v>
      </c>
      <c r="B38" s="22" t="s">
        <v>538</v>
      </c>
      <c r="C38" s="22" t="s">
        <v>285</v>
      </c>
      <c r="D38" s="22" t="s">
        <v>527</v>
      </c>
      <c r="E38" s="22" t="s">
        <v>487</v>
      </c>
      <c r="F38" s="22" t="s">
        <v>528</v>
      </c>
      <c r="G38" s="22"/>
      <c r="H38" s="22" t="s">
        <v>489</v>
      </c>
      <c r="I38" s="22"/>
    </row>
    <row r="39" spans="1:9" x14ac:dyDescent="0.3">
      <c r="A39" s="22" t="s">
        <v>46</v>
      </c>
      <c r="B39" s="22" t="s">
        <v>538</v>
      </c>
      <c r="C39" s="22" t="s">
        <v>286</v>
      </c>
      <c r="D39" s="22" t="s">
        <v>486</v>
      </c>
      <c r="E39" s="22" t="s">
        <v>487</v>
      </c>
      <c r="F39" s="22" t="s">
        <v>540</v>
      </c>
      <c r="G39" s="22"/>
      <c r="H39" s="22" t="s">
        <v>489</v>
      </c>
      <c r="I39" s="22"/>
    </row>
    <row r="40" spans="1:9" x14ac:dyDescent="0.3">
      <c r="A40" s="22" t="s">
        <v>46</v>
      </c>
      <c r="B40" s="22" t="s">
        <v>538</v>
      </c>
      <c r="C40" s="22" t="s">
        <v>287</v>
      </c>
      <c r="D40" s="22" t="s">
        <v>486</v>
      </c>
      <c r="E40" s="22" t="s">
        <v>487</v>
      </c>
      <c r="F40" s="22" t="s">
        <v>541</v>
      </c>
      <c r="G40" s="22"/>
      <c r="H40" s="22" t="s">
        <v>489</v>
      </c>
      <c r="I40" s="22"/>
    </row>
    <row r="41" spans="1:9" x14ac:dyDescent="0.3">
      <c r="A41" s="22" t="s">
        <v>46</v>
      </c>
      <c r="B41" s="22" t="s">
        <v>538</v>
      </c>
      <c r="C41" s="22" t="s">
        <v>288</v>
      </c>
      <c r="D41" s="22" t="s">
        <v>486</v>
      </c>
      <c r="E41" s="22" t="s">
        <v>487</v>
      </c>
      <c r="F41" s="22" t="s">
        <v>542</v>
      </c>
      <c r="G41" s="22"/>
      <c r="H41" s="22" t="s">
        <v>489</v>
      </c>
      <c r="I41" s="22"/>
    </row>
    <row r="42" spans="1:9" x14ac:dyDescent="0.3">
      <c r="A42" s="22" t="s">
        <v>46</v>
      </c>
      <c r="B42" s="22" t="s">
        <v>538</v>
      </c>
      <c r="C42" s="22" t="s">
        <v>289</v>
      </c>
      <c r="D42" s="22" t="s">
        <v>506</v>
      </c>
      <c r="E42" s="22" t="s">
        <v>487</v>
      </c>
      <c r="F42" s="22" t="s">
        <v>543</v>
      </c>
      <c r="G42" s="22"/>
      <c r="H42" s="22" t="s">
        <v>489</v>
      </c>
      <c r="I42" s="22"/>
    </row>
    <row r="43" spans="1:9" x14ac:dyDescent="0.3">
      <c r="A43" s="22" t="s">
        <v>46</v>
      </c>
      <c r="B43" s="22" t="s">
        <v>538</v>
      </c>
      <c r="C43" s="22" t="s">
        <v>290</v>
      </c>
      <c r="D43" s="22" t="s">
        <v>506</v>
      </c>
      <c r="E43" s="22" t="s">
        <v>487</v>
      </c>
      <c r="F43" s="22" t="s">
        <v>544</v>
      </c>
      <c r="G43" s="22"/>
      <c r="H43" s="22" t="s">
        <v>489</v>
      </c>
      <c r="I43" s="22"/>
    </row>
    <row r="44" spans="1:9" ht="26.4" x14ac:dyDescent="0.3">
      <c r="A44" s="22" t="s">
        <v>46</v>
      </c>
      <c r="B44" s="22" t="s">
        <v>538</v>
      </c>
      <c r="C44" s="22" t="s">
        <v>92</v>
      </c>
      <c r="D44" s="22" t="s">
        <v>510</v>
      </c>
      <c r="E44" s="22" t="s">
        <v>508</v>
      </c>
      <c r="F44" s="22" t="s">
        <v>545</v>
      </c>
      <c r="G44" s="22"/>
      <c r="H44" s="22" t="s">
        <v>489</v>
      </c>
      <c r="I44" s="22"/>
    </row>
    <row r="45" spans="1:9" x14ac:dyDescent="0.3">
      <c r="A45" s="22" t="s">
        <v>46</v>
      </c>
      <c r="B45" s="22" t="s">
        <v>538</v>
      </c>
      <c r="C45" s="22" t="s">
        <v>291</v>
      </c>
      <c r="D45" s="22" t="s">
        <v>486</v>
      </c>
      <c r="E45" s="22" t="s">
        <v>487</v>
      </c>
      <c r="F45" s="22" t="s">
        <v>546</v>
      </c>
      <c r="G45" s="22"/>
      <c r="H45" s="22" t="s">
        <v>489</v>
      </c>
      <c r="I45" s="22"/>
    </row>
    <row r="46" spans="1:9" x14ac:dyDescent="0.3">
      <c r="A46" s="22" t="s">
        <v>48</v>
      </c>
      <c r="B46" s="22" t="s">
        <v>547</v>
      </c>
      <c r="C46" s="22" t="s">
        <v>328</v>
      </c>
      <c r="D46" s="22" t="s">
        <v>486</v>
      </c>
      <c r="E46" s="22" t="s">
        <v>487</v>
      </c>
      <c r="F46" s="22" t="s">
        <v>548</v>
      </c>
      <c r="G46" s="22"/>
      <c r="H46" s="22" t="s">
        <v>489</v>
      </c>
      <c r="I46" s="22" t="s">
        <v>490</v>
      </c>
    </row>
    <row r="47" spans="1:9" x14ac:dyDescent="0.3">
      <c r="A47" s="22" t="s">
        <v>48</v>
      </c>
      <c r="B47" s="22" t="s">
        <v>547</v>
      </c>
      <c r="C47" s="22" t="s">
        <v>329</v>
      </c>
      <c r="D47" s="22" t="s">
        <v>486</v>
      </c>
      <c r="E47" s="22" t="s">
        <v>487</v>
      </c>
      <c r="F47" s="22" t="s">
        <v>549</v>
      </c>
      <c r="G47" s="22"/>
      <c r="H47" s="22" t="s">
        <v>489</v>
      </c>
      <c r="I47" s="22"/>
    </row>
    <row r="48" spans="1:9" x14ac:dyDescent="0.3">
      <c r="A48" s="22" t="s">
        <v>48</v>
      </c>
      <c r="B48" s="22" t="s">
        <v>547</v>
      </c>
      <c r="C48" s="22" t="s">
        <v>330</v>
      </c>
      <c r="D48" s="22" t="s">
        <v>486</v>
      </c>
      <c r="E48" s="22" t="s">
        <v>487</v>
      </c>
      <c r="F48" s="22" t="s">
        <v>550</v>
      </c>
      <c r="G48" s="22"/>
      <c r="H48" s="22" t="s">
        <v>489</v>
      </c>
      <c r="I48" s="22"/>
    </row>
    <row r="49" spans="1:9" x14ac:dyDescent="0.3">
      <c r="A49" s="22" t="s">
        <v>48</v>
      </c>
      <c r="B49" s="22" t="s">
        <v>547</v>
      </c>
      <c r="C49" s="22" t="s">
        <v>331</v>
      </c>
      <c r="D49" s="22" t="s">
        <v>486</v>
      </c>
      <c r="E49" s="22" t="s">
        <v>487</v>
      </c>
      <c r="F49" s="22" t="s">
        <v>551</v>
      </c>
      <c r="G49" s="22"/>
      <c r="H49" s="22" t="s">
        <v>489</v>
      </c>
      <c r="I49" s="22"/>
    </row>
    <row r="50" spans="1:9" x14ac:dyDescent="0.3">
      <c r="A50" s="22" t="s">
        <v>48</v>
      </c>
      <c r="B50" s="22" t="s">
        <v>547</v>
      </c>
      <c r="C50" s="22" t="s">
        <v>332</v>
      </c>
      <c r="D50" s="22" t="s">
        <v>486</v>
      </c>
      <c r="E50" s="22" t="s">
        <v>487</v>
      </c>
      <c r="F50" s="22" t="s">
        <v>552</v>
      </c>
      <c r="G50" s="22"/>
      <c r="H50" s="22" t="s">
        <v>489</v>
      </c>
      <c r="I50" s="22"/>
    </row>
    <row r="51" spans="1:9" x14ac:dyDescent="0.3">
      <c r="A51" s="22" t="s">
        <v>48</v>
      </c>
      <c r="B51" s="22" t="s">
        <v>547</v>
      </c>
      <c r="C51" s="22" t="s">
        <v>333</v>
      </c>
      <c r="D51" s="22" t="s">
        <v>486</v>
      </c>
      <c r="E51" s="22" t="s">
        <v>487</v>
      </c>
      <c r="F51" s="22" t="s">
        <v>553</v>
      </c>
      <c r="G51" s="22"/>
      <c r="H51" s="22" t="s">
        <v>489</v>
      </c>
      <c r="I51" s="22"/>
    </row>
    <row r="52" spans="1:9" x14ac:dyDescent="0.3">
      <c r="A52" s="22" t="s">
        <v>48</v>
      </c>
      <c r="B52" s="22" t="s">
        <v>547</v>
      </c>
      <c r="C52" s="22" t="s">
        <v>334</v>
      </c>
      <c r="D52" s="22" t="s">
        <v>486</v>
      </c>
      <c r="E52" s="22" t="s">
        <v>487</v>
      </c>
      <c r="F52" s="22" t="s">
        <v>554</v>
      </c>
      <c r="G52" s="22"/>
      <c r="H52" s="22" t="s">
        <v>489</v>
      </c>
      <c r="I52" s="22"/>
    </row>
    <row r="53" spans="1:9" x14ac:dyDescent="0.3">
      <c r="A53" s="22" t="s">
        <v>48</v>
      </c>
      <c r="B53" s="22" t="s">
        <v>547</v>
      </c>
      <c r="C53" s="22" t="s">
        <v>335</v>
      </c>
      <c r="D53" s="22" t="s">
        <v>486</v>
      </c>
      <c r="E53" s="22" t="s">
        <v>487</v>
      </c>
      <c r="F53" s="22" t="s">
        <v>555</v>
      </c>
      <c r="G53" s="22"/>
      <c r="H53" s="22" t="s">
        <v>489</v>
      </c>
      <c r="I53" s="22"/>
    </row>
    <row r="54" spans="1:9" x14ac:dyDescent="0.3">
      <c r="A54" s="22" t="s">
        <v>48</v>
      </c>
      <c r="B54" s="22" t="s">
        <v>547</v>
      </c>
      <c r="C54" s="22" t="s">
        <v>336</v>
      </c>
      <c r="D54" s="22" t="s">
        <v>486</v>
      </c>
      <c r="E54" s="22" t="s">
        <v>487</v>
      </c>
      <c r="F54" s="22" t="s">
        <v>556</v>
      </c>
      <c r="G54" s="22" t="s">
        <v>492</v>
      </c>
      <c r="H54" s="22" t="s">
        <v>489</v>
      </c>
      <c r="I54" s="22"/>
    </row>
    <row r="55" spans="1:9" x14ac:dyDescent="0.3">
      <c r="A55" s="22" t="s">
        <v>50</v>
      </c>
      <c r="B55" s="22" t="s">
        <v>557</v>
      </c>
      <c r="C55" s="22" t="s">
        <v>395</v>
      </c>
      <c r="D55" s="22" t="s">
        <v>486</v>
      </c>
      <c r="E55" s="22" t="s">
        <v>487</v>
      </c>
      <c r="F55" s="22" t="s">
        <v>558</v>
      </c>
      <c r="G55" s="22"/>
      <c r="H55" s="22" t="s">
        <v>489</v>
      </c>
      <c r="I55" s="22" t="s">
        <v>490</v>
      </c>
    </row>
    <row r="56" spans="1:9" ht="26.4" x14ac:dyDescent="0.3">
      <c r="A56" s="22" t="s">
        <v>50</v>
      </c>
      <c r="B56" s="22" t="s">
        <v>557</v>
      </c>
      <c r="C56" s="22" t="s">
        <v>285</v>
      </c>
      <c r="D56" s="22" t="s">
        <v>527</v>
      </c>
      <c r="E56" s="22" t="s">
        <v>487</v>
      </c>
      <c r="F56" s="22" t="s">
        <v>559</v>
      </c>
      <c r="G56" s="22"/>
      <c r="H56" s="22" t="s">
        <v>489</v>
      </c>
      <c r="I56" s="22"/>
    </row>
    <row r="57" spans="1:9" x14ac:dyDescent="0.3">
      <c r="A57" s="22" t="s">
        <v>50</v>
      </c>
      <c r="B57" s="22" t="s">
        <v>557</v>
      </c>
      <c r="C57" s="22" t="s">
        <v>396</v>
      </c>
      <c r="D57" s="22" t="s">
        <v>486</v>
      </c>
      <c r="E57" s="22" t="s">
        <v>487</v>
      </c>
      <c r="F57" s="22" t="s">
        <v>560</v>
      </c>
      <c r="G57" s="22"/>
      <c r="H57" s="22" t="s">
        <v>489</v>
      </c>
      <c r="I57" s="22"/>
    </row>
    <row r="58" spans="1:9" x14ac:dyDescent="0.3">
      <c r="A58" s="22" t="s">
        <v>50</v>
      </c>
      <c r="B58" s="22" t="s">
        <v>557</v>
      </c>
      <c r="C58" s="22" t="s">
        <v>79</v>
      </c>
      <c r="D58" s="22" t="s">
        <v>486</v>
      </c>
      <c r="E58" s="22" t="s">
        <v>487</v>
      </c>
      <c r="F58" s="22" t="s">
        <v>561</v>
      </c>
      <c r="G58" s="22"/>
      <c r="H58" s="22" t="s">
        <v>489</v>
      </c>
      <c r="I58" s="22"/>
    </row>
    <row r="59" spans="1:9" x14ac:dyDescent="0.3">
      <c r="A59" s="22" t="s">
        <v>50</v>
      </c>
      <c r="B59" s="22" t="s">
        <v>557</v>
      </c>
      <c r="C59" s="22" t="s">
        <v>397</v>
      </c>
      <c r="D59" s="22" t="s">
        <v>486</v>
      </c>
      <c r="E59" s="22" t="s">
        <v>487</v>
      </c>
      <c r="F59" s="22" t="s">
        <v>562</v>
      </c>
      <c r="G59" s="22"/>
      <c r="H59" s="22" t="s">
        <v>489</v>
      </c>
      <c r="I59" s="22"/>
    </row>
    <row r="60" spans="1:9" x14ac:dyDescent="0.3">
      <c r="A60" s="22" t="s">
        <v>50</v>
      </c>
      <c r="B60" s="22" t="s">
        <v>557</v>
      </c>
      <c r="C60" s="22" t="s">
        <v>14</v>
      </c>
      <c r="D60" s="22" t="s">
        <v>486</v>
      </c>
      <c r="E60" s="22" t="s">
        <v>487</v>
      </c>
      <c r="F60" s="22" t="s">
        <v>563</v>
      </c>
      <c r="G60" s="22" t="s">
        <v>564</v>
      </c>
      <c r="H60" s="22" t="s">
        <v>489</v>
      </c>
      <c r="I60" s="22"/>
    </row>
    <row r="61" spans="1:9" x14ac:dyDescent="0.3">
      <c r="A61" s="22" t="s">
        <v>50</v>
      </c>
      <c r="B61" s="22" t="s">
        <v>557</v>
      </c>
      <c r="C61" s="22" t="s">
        <v>398</v>
      </c>
      <c r="D61" s="22" t="s">
        <v>486</v>
      </c>
      <c r="E61" s="22" t="s">
        <v>487</v>
      </c>
      <c r="F61" s="22" t="s">
        <v>565</v>
      </c>
      <c r="G61" s="22"/>
      <c r="H61" s="22" t="s">
        <v>489</v>
      </c>
      <c r="I61" s="22"/>
    </row>
    <row r="62" spans="1:9" x14ac:dyDescent="0.3">
      <c r="A62" s="22" t="s">
        <v>50</v>
      </c>
      <c r="B62" s="22" t="s">
        <v>557</v>
      </c>
      <c r="C62" s="22" t="s">
        <v>399</v>
      </c>
      <c r="D62" s="22" t="s">
        <v>506</v>
      </c>
      <c r="E62" s="22" t="s">
        <v>487</v>
      </c>
      <c r="F62" s="22" t="s">
        <v>566</v>
      </c>
      <c r="G62" s="22"/>
      <c r="H62" s="22" t="s">
        <v>567</v>
      </c>
      <c r="I62" s="22"/>
    </row>
    <row r="63" spans="1:9" x14ac:dyDescent="0.3">
      <c r="A63" s="22" t="s">
        <v>50</v>
      </c>
      <c r="B63" s="22" t="s">
        <v>557</v>
      </c>
      <c r="C63" s="22" t="s">
        <v>400</v>
      </c>
      <c r="D63" s="22" t="s">
        <v>516</v>
      </c>
      <c r="E63" s="22" t="s">
        <v>487</v>
      </c>
      <c r="F63" s="22" t="s">
        <v>568</v>
      </c>
      <c r="G63" s="22"/>
      <c r="H63" s="22" t="s">
        <v>489</v>
      </c>
      <c r="I63" s="22"/>
    </row>
    <row r="64" spans="1:9" x14ac:dyDescent="0.3">
      <c r="A64" s="22" t="s">
        <v>50</v>
      </c>
      <c r="B64" s="22" t="s">
        <v>557</v>
      </c>
      <c r="C64" s="22" t="s">
        <v>401</v>
      </c>
      <c r="D64" s="22" t="s">
        <v>486</v>
      </c>
      <c r="E64" s="22" t="s">
        <v>508</v>
      </c>
      <c r="F64" s="22" t="s">
        <v>569</v>
      </c>
      <c r="G64" s="22"/>
      <c r="H64" s="22" t="s">
        <v>489</v>
      </c>
      <c r="I64" s="22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9</vt:i4>
      </vt:variant>
      <vt:variant>
        <vt:lpstr>Intervalos com Nome</vt:lpstr>
      </vt:variant>
      <vt:variant>
        <vt:i4>12</vt:i4>
      </vt:variant>
    </vt:vector>
  </HeadingPairs>
  <TitlesOfParts>
    <vt:vector size="21" baseType="lpstr">
      <vt:lpstr>00_LEIA-ME</vt:lpstr>
      <vt:lpstr>Competencias</vt:lpstr>
      <vt:lpstr>Formacoes</vt:lpstr>
      <vt:lpstr>Registo_Formacao</vt:lpstr>
      <vt:lpstr>Consciencializacao</vt:lpstr>
      <vt:lpstr>Comunicacao</vt:lpstr>
      <vt:lpstr>Sugestoes</vt:lpstr>
      <vt:lpstr>Listas</vt:lpstr>
      <vt:lpstr>Dicionario_Dados</vt:lpstr>
      <vt:lpstr>DataRef</vt:lpstr>
      <vt:lpstr>lst_DataReferencia</vt:lpstr>
      <vt:lpstr>lst_EstadoSug</vt:lpstr>
      <vt:lpstr>lst_Funcao</vt:lpstr>
      <vt:lpstr>lst_Nivel</vt:lpstr>
      <vt:lpstr>lst_Resultado</vt:lpstr>
      <vt:lpstr>Competencias!Títulos_de_Impressão</vt:lpstr>
      <vt:lpstr>Comunicacao!Títulos_de_Impressão</vt:lpstr>
      <vt:lpstr>Consciencializacao!Títulos_de_Impressão</vt:lpstr>
      <vt:lpstr>Formacoes!Títulos_de_Impressão</vt:lpstr>
      <vt:lpstr>Registo_Formacao!Títulos_de_Impressão</vt:lpstr>
      <vt:lpstr>Sugestoes!Títulos_de_Impressão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RG-SGE-07 Competência, Consciencialização, Comunicação e Sugestões do SGE</dc:title>
  <dc:subject>SGE NP EN ISO 50001:2019 (ISO 50001:2018 + Amd 1:2024) — Plasticom</dc:subject>
  <dc:creator>Gestor(a) de Energia</dc:creator>
  <cp:lastModifiedBy>Aline Meireles</cp:lastModifiedBy>
  <dcterms:created xsi:type="dcterms:W3CDTF">2026-09-30T16:50:21Z</dcterms:created>
  <dcterms:modified xsi:type="dcterms:W3CDTF">2026-09-30T16:50:25Z</dcterms:modified>
</cp:coreProperties>
</file>