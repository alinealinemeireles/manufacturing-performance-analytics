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ables/table8.xml" ContentType="application/vnd.openxmlformats-officedocument.spreadsheetml.table+xml"/>
  <Override PartName="/xl/comments6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47374012-9D11-45BB-98CD-E5D7F3FF316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rametros" sheetId="2" r:id="rId2"/>
    <sheet name="Projetos" sheetId="3" r:id="rId3"/>
    <sheet name="Criterios_Aquisicao" sheetId="4" r:id="rId4"/>
    <sheet name="Aquisicoes_2026" sheetId="5" r:id="rId5"/>
    <sheet name="LCC" sheetId="6" r:id="rId6"/>
    <sheet name="Compra_Energia" sheetId="7" r:id="rId7"/>
    <sheet name="Precos" sheetId="8" r:id="rId8"/>
    <sheet name="Faturas" sheetId="9" r:id="rId9"/>
    <sheet name="Listas" sheetId="10" r:id="rId10"/>
    <sheet name="Dicionario_Dados" sheetId="11" r:id="rId11"/>
  </sheets>
  <definedNames>
    <definedName name="DataRef">Listas!$A$3</definedName>
    <definedName name="escalada_energia">Parametros!$B$7</definedName>
    <definedName name="lst_DataReferencia">Listas!$A$3:$A$3</definedName>
    <definedName name="lst_Funcao">Listas!$B$3:$B$24</definedName>
    <definedName name="lst_SimNaoNA">Listas!$C$3:$C$5</definedName>
    <definedName name="preco_medio">Parametros!$B$5</definedName>
    <definedName name="preco_reativa">Parametros!$B$8</definedName>
    <definedName name="taxa_desconto">Parametros!$B$6</definedName>
    <definedName name="_xlnm.Print_Titles" localSheetId="4">Aquisicoes_2026!$4:$4</definedName>
    <definedName name="_xlnm.Print_Titles" localSheetId="6">Compra_Energia!$4:$4</definedName>
    <definedName name="_xlnm.Print_Titles" localSheetId="3">Criterios_Aquisicao!$4:$4</definedName>
    <definedName name="_xlnm.Print_Titles" localSheetId="8">Faturas!$4:$4</definedName>
    <definedName name="_xlnm.Print_Titles" localSheetId="5">LCC!$4:$4</definedName>
    <definedName name="_xlnm.Print_Titles" localSheetId="1">Parametros!$4:$4</definedName>
    <definedName name="_xlnm.Print_Titles" localSheetId="7">Precos!$4:$4</definedName>
    <definedName name="_xlnm.Print_Titles" localSheetId="2">Projetos!$4:$4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9" l="1"/>
  <c r="U26" i="9" s="1"/>
  <c r="P26" i="9"/>
  <c r="O26" i="9"/>
  <c r="N26" i="9"/>
  <c r="Q26" i="9" s="1"/>
  <c r="R26" i="9" s="1"/>
  <c r="L26" i="9"/>
  <c r="M26" i="9" s="1"/>
  <c r="T25" i="9"/>
  <c r="U25" i="9" s="1"/>
  <c r="P25" i="9"/>
  <c r="O25" i="9"/>
  <c r="N25" i="9"/>
  <c r="L25" i="9"/>
  <c r="S25" i="9" s="1"/>
  <c r="U24" i="9"/>
  <c r="T24" i="9"/>
  <c r="P24" i="9"/>
  <c r="Q24" i="9" s="1"/>
  <c r="R24" i="9" s="1"/>
  <c r="O24" i="9"/>
  <c r="N24" i="9"/>
  <c r="L24" i="9"/>
  <c r="S24" i="9" s="1"/>
  <c r="U23" i="9"/>
  <c r="T23" i="9"/>
  <c r="P23" i="9"/>
  <c r="O23" i="9"/>
  <c r="N23" i="9"/>
  <c r="L23" i="9"/>
  <c r="S23" i="9" s="1"/>
  <c r="U22" i="9"/>
  <c r="T22" i="9"/>
  <c r="P22" i="9"/>
  <c r="Q22" i="9" s="1"/>
  <c r="R22" i="9" s="1"/>
  <c r="O22" i="9"/>
  <c r="N22" i="9"/>
  <c r="L22" i="9"/>
  <c r="S22" i="9" s="1"/>
  <c r="U21" i="9"/>
  <c r="T21" i="9"/>
  <c r="P21" i="9"/>
  <c r="O21" i="9"/>
  <c r="N21" i="9"/>
  <c r="L21" i="9"/>
  <c r="S21" i="9" s="1"/>
  <c r="U20" i="9"/>
  <c r="T20" i="9"/>
  <c r="P20" i="9"/>
  <c r="Q20" i="9" s="1"/>
  <c r="R20" i="9" s="1"/>
  <c r="O20" i="9"/>
  <c r="N20" i="9"/>
  <c r="L20" i="9"/>
  <c r="S20" i="9" s="1"/>
  <c r="T19" i="9"/>
  <c r="U19" i="9" s="1"/>
  <c r="P19" i="9"/>
  <c r="O19" i="9"/>
  <c r="N19" i="9"/>
  <c r="L19" i="9"/>
  <c r="M19" i="9" s="1"/>
  <c r="T18" i="9"/>
  <c r="U18" i="9" s="1"/>
  <c r="P18" i="9"/>
  <c r="O18" i="9"/>
  <c r="N18" i="9"/>
  <c r="Q18" i="9" s="1"/>
  <c r="R18" i="9" s="1"/>
  <c r="M18" i="9"/>
  <c r="L18" i="9"/>
  <c r="S18" i="9" s="1"/>
  <c r="T17" i="9"/>
  <c r="U17" i="9" s="1"/>
  <c r="P17" i="9"/>
  <c r="O17" i="9"/>
  <c r="N17" i="9"/>
  <c r="Q17" i="9" s="1"/>
  <c r="L17" i="9"/>
  <c r="M17" i="9" s="1"/>
  <c r="U16" i="9"/>
  <c r="T16" i="9"/>
  <c r="P16" i="9"/>
  <c r="Q16" i="9" s="1"/>
  <c r="R16" i="9" s="1"/>
  <c r="O16" i="9"/>
  <c r="N16" i="9"/>
  <c r="L16" i="9"/>
  <c r="S16" i="9" s="1"/>
  <c r="U15" i="9"/>
  <c r="T15" i="9"/>
  <c r="P15" i="9"/>
  <c r="O15" i="9"/>
  <c r="N15" i="9"/>
  <c r="L15" i="9"/>
  <c r="S15" i="9" s="1"/>
  <c r="T14" i="9"/>
  <c r="U14" i="9" s="1"/>
  <c r="P14" i="9"/>
  <c r="O14" i="9"/>
  <c r="N14" i="9"/>
  <c r="L14" i="9"/>
  <c r="M14" i="9" s="1"/>
  <c r="T13" i="9"/>
  <c r="U13" i="9" s="1"/>
  <c r="S13" i="9"/>
  <c r="P13" i="9"/>
  <c r="O13" i="9"/>
  <c r="N13" i="9"/>
  <c r="Q13" i="9" s="1"/>
  <c r="R13" i="9" s="1"/>
  <c r="M13" i="9"/>
  <c r="L13" i="9"/>
  <c r="T12" i="9"/>
  <c r="U12" i="9" s="1"/>
  <c r="P12" i="9"/>
  <c r="O12" i="9"/>
  <c r="N12" i="9"/>
  <c r="L12" i="9"/>
  <c r="M12" i="9" s="1"/>
  <c r="T11" i="9"/>
  <c r="U11" i="9" s="1"/>
  <c r="P11" i="9"/>
  <c r="O11" i="9"/>
  <c r="N11" i="9"/>
  <c r="Q11" i="9" s="1"/>
  <c r="R11" i="9" s="1"/>
  <c r="M11" i="9"/>
  <c r="L11" i="9"/>
  <c r="S11" i="9" s="1"/>
  <c r="T10" i="9"/>
  <c r="U10" i="9" s="1"/>
  <c r="P10" i="9"/>
  <c r="Q10" i="9" s="1"/>
  <c r="R10" i="9" s="1"/>
  <c r="O10" i="9"/>
  <c r="N10" i="9"/>
  <c r="L10" i="9"/>
  <c r="M10" i="9" s="1"/>
  <c r="U9" i="9"/>
  <c r="T9" i="9"/>
  <c r="P9" i="9"/>
  <c r="O9" i="9"/>
  <c r="N9" i="9"/>
  <c r="L9" i="9"/>
  <c r="S9" i="9" s="1"/>
  <c r="T8" i="9"/>
  <c r="U8" i="9" s="1"/>
  <c r="P8" i="9"/>
  <c r="O8" i="9"/>
  <c r="N8" i="9"/>
  <c r="L8" i="9"/>
  <c r="M8" i="9" s="1"/>
  <c r="U7" i="9"/>
  <c r="T7" i="9"/>
  <c r="P7" i="9"/>
  <c r="O7" i="9"/>
  <c r="N7" i="9"/>
  <c r="L7" i="9"/>
  <c r="S7" i="9" s="1"/>
  <c r="T6" i="9"/>
  <c r="U6" i="9" s="1"/>
  <c r="P6" i="9"/>
  <c r="O6" i="9"/>
  <c r="N6" i="9"/>
  <c r="L6" i="9"/>
  <c r="M6" i="9" s="1"/>
  <c r="T5" i="9"/>
  <c r="U5" i="9" s="1"/>
  <c r="S5" i="9"/>
  <c r="P5" i="9"/>
  <c r="O5" i="9"/>
  <c r="N5" i="9"/>
  <c r="Q5" i="9" s="1"/>
  <c r="R5" i="9" s="1"/>
  <c r="M5" i="9"/>
  <c r="L5" i="9"/>
  <c r="J7" i="6"/>
  <c r="H7" i="6"/>
  <c r="I7" i="6" s="1"/>
  <c r="K7" i="6" s="1"/>
  <c r="L7" i="6" s="1"/>
  <c r="J6" i="6"/>
  <c r="H6" i="6"/>
  <c r="I6" i="6" s="1"/>
  <c r="J5" i="6"/>
  <c r="H5" i="6"/>
  <c r="I5" i="6" s="1"/>
  <c r="K5" i="6" s="1"/>
  <c r="L5" i="6" s="1"/>
  <c r="J13" i="5"/>
  <c r="J12" i="5"/>
  <c r="J11" i="5"/>
  <c r="J10" i="5"/>
  <c r="J9" i="5"/>
  <c r="J8" i="5"/>
  <c r="J7" i="5"/>
  <c r="J6" i="5"/>
  <c r="J5" i="5"/>
  <c r="L9" i="3"/>
  <c r="L8" i="3"/>
  <c r="L7" i="3"/>
  <c r="L6" i="3"/>
  <c r="L5" i="3"/>
  <c r="M5" i="6" l="1"/>
  <c r="K6" i="6"/>
  <c r="L6" i="6" s="1"/>
  <c r="S17" i="9"/>
  <c r="M7" i="6"/>
  <c r="Q12" i="9"/>
  <c r="R12" i="9" s="1"/>
  <c r="M15" i="9"/>
  <c r="M16" i="9"/>
  <c r="M20" i="9"/>
  <c r="M21" i="9"/>
  <c r="M22" i="9"/>
  <c r="M23" i="9"/>
  <c r="M24" i="9"/>
  <c r="M25" i="9"/>
  <c r="Q6" i="9"/>
  <c r="R6" i="9" s="1"/>
  <c r="Q7" i="9"/>
  <c r="R7" i="9" s="1"/>
  <c r="M9" i="9"/>
  <c r="Q14" i="9"/>
  <c r="R14" i="9" s="1"/>
  <c r="Q15" i="9"/>
  <c r="R15" i="9" s="1"/>
  <c r="S19" i="9"/>
  <c r="Q21" i="9"/>
  <c r="R21" i="9" s="1"/>
  <c r="Q23" i="9"/>
  <c r="R23" i="9" s="1"/>
  <c r="Q25" i="9"/>
  <c r="R25" i="9" s="1"/>
  <c r="M7" i="9"/>
  <c r="R17" i="9"/>
  <c r="Q8" i="9"/>
  <c r="R8" i="9" s="1"/>
  <c r="Q9" i="9"/>
  <c r="R9" i="9" s="1"/>
  <c r="Q19" i="9"/>
  <c r="R19" i="9" s="1"/>
  <c r="M6" i="6"/>
  <c r="S6" i="9"/>
  <c r="S8" i="9"/>
  <c r="S10" i="9"/>
  <c r="S12" i="9"/>
  <c r="S14" i="9"/>
  <c r="S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[Só SGE] Origem.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Novo / modificado / renovado.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Pode ter impacto significativo no desempenho energético ao longo da vida?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Oportunidades de melhoria do desempenho energético consideradas (8.2).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Controlo operacional considerado (8.2).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Resultado da avaliação do desempenho energético.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Resultados incorporados na especificação, projeto e compra?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Evidência (reter).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Alteração no RG-SGA-18.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Cumpre 8.2?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Aquisição.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 da consulta.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Produto / serviço.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Critério aplicável.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Fornecedores informados de que o desempenho energético é critério (8.3)?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Critério energético aplicado na avaliação?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LCC realizado (quando obrigatório)?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Evidência / nota.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Cumpre 8.3?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Alternativa.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Alternativa avaliada.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Investimento inicial.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Consumo anual previsto.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Manutenção anual.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Vida útil considerada.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Base da estimativa.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Custo da energia no 1.º ano.
[calculado]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Valor atual da energia (com escalada).
[calculado]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Valor atual da manutenção.
[calculado]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Custo do ciclo de vida (valor atual).
[calculado]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Custo anual equivalente (compara vidas diferentes).
[calculado]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Menor custo anual equivalente.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Ano.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Preço Ponta (€/kWh).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Preço Cheia (€/kWh).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Preço Vazio (€/kWh).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Preço Super_Vazio (€/kWh).</t>
        </r>
      </text>
    </comment>
    <comment ref="F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Preço Pot_Ponta (€/kW.dia).</t>
        </r>
      </text>
    </comment>
    <comment ref="G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Preço Pot_Contratada (€/kW.dia).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Fatura.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C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kWh em ponta.</t>
        </r>
      </text>
    </comment>
    <comment ref="D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kWh em cheia.</t>
        </r>
      </text>
    </comment>
    <comment ref="E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kWh em vazio normal.</t>
        </r>
      </text>
    </comment>
    <comment ref="F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kWh em super vazio.</t>
        </r>
      </text>
    </comment>
    <comment ref="G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Potência média em horas de ponta faturada.</t>
        </r>
      </text>
    </comment>
    <comment ref="H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Máxima potência tomada (15 min).</t>
        </r>
      </text>
    </comment>
    <comment ref="I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Potência contratada.</t>
        </r>
      </text>
    </comment>
    <comment ref="J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Energia reativa faturada.</t>
        </r>
      </text>
    </comment>
    <comment ref="K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kWh da base ambiental (fonte única) — verificação.</t>
        </r>
      </text>
    </comment>
    <comment ref="L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Σ períodos.
[calculado]</t>
        </r>
      </text>
    </comment>
    <comment ref="M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Σ períodos = RG-SGA-13?
[calculado]</t>
        </r>
      </text>
    </comment>
    <comment ref="N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Energia + redes.
[calculado]</t>
        </r>
      </text>
    </comment>
    <comment ref="O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Potência.
[calculado]</t>
        </r>
      </text>
    </comment>
    <comment ref="P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Energia reativa.
[calculado]</t>
        </r>
      </text>
    </comment>
    <comment ref="Q4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Total sem IVA.
[calculado]</t>
        </r>
      </text>
    </comment>
    <comment ref="R4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Preço médio total.
[calculado]</t>
        </r>
      </text>
    </comment>
    <comment ref="S4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Quota de ponta.
[calculado]</t>
        </r>
      </text>
    </comment>
    <comment ref="T4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Tomada ÷ contratada.
[calculado]</t>
        </r>
      </text>
    </comment>
    <comment ref="U4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&gt; 95% crítico (RE-03).
[calculado]</t>
        </r>
      </text>
    </comment>
  </commentList>
</comments>
</file>

<file path=xl/sharedStrings.xml><?xml version="1.0" encoding="utf-8"?>
<sst xmlns="http://schemas.openxmlformats.org/spreadsheetml/2006/main" count="970" uniqueCount="451">
  <si>
    <t>RG-SGE-09 — Projeto, Aquisições, Custo do Ciclo de Vida e Compra de Energia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</si>
  <si>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</si>
  <si>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</si>
  <si>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</si>
  <si>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RG-SGE-09</t>
  </si>
  <si>
    <t>Título</t>
  </si>
  <si>
    <t>Projeto, Aquisições, Custo do Ciclo de Vida e Compra de Energia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</si>
  <si>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</si>
  <si>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</si>
  <si>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</si>
  <si>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</si>
  <si>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</si>
  <si>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</si>
  <si>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</si>
  <si>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</si>
  <si>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</si>
  <si>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</si>
  <si>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</si>
  <si>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</si>
  <si>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</si>
  <si>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</si>
  <si>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</si>
  <si>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Registo de projetos com a avaliação energética (8.2), critérios de aquisição por categoria, registo das aquisições de 2026 com o cumprimento de 8.3, LCC calculado (três alternativas para a IM-002), especificação da compra de energia e faturas mensais simuladas com custo, preço médio e utilização da potência.</t>
  </si>
  <si>
    <t>Utilização / atividades</t>
  </si>
  <si>
    <t>Considerar oportunidades de melhoria do desempenho energético e o controlo operacional nos projetos; estabelecer critérios de avaliação do desempenho energético ao longo da vida útil nas aquisições; informar os fornecedores; especificar a compra de energia; analisar faturas, tarifas e potência.</t>
  </si>
  <si>
    <t>Requisitos ISO 50001:2018</t>
  </si>
  <si>
    <t>8.2 (projeto de instalações, equipamentos, sistemas e processos novos, modificados e renovados; resultados incorporados na especificação — reter); 8.3 (critérios ao longo da vida útil; informar os fornecedores; especificações a) do desempenho energético dos equipamentos e serviços e b) da compra de energia); 5.2 f), g).</t>
  </si>
  <si>
    <t>NORMAS DE ORIENTAÇÃO E REFERÊNCIAS APLICADAS (orientação — não são requisitos auditáveis da ISO 50001)</t>
  </si>
  <si>
    <t>EN 17463:2021 (VALERI)</t>
  </si>
  <si>
    <t>Avaliação de investimentos em energia pelo valor atual líquido e pelo custo do ciclo de vida.</t>
  </si>
  <si>
    <t>ISO 50004:2020 §8.2–8.3</t>
  </si>
  <si>
    <t>Critérios de projeto e de compra com desempenho energético.</t>
  </si>
  <si>
    <t>EUROMAP 60.1 / 60.2</t>
  </si>
  <si>
    <t>Declaração do consumo específico de injetoras e máquinas de sopro.</t>
  </si>
  <si>
    <t>ISO 1217 (anexo E) e CAGI</t>
  </si>
  <si>
    <t>Potência específica de compressores.</t>
  </si>
  <si>
    <t>Kent/BPF</t>
  </si>
  <si>
    <t>Máquinas modernas ≥ 20% mais eficientes; totalmente elétricas até 60% menos que hidráulicas de 1996.</t>
  </si>
  <si>
    <t>REQUISITOS LEGAIS E OUTROS REQUISITOS APLICADOS (4.2, 9.1.2 — lista completa no RG-SGE-11)</t>
  </si>
  <si>
    <t>Reg. (UE) 2019/1781 (conceção ecológica de motores e variadores)</t>
  </si>
  <si>
    <t>Classe mínima IE3 (0,75–1 000 kW) e IE4 (75–200 kW) desde 07/2023; VSD IE2.</t>
  </si>
  <si>
    <t>Reg. (UE) 2016/2281 (chillers — SEPR)</t>
  </si>
  <si>
    <t>Eficiência mínima de chillers de processo.</t>
  </si>
  <si>
    <t>DL 15/2022 alterado pelo DL 130/2026 (Sistema Elétrico Nacional; autoconsumo)</t>
  </si>
  <si>
    <t>Licenciamento e regras da UPAC (PRJ-E-02); em vigor desde 27/08/2026.</t>
  </si>
  <si>
    <t>Regulamento Tarifário e de Relações Comerciais (ERSE)</t>
  </si>
  <si>
    <t>Estrutura das faturas de MT: períodos horários, potência em horas de ponta, potência contratada, energia reativa.</t>
  </si>
  <si>
    <t>ESTRUTURA DO FICHEIRO</t>
  </si>
  <si>
    <t>Parametros</t>
  </si>
  <si>
    <t>Parâmetros financeiros.</t>
  </si>
  <si>
    <t>Projetos</t>
  </si>
  <si>
    <t>Atividades de projeto relativas ao desempenho energético (8.2 — reter).</t>
  </si>
  <si>
    <t>Criterios_Aquisicao</t>
  </si>
  <si>
    <t>Critérios de avaliação do desempenho energético nas aquisições (8.3).</t>
  </si>
  <si>
    <t>Aquisicoes_2026</t>
  </si>
  <si>
    <t>Aquisições de 2026 com impacto nos USE e cumprimento de 8.3.</t>
  </si>
  <si>
    <t>LCC</t>
  </si>
  <si>
    <t>Custo do ciclo de vida de alternativas de investimento (8.3; EN 17463).</t>
  </si>
  <si>
    <t>Compra_Energia</t>
  </si>
  <si>
    <t>Especificação da compra de energia (8.3 b).</t>
  </si>
  <si>
    <t>Precos</t>
  </si>
  <si>
    <t>Preços simulados (energia + redes) por período e potência.</t>
  </si>
  <si>
    <t>Faturas</t>
  </si>
  <si>
    <t>Faturas mensais de eletricidade (simuladas) — custos, preço médio e potência.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</si>
  <si>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</si>
  <si>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</si>
  <si>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</si>
  <si>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</si>
  <si>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</si>
  <si>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</si>
  <si>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</si>
  <si>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</si>
  <si>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</si>
  <si>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</si>
  <si>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</si>
  <si>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</si>
  <si>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</si>
  <si>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</si>
  <si>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</si>
  <si>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</si>
  <si>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</si>
  <si>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</si>
  <si>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RG-SGA-18 / RG-SGQ-11</t>
  </si>
  <si>
    <t>Alterações e design (os projetos PRJ-E ligam a ALT-xx e DD-xx).</t>
  </si>
  <si>
    <t>RG-SGA-11</t>
  </si>
  <si>
    <t>Fornecedor de eletricidade ENE-01 (fonte única dos fornecedores).</t>
  </si>
  <si>
    <t>RG-SGE-04</t>
  </si>
  <si>
    <t>Oportunidades de investimento (OPE-xx) avaliadas pelo LCC.</t>
  </si>
  <si>
    <t>RG-SGE-05</t>
  </si>
  <si>
    <t>Preço médio usado nas poupanças (tbl_parametros).</t>
  </si>
  <si>
    <t>PARÂMETROS</t>
  </si>
  <si>
    <t>Codigo</t>
  </si>
  <si>
    <t>Valor</t>
  </si>
  <si>
    <t>Unidade</t>
  </si>
  <si>
    <t>Descricao</t>
  </si>
  <si>
    <t>Fonte</t>
  </si>
  <si>
    <t>PRECO_MEDIO</t>
  </si>
  <si>
    <t>€/kWh</t>
  </si>
  <si>
    <t>Preço médio (energia + redes) jan–dez/2026 — calculado das faturas</t>
  </si>
  <si>
    <t>tbl_faturas</t>
  </si>
  <si>
    <t>TAXA_DESCONTO</t>
  </si>
  <si>
    <t>fração</t>
  </si>
  <si>
    <t>Taxa de atualização para o LCC</t>
  </si>
  <si>
    <t>Diretor Financeiro (WACC)</t>
  </si>
  <si>
    <t>ESCALADA_ENERGIA</t>
  </si>
  <si>
    <t>fração/ano</t>
  </si>
  <si>
    <t>Crescimento anual do preço da eletricidade no LCC</t>
  </si>
  <si>
    <t>Pressuposto — sensibilidade na folha LCC</t>
  </si>
  <si>
    <t>PRECO_REATIVA</t>
  </si>
  <si>
    <t>€/kvarh</t>
  </si>
  <si>
    <t>Preço da energia reativa faturada</t>
  </si>
  <si>
    <t>Tarifário ERSE (simulado)</t>
  </si>
  <si>
    <t>PROJETO (DESIGN) E DESEMPENHO ENERGÉTICO (8.2)</t>
  </si>
  <si>
    <t>ID_Projeto</t>
  </si>
  <si>
    <t>Projeto</t>
  </si>
  <si>
    <t>Tipo</t>
  </si>
  <si>
    <t>Impacto_Significativo</t>
  </si>
  <si>
    <t>Oportunidades_Consideradas</t>
  </si>
  <si>
    <t>Controlo_Operacional_Considerado</t>
  </si>
  <si>
    <t>Resultado_Avaliacao</t>
  </si>
  <si>
    <t>Incorporado_Especificacao</t>
  </si>
  <si>
    <t>Evidencia</t>
  </si>
  <si>
    <t>ID_Alteracao_SGI</t>
  </si>
  <si>
    <t>Conformidade_8_2</t>
  </si>
  <si>
    <t>PRJ-E-01</t>
  </si>
  <si>
    <t>Linhas alimentar e farmacêutica: IM-007/008 e ISBM-009/010 (ALT-2026-03)</t>
  </si>
  <si>
    <t>Novo</t>
  </si>
  <si>
    <t>Sim</t>
  </si>
  <si>
    <t>Máquinas totalmente elétricas e ISBM com recuperação de ar escolhidas</t>
  </si>
  <si>
    <t>Não documentado (sem critérios de standby nem medição por máquina)</t>
  </si>
  <si>
    <t>Parcial: escolha tecnológica eficiente, mas sem avaliação do desempenho energético ao longo da vida nem LCC</t>
  </si>
  <si>
    <t>Não</t>
  </si>
  <si>
    <t>Atas do projeto; propostas dos fornecedores</t>
  </si>
  <si>
    <t>Concluído</t>
  </si>
  <si>
    <t>ALT-2026-03</t>
  </si>
  <si>
    <t>PRJ-E-02</t>
  </si>
  <si>
    <t>Central fotovoltaica de autoconsumo UPAC ≈ 1 MWp (ALT-2026-07)</t>
  </si>
  <si>
    <t>Autoconsumo ≈ 1 400 MWh/ano; perfil de carga 24/5 favorável</t>
  </si>
  <si>
    <t>Gestão da injeção na rede e da potência</t>
  </si>
  <si>
    <t>Estudo de viabilidade encomendado (RG-26-D04 do SGA)</t>
  </si>
  <si>
    <t>Estudo de viabilidade (em curso)</t>
  </si>
  <si>
    <t>Em estudo</t>
  </si>
  <si>
    <t>ALT-2026-07</t>
  </si>
  <si>
    <t>PRJ-E-03</t>
  </si>
  <si>
    <t>Substituição do chiller CH-01 (R410A) por chiller de baixo GWP com free-cooling integrado</t>
  </si>
  <si>
    <t>Renovado</t>
  </si>
  <si>
    <t>SEER/SEPR mínimos, free-cooling, VSD nos compressores do chiller</t>
  </si>
  <si>
    <t>Setpoint ajustável e medição de energia térmica</t>
  </si>
  <si>
    <t>Especificação técnica com SEPR ≥ 6,5 e free-cooling</t>
  </si>
  <si>
    <t>Caderno de encargos CE-2027-03 (rascunho)</t>
  </si>
  <si>
    <t>—</t>
  </si>
  <si>
    <t>PRJ-E-04</t>
  </si>
  <si>
    <t>Novo molde de potes PT-013 com câmara quente</t>
  </si>
  <si>
    <t>Modificado</t>
  </si>
  <si>
    <t>Menos gito e tempo de ciclo mais curto (−8% kWh/peça estimado)</t>
  </si>
  <si>
    <t>Temperaturas por zona na ficha do molde</t>
  </si>
  <si>
    <t>Avaliado na revisão de design do RG-SGQ-11</t>
  </si>
  <si>
    <t>RG-SGQ-11 DD-2026-04</t>
  </si>
  <si>
    <t>PRJ-E-05</t>
  </si>
  <si>
    <t>Iluminação LED da nova zona de expedição</t>
  </si>
  <si>
    <t>LED 150 lm/W com sensores</t>
  </si>
  <si>
    <t>Horário e sensores</t>
  </si>
  <si>
    <t>Critérios aplicados</t>
  </si>
  <si>
    <t>Encomenda EC-2026-311</t>
  </si>
  <si>
    <t>CRITÉRIOS ENERGÉTICOS DE AQUISIÇÃO (8.3)</t>
  </si>
  <si>
    <t>ID_Criterio</t>
  </si>
  <si>
    <t>Categoria</t>
  </si>
  <si>
    <t>Criterio_Energetico</t>
  </si>
  <si>
    <t>Evidencia_Exigida</t>
  </si>
  <si>
    <t>Avaliacao_Economica</t>
  </si>
  <si>
    <t>CAQ-01</t>
  </si>
  <si>
    <t>Máquinas de injeção e sopro</t>
  </si>
  <si>
    <t>Totalmente elétricas ou servo; kWh/kg declarado (EUROMAP 60.1/60.2) no ciclo de referência; standby automático</t>
  </si>
  <si>
    <t>Ficha EUROMAP; ensaio de receção com PA-01</t>
  </si>
  <si>
    <t>LCC obrigatório (&gt; € 50 000)</t>
  </si>
  <si>
    <t>CAQ-02</t>
  </si>
  <si>
    <t>Compressores de ar</t>
  </si>
  <si>
    <t>Velocidade variável; potência específica (ISO 1217 anexo E) ≤ 6,0 kW/(m³/min) a 7 bar; recuperação de calor</t>
  </si>
  <si>
    <t>Ficha CAGI/ISO 1217</t>
  </si>
  <si>
    <t>LCC obrigatório</t>
  </si>
  <si>
    <t>CAQ-03</t>
  </si>
  <si>
    <t>Chillers e bombas de calor</t>
  </si>
  <si>
    <t>SEPR (Reg. (UE) 2016/2281) ≥ 6,5; free-cooling; fluido de baixo GWP</t>
  </si>
  <si>
    <t>Ficha Eurovent</t>
  </si>
  <si>
    <t>CAQ-04</t>
  </si>
  <si>
    <t>Motores e variadores</t>
  </si>
  <si>
    <t>Motores IE3 (≥ 0,75 kW) / IE4 (75–200 kW) conforme Reg. (UE) 2019/1781; VSD IE2</t>
  </si>
  <si>
    <t>Placa e declaração UE</t>
  </si>
  <si>
    <t>CAQ-05</t>
  </si>
  <si>
    <t>Iluminação</t>
  </si>
  <si>
    <t>LED ≥ 140 lm/W; sensores de presença/luz natural</t>
  </si>
  <si>
    <t>Ficha técnica</t>
  </si>
  <si>
    <t>CAQ-06</t>
  </si>
  <si>
    <t>Serviços com impacto nos USE (manutenção de compressores, chiller, moldes)</t>
  </si>
  <si>
    <t>Contrato inclui verificação de potência específica, fugas e setpoints; relatório de eficiência</t>
  </si>
  <si>
    <t>Relatório de intervenção</t>
  </si>
  <si>
    <t>CAQ-07</t>
  </si>
  <si>
    <t>Compra de energia (8.3 b)</t>
  </si>
  <si>
    <t>Garantias de origem ≥ 55% (meta 100% em 2028); preço indexado + fixo; dados de 15 min; sem penalização por autoconsumo</t>
  </si>
  <si>
    <t>Contrato e rótulo de energia</t>
  </si>
  <si>
    <t>Análise anual de tarifas</t>
  </si>
  <si>
    <t>AQUISIÇÕES DE 2026 COM IMPACTO NO DESEMPENHO ENERGÉTICO (8.3)</t>
  </si>
  <si>
    <t>ID_Aquisicao</t>
  </si>
  <si>
    <t>Data</t>
  </si>
  <si>
    <t>Valor_EUR</t>
  </si>
  <si>
    <t>Fornecedor_Informado</t>
  </si>
  <si>
    <t>Criterio_Aplicado</t>
  </si>
  <si>
    <t>LCC_Realizado</t>
  </si>
  <si>
    <t>Nota</t>
  </si>
  <si>
    <t>Conformidade_8_3</t>
  </si>
  <si>
    <t>AQE-26-01</t>
  </si>
  <si>
    <t>Compressores de velocidade variável CMP-01/02</t>
  </si>
  <si>
    <t>OT-2026-02 (RG-SGA-10); ALT-2026-01</t>
  </si>
  <si>
    <t>AQE-26-02</t>
  </si>
  <si>
    <t>4 máquinas das linhas novas (IM-007/008, ISBM-009/010)</t>
  </si>
  <si>
    <t>ALT-2026-03 — sem LCC documentado</t>
  </si>
  <si>
    <t>AQE-26-03</t>
  </si>
  <si>
    <t>Analisador portátil PA-01</t>
  </si>
  <si>
    <t>N/A</t>
  </si>
  <si>
    <t>EQE-01</t>
  </si>
  <si>
    <t>AQE-26-04</t>
  </si>
  <si>
    <t>Contrato de manutenção do chiller CH-01 (2026–2028)</t>
  </si>
  <si>
    <t>Contrato sem cláusulas de eficiência (constatação CONE-A-26-04)</t>
  </si>
  <si>
    <t>AQE-26-05</t>
  </si>
  <si>
    <t>Iluminação LED da expedição (PRJ-E-05)</t>
  </si>
  <si>
    <t>EC-2026-311</t>
  </si>
  <si>
    <t>AQE-26-06</t>
  </si>
  <si>
    <t>6 analisadores de energia (PA-E-01)</t>
  </si>
  <si>
    <t>PAM-26-02</t>
  </si>
  <si>
    <t>AQE-26-07</t>
  </si>
  <si>
    <t>Motor de 55 kW do moinho MOA-02 (substituição por avaria)</t>
  </si>
  <si>
    <t>Motor IE3 (mínimo legal); IE4 não avaliado</t>
  </si>
  <si>
    <t>AQE-26-08</t>
  </si>
  <si>
    <t>Retrofit servo-bomba IM-002 e IM-004 (PA-E-04) — consulta</t>
  </si>
  <si>
    <t>LCC-01 a 03; decisão em 01/2027</t>
  </si>
  <si>
    <t>AQE-26-09</t>
  </si>
  <si>
    <t>Contrato de manutenção do chiller — aditamento com cláusulas de eficiência</t>
  </si>
  <si>
    <t>Correção da constatação CONE-A-26-04</t>
  </si>
  <si>
    <t>CUSTO DO CICLO DE VIDA — IM-002 (EN 17463)</t>
  </si>
  <si>
    <t>LCC = investimento + VA(energia com escalada) + VA(manutenção) · Custo anual equivalente para comparar vidas diferentes · Parâmetros em tbl_parametros</t>
  </si>
  <si>
    <t>ID_LCC</t>
  </si>
  <si>
    <t>Alternativa</t>
  </si>
  <si>
    <t>Investimento_EUR</t>
  </si>
  <si>
    <t>kWh_Ano</t>
  </si>
  <si>
    <t>Manutencao_EUR_Ano</t>
  </si>
  <si>
    <t>Vida_Anos</t>
  </si>
  <si>
    <t>Pressuposto</t>
  </si>
  <si>
    <t>Custo_Energia_Ano1</t>
  </si>
  <si>
    <t>VA_Energia</t>
  </si>
  <si>
    <t>VA_Manutencao</t>
  </si>
  <si>
    <t>LCC_EUR</t>
  </si>
  <si>
    <t>LCC_Anual_Equivalente</t>
  </si>
  <si>
    <t>Melhor_Opcao</t>
  </si>
  <si>
    <t>LCC-01</t>
  </si>
  <si>
    <t>IM-002 — A) manter a injetora hidráulica de bomba fixa (2011)</t>
  </si>
  <si>
    <t>Consumo = rateio de 2026 (RG-SGE-04)</t>
  </si>
  <si>
    <t>LCC-02</t>
  </si>
  <si>
    <t>IM-002 — B) retrofit com servo-bomba</t>
  </si>
  <si>
    <t>−30% (servo; campanha: IM-003/005/006 ≈ 41 kW vs 60,7 kW)</t>
  </si>
  <si>
    <t>LCC-03</t>
  </si>
  <si>
    <t>IM-002 — C) nova injetora totalmente elétrica</t>
  </si>
  <si>
    <t>−48% (IM-001 30,6 kW; menor espera)</t>
  </si>
  <si>
    <t>ESPECIFICAÇÃO DA COMPRA DE ENERGIA (8.3 b)</t>
  </si>
  <si>
    <t>Elemento</t>
  </si>
  <si>
    <t>Especificacao</t>
  </si>
  <si>
    <t>Tipo de contrato</t>
  </si>
  <si>
    <t>Média tensão, ciclo semanal opcional, 4 períodos horários</t>
  </si>
  <si>
    <t>Em vigor (2025–2027)</t>
  </si>
  <si>
    <t>Potência contratada</t>
  </si>
  <si>
    <t>1 400 kW ultrapassada em ago/2026 (1 429 kW): aumento para 1 550 kW pedido em 10/2026, efetivo em 01/2027 + deslastre (RE-03)</t>
  </si>
  <si>
    <t>Pedido feito</t>
  </si>
  <si>
    <t>Origem</t>
  </si>
  <si>
    <t>Garantias de origem ≥ 55% (2026); 100% renovável em 2028 (GO + UPAC)</t>
  </si>
  <si>
    <t>Parcial</t>
  </si>
  <si>
    <t>Preço</t>
  </si>
  <si>
    <t>Energia indexada ao OMIE + margem fixa em 60% do volume; 40% a preço fixo</t>
  </si>
  <si>
    <t>Diagrama de carga de 15 min disponibilizado mensalmente</t>
  </si>
  <si>
    <t>Em vigor desde 11/2026</t>
  </si>
  <si>
    <t>Autoconsumo</t>
  </si>
  <si>
    <t>Sem penalização por redução de consumo com a UPAC; compra do excedente</t>
  </si>
  <si>
    <t>A negociar (2027)</t>
  </si>
  <si>
    <t>PREÇOS DA ELETRICIDADE (simulados)</t>
  </si>
  <si>
    <t>Ano</t>
  </si>
  <si>
    <t>Ponta</t>
  </si>
  <si>
    <t>Cheia</t>
  </si>
  <si>
    <t>Vazio</t>
  </si>
  <si>
    <t>Super_Vazio</t>
  </si>
  <si>
    <t>Pot_Ponta</t>
  </si>
  <si>
    <t>Pot_Contratada</t>
  </si>
  <si>
    <t>FATURAS DE ELETRICIDADE — PERÍODOS, CUSTOS E POTÊNCIA (simuladas)</t>
  </si>
  <si>
    <t>kWh totais = RG-SGA-13 (fonte única; coluna de verificação) · Repartição horária, potência e reativa simuladas</t>
  </si>
  <si>
    <t>ID_Fatura</t>
  </si>
  <si>
    <t>Mes</t>
  </si>
  <si>
    <t>kWh_Ponta</t>
  </si>
  <si>
    <t>kWh_Cheia</t>
  </si>
  <si>
    <t>kWh_Vazio</t>
  </si>
  <si>
    <t>kWh_Super_Vazio</t>
  </si>
  <si>
    <t>kW_Potencia_Horas_Ponta</t>
  </si>
  <si>
    <t>kW_Potencia_Tomada_Max</t>
  </si>
  <si>
    <t>kW_Potencia_Contratada</t>
  </si>
  <si>
    <t>kvarh_Reativa_Faturada</t>
  </si>
  <si>
    <t>kWh_RG_SGA_13</t>
  </si>
  <si>
    <t>kWh_Total</t>
  </si>
  <si>
    <t>Verif_Fonte_Unica</t>
  </si>
  <si>
    <t>Custo_Energia_EUR</t>
  </si>
  <si>
    <t>Custo_Potencia_EUR</t>
  </si>
  <si>
    <t>Custo_Reativa_EUR</t>
  </si>
  <si>
    <t>Custo_Total_EUR</t>
  </si>
  <si>
    <t>EUR_por_kWh</t>
  </si>
  <si>
    <t>Pct_Ponta</t>
  </si>
  <si>
    <t>Utilizacao_Potencia</t>
  </si>
  <si>
    <t>Alerta_Potencia</t>
  </si>
  <si>
    <t>FT-202503</t>
  </si>
  <si>
    <t>FT-202504</t>
  </si>
  <si>
    <t>FT-202505</t>
  </si>
  <si>
    <t>FT-202506</t>
  </si>
  <si>
    <t>FT-202507</t>
  </si>
  <si>
    <t>FT-202508</t>
  </si>
  <si>
    <t>FT-202509</t>
  </si>
  <si>
    <t>FT-202510</t>
  </si>
  <si>
    <t>FT-202511</t>
  </si>
  <si>
    <t>FT-202512</t>
  </si>
  <si>
    <t>FT-202601</t>
  </si>
  <si>
    <t>FT-202602</t>
  </si>
  <si>
    <t>FT-202603</t>
  </si>
  <si>
    <t>FT-202604</t>
  </si>
  <si>
    <t>FT-202605</t>
  </si>
  <si>
    <t>FT-202606</t>
  </si>
  <si>
    <t>FT-202607</t>
  </si>
  <si>
    <t>FT-202608</t>
  </si>
  <si>
    <t>FT-202609</t>
  </si>
  <si>
    <t>FT-202610</t>
  </si>
  <si>
    <t>FT-202611</t>
  </si>
  <si>
    <t>FT-202612</t>
  </si>
  <si>
    <t>LISTAS CONTROLADAS (domínios de validação de dados) — editar aqui para alterar opções</t>
  </si>
  <si>
    <t>DataReferencia</t>
  </si>
  <si>
    <t>Funcao</t>
  </si>
  <si>
    <t>SimNaoNA</t>
  </si>
  <si>
    <t>Diretor Geral (Gestão de Topo)</t>
  </si>
  <si>
    <t>Diretor Industrial</t>
  </si>
  <si>
    <t>Gestor(a) de Energia (líder da equipa de gestão de energia)</t>
  </si>
  <si>
    <t>Gerente de Manutenção</t>
  </si>
  <si>
    <t>Gerente de Produção</t>
  </si>
  <si>
    <t>Técnico de Utilidades</t>
  </si>
  <si>
    <t>Gestor do SGA / EHS (Responsável Ambiental)</t>
  </si>
  <si>
    <t>Gerente da Qualidade</t>
  </si>
  <si>
    <t>Diretor Financeiro</t>
  </si>
  <si>
    <t>Responsável de Compras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</si>
  <si>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</si>
  <si>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</si>
  <si>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</si>
  <si>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</si>
  <si>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</si>
  <si>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</si>
  <si>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</si>
  <si>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</si>
  <si>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</si>
  <si>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</si>
  <si>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</si>
  <si>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</si>
  <si>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</si>
  <si>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</si>
  <si>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</si>
  <si>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Dominio_Unidade</t>
  </si>
  <si>
    <t>Obrigatorio</t>
  </si>
  <si>
    <t>Chave</t>
  </si>
  <si>
    <t>tbl_parametros</t>
  </si>
  <si>
    <t>Texto</t>
  </si>
  <si>
    <t>Entrada</t>
  </si>
  <si>
    <t>Parâmetro.</t>
  </si>
  <si>
    <t>PK</t>
  </si>
  <si>
    <t>Decimal</t>
  </si>
  <si>
    <t>Valor.</t>
  </si>
  <si>
    <t>Unidade.</t>
  </si>
  <si>
    <t>Descrição.</t>
  </si>
  <si>
    <t>[Só SGE] Origem.</t>
  </si>
  <si>
    <t>tbl_projetos</t>
  </si>
  <si>
    <t>Projeto.</t>
  </si>
  <si>
    <t>Novo / modificado / renovado.</t>
  </si>
  <si>
    <t>Pode ter impacto significativo no desempenho energético ao longo da vida?</t>
  </si>
  <si>
    <t>Lista lst_SimNaoNA</t>
  </si>
  <si>
    <t>Oportunidades de melhoria do desempenho energético consideradas (8.2).</t>
  </si>
  <si>
    <t>Controlo operacional considerado (8.2).</t>
  </si>
  <si>
    <t>Resultado da avaliação do desempenho energético.</t>
  </si>
  <si>
    <t>Resultados incorporados na especificação, projeto e compra?</t>
  </si>
  <si>
    <t>Evidência (reter).</t>
  </si>
  <si>
    <t>Estado.</t>
  </si>
  <si>
    <t>Alteração no RG-SGA-18.</t>
  </si>
  <si>
    <t>Calculado (fórmula)</t>
  </si>
  <si>
    <t>Cumpre 8.2?</t>
  </si>
  <si>
    <t>tbl_criterios_aquisicao</t>
  </si>
  <si>
    <t>tbl_aquisicoes</t>
  </si>
  <si>
    <t>Aquisição.</t>
  </si>
  <si>
    <t>Data (aaaa-mm-dd)</t>
  </si>
  <si>
    <t>Data da consulta.</t>
  </si>
  <si>
    <t>Produto / serviço.</t>
  </si>
  <si>
    <t>Critério aplicável.</t>
  </si>
  <si>
    <t>FK → tbl_criterios_aquisicao</t>
  </si>
  <si>
    <t>Moeda (EUR)</t>
  </si>
  <si>
    <t>Fornecedores informados de que o desempenho energético é critério (8.3)?</t>
  </si>
  <si>
    <t>Critério energético aplicado na avaliação?</t>
  </si>
  <si>
    <t>LCC realizado (quando obrigatório)?</t>
  </si>
  <si>
    <t>Evidência / nota.</t>
  </si>
  <si>
    <t>Cumpre 8.3?</t>
  </si>
  <si>
    <t>tbl_lcc</t>
  </si>
  <si>
    <t>Alternativa.</t>
  </si>
  <si>
    <t>Alternativa avaliada.</t>
  </si>
  <si>
    <t>Investimento inicial.</t>
  </si>
  <si>
    <t>kwh</t>
  </si>
  <si>
    <t>Consumo anual previsto.</t>
  </si>
  <si>
    <t>Manutenção anual.</t>
  </si>
  <si>
    <t>Inteiro</t>
  </si>
  <si>
    <t>Vida útil considerada.</t>
  </si>
  <si>
    <t>Base da estimativa.</t>
  </si>
  <si>
    <t>Custo da energia no 1.º ano.</t>
  </si>
  <si>
    <t>Valor atual da energia (com escalada).</t>
  </si>
  <si>
    <t>Valor atual da manutenção.</t>
  </si>
  <si>
    <t>Custo do ciclo de vida (valor atual).</t>
  </si>
  <si>
    <t>Custo anual equivalente (compara vidas diferentes).</t>
  </si>
  <si>
    <t>Menor custo anual equivalente.</t>
  </si>
  <si>
    <t>tbl_compra_energia</t>
  </si>
  <si>
    <t>tbl_precos</t>
  </si>
  <si>
    <t>Ano.</t>
  </si>
  <si>
    <t>Preço Ponta (€/kWh).</t>
  </si>
  <si>
    <t>Preço Cheia (€/kWh).</t>
  </si>
  <si>
    <t>Preço Vazio (€/kWh).</t>
  </si>
  <si>
    <t>Preço Super_Vazio (€/kWh).</t>
  </si>
  <si>
    <t>Preço Pot_Ponta (€/kW.dia).</t>
  </si>
  <si>
    <t>Preço Pot_Contratada (€/kW.dia).</t>
  </si>
  <si>
    <t>Fatura.</t>
  </si>
  <si>
    <t>Mês.</t>
  </si>
  <si>
    <t>kWh em ponta.</t>
  </si>
  <si>
    <t>kWh em cheia.</t>
  </si>
  <si>
    <t>kWh em vazio normal.</t>
  </si>
  <si>
    <t>kWh em super vazio.</t>
  </si>
  <si>
    <t>Potência média em horas de ponta faturada.</t>
  </si>
  <si>
    <t>Máxima potência tomada (15 min).</t>
  </si>
  <si>
    <t>Potência contratada.</t>
  </si>
  <si>
    <t>Energia reativa faturada.</t>
  </si>
  <si>
    <t>kWh da base ambiental (fonte única) — verificação.</t>
  </si>
  <si>
    <t>Σ períodos.</t>
  </si>
  <si>
    <t>Σ períodos = RG-SGA-13?</t>
  </si>
  <si>
    <t>Energia + redes.</t>
  </si>
  <si>
    <t>Potência.</t>
  </si>
  <si>
    <t>Energia reativa.</t>
  </si>
  <si>
    <t>Total sem IVA.</t>
  </si>
  <si>
    <t>Preço médio total.</t>
  </si>
  <si>
    <t>Percentagem (fração 0-1)</t>
  </si>
  <si>
    <t>Quota de ponta.</t>
  </si>
  <si>
    <t>Tomada ÷ contratada.</t>
  </si>
  <si>
    <t>&gt; 95% crítico (RE-03).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</si>
</sst>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yyyy\-mm\-dd"/>
    <numFmt numFmtId="166" formatCode="#,##0\ \€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6" fontId="3" fillId="4" borderId="1" xfId="0" applyNumberFormat="1" applyFont="1" applyFill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vertical="top" wrapText="1"/>
    </xf>
    <xf numFmtId="167" fontId="3" fillId="4" borderId="1" xfId="0" applyNumberFormat="1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5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9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ametros" displayName="tbl_parametros" ref="A4:E8">
  <autoFilter ref="A4:E8" xr:uid="{00000000-0009-0000-0100-000001000000}"/>
  <tableColumns count="5">
    <tableColumn id="1" xr3:uid="{00000000-0010-0000-0000-000001000000}" name="Codigo"/>
    <tableColumn id="2" xr3:uid="{00000000-0010-0000-0000-000002000000}" name="Valor"/>
    <tableColumn id="3" xr3:uid="{00000000-0010-0000-0000-000003000000}" name="Unidade"/>
    <tableColumn id="4" xr3:uid="{00000000-0010-0000-0000-000004000000}" name="Descricao"/>
    <tableColumn id="5" xr3:uid="{00000000-0010-0000-0000-000005000000}" name="Fon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jetos" displayName="tbl_projetos" ref="A4:L9">
  <autoFilter ref="A4:L9" xr:uid="{00000000-0009-0000-0100-000002000000}"/>
  <tableColumns count="12">
    <tableColumn id="1" xr3:uid="{00000000-0010-0000-0100-000001000000}" name="ID_Projeto"/>
    <tableColumn id="2" xr3:uid="{00000000-0010-0000-0100-000002000000}" name="Projeto"/>
    <tableColumn id="3" xr3:uid="{00000000-0010-0000-0100-000003000000}" name="Tipo"/>
    <tableColumn id="4" xr3:uid="{00000000-0010-0000-0100-000004000000}" name="Impacto_Significativo"/>
    <tableColumn id="5" xr3:uid="{00000000-0010-0000-0100-000005000000}" name="Oportunidades_Consideradas"/>
    <tableColumn id="6" xr3:uid="{00000000-0010-0000-0100-000006000000}" name="Controlo_Operacional_Considerado"/>
    <tableColumn id="7" xr3:uid="{00000000-0010-0000-0100-000007000000}" name="Resultado_Avaliacao"/>
    <tableColumn id="8" xr3:uid="{00000000-0010-0000-0100-000008000000}" name="Incorporado_Especificacao"/>
    <tableColumn id="9" xr3:uid="{00000000-0010-0000-0100-000009000000}" name="Evidencia"/>
    <tableColumn id="10" xr3:uid="{00000000-0010-0000-0100-00000A000000}" name="Estado"/>
    <tableColumn id="11" xr3:uid="{00000000-0010-0000-0100-00000B000000}" name="ID_Alteracao_SGI"/>
    <tableColumn id="12" xr3:uid="{00000000-0010-0000-0100-00000C000000}" name="Conformidade_8_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riterios_aquisicao" displayName="tbl_criterios_aquisicao" ref="A4:E11">
  <autoFilter ref="A4:E11" xr:uid="{00000000-0009-0000-0100-000003000000}"/>
  <tableColumns count="5">
    <tableColumn id="1" xr3:uid="{00000000-0010-0000-0200-000001000000}" name="ID_Criterio"/>
    <tableColumn id="2" xr3:uid="{00000000-0010-0000-0200-000002000000}" name="Categoria"/>
    <tableColumn id="3" xr3:uid="{00000000-0010-0000-0200-000003000000}" name="Criterio_Energetico"/>
    <tableColumn id="4" xr3:uid="{00000000-0010-0000-0200-000004000000}" name="Evidencia_Exigida"/>
    <tableColumn id="5" xr3:uid="{00000000-0010-0000-0200-000005000000}" name="Avaliacao_Economic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quisicoes" displayName="tbl_aquisicoes" ref="A4:J13">
  <autoFilter ref="A4:J13" xr:uid="{00000000-0009-0000-0100-000004000000}"/>
  <tableColumns count="10">
    <tableColumn id="1" xr3:uid="{00000000-0010-0000-0300-000001000000}" name="ID_Aquisicao"/>
    <tableColumn id="2" xr3:uid="{00000000-0010-0000-0300-000002000000}" name="Data"/>
    <tableColumn id="3" xr3:uid="{00000000-0010-0000-0300-000003000000}" name="Descricao"/>
    <tableColumn id="4" xr3:uid="{00000000-0010-0000-0300-000004000000}" name="ID_Criterio"/>
    <tableColumn id="5" xr3:uid="{00000000-0010-0000-0300-000005000000}" name="Valor_EUR"/>
    <tableColumn id="6" xr3:uid="{00000000-0010-0000-0300-000006000000}" name="Fornecedor_Informado"/>
    <tableColumn id="7" xr3:uid="{00000000-0010-0000-0300-000007000000}" name="Criterio_Aplicado"/>
    <tableColumn id="8" xr3:uid="{00000000-0010-0000-0300-000008000000}" name="LCC_Realizado"/>
    <tableColumn id="9" xr3:uid="{00000000-0010-0000-0300-000009000000}" name="Nota"/>
    <tableColumn id="10" xr3:uid="{00000000-0010-0000-0300-00000A000000}" name="Conformidade_8_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lcc" displayName="tbl_lcc" ref="A4:M7">
  <autoFilter ref="A4:M7" xr:uid="{00000000-0009-0000-0100-000005000000}"/>
  <tableColumns count="13">
    <tableColumn id="1" xr3:uid="{00000000-0010-0000-0400-000001000000}" name="ID_LCC"/>
    <tableColumn id="2" xr3:uid="{00000000-0010-0000-0400-000002000000}" name="Alternativa"/>
    <tableColumn id="3" xr3:uid="{00000000-0010-0000-0400-000003000000}" name="Investimento_EUR"/>
    <tableColumn id="4" xr3:uid="{00000000-0010-0000-0400-000004000000}" name="kWh_Ano"/>
    <tableColumn id="5" xr3:uid="{00000000-0010-0000-0400-000005000000}" name="Manutencao_EUR_Ano"/>
    <tableColumn id="6" xr3:uid="{00000000-0010-0000-0400-000006000000}" name="Vida_Anos"/>
    <tableColumn id="7" xr3:uid="{00000000-0010-0000-0400-000007000000}" name="Pressuposto"/>
    <tableColumn id="8" xr3:uid="{00000000-0010-0000-0400-000008000000}" name="Custo_Energia_Ano1"/>
    <tableColumn id="9" xr3:uid="{00000000-0010-0000-0400-000009000000}" name="VA_Energia"/>
    <tableColumn id="10" xr3:uid="{00000000-0010-0000-0400-00000A000000}" name="VA_Manutencao"/>
    <tableColumn id="11" xr3:uid="{00000000-0010-0000-0400-00000B000000}" name="LCC_EUR"/>
    <tableColumn id="12" xr3:uid="{00000000-0010-0000-0400-00000C000000}" name="LCC_Anual_Equivalente"/>
    <tableColumn id="13" xr3:uid="{00000000-0010-0000-0400-00000D000000}" name="Melhor_Opca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mpra_energia" displayName="tbl_compra_energia" ref="A4:C10">
  <autoFilter ref="A4:C10" xr:uid="{00000000-0009-0000-0100-000006000000}"/>
  <tableColumns count="3">
    <tableColumn id="1" xr3:uid="{00000000-0010-0000-0500-000001000000}" name="Elemento"/>
    <tableColumn id="2" xr3:uid="{00000000-0010-0000-0500-000002000000}" name="Especificacao"/>
    <tableColumn id="3" xr3:uid="{00000000-0010-0000-0500-000003000000}" name="Estad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ecos" displayName="tbl_precos" ref="A4:G6">
  <autoFilter ref="A4:G6" xr:uid="{00000000-0009-0000-0100-000007000000}"/>
  <tableColumns count="7">
    <tableColumn id="1" xr3:uid="{00000000-0010-0000-0600-000001000000}" name="Ano"/>
    <tableColumn id="2" xr3:uid="{00000000-0010-0000-0600-000002000000}" name="Ponta"/>
    <tableColumn id="3" xr3:uid="{00000000-0010-0000-0600-000003000000}" name="Cheia"/>
    <tableColumn id="4" xr3:uid="{00000000-0010-0000-0600-000004000000}" name="Vazio"/>
    <tableColumn id="5" xr3:uid="{00000000-0010-0000-0600-000005000000}" name="Super_Vazio"/>
    <tableColumn id="6" xr3:uid="{00000000-0010-0000-0600-000006000000}" name="Pot_Ponta"/>
    <tableColumn id="7" xr3:uid="{00000000-0010-0000-0600-000007000000}" name="Pot_Contratada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faturas" displayName="tbl_faturas" ref="A4:U26">
  <autoFilter ref="A4:U26" xr:uid="{00000000-0009-0000-0100-000008000000}"/>
  <tableColumns count="21">
    <tableColumn id="1" xr3:uid="{00000000-0010-0000-0700-000001000000}" name="ID_Fatura"/>
    <tableColumn id="2" xr3:uid="{00000000-0010-0000-0700-000002000000}" name="Mes"/>
    <tableColumn id="3" xr3:uid="{00000000-0010-0000-0700-000003000000}" name="kWh_Ponta"/>
    <tableColumn id="4" xr3:uid="{00000000-0010-0000-0700-000004000000}" name="kWh_Cheia"/>
    <tableColumn id="5" xr3:uid="{00000000-0010-0000-0700-000005000000}" name="kWh_Vazio"/>
    <tableColumn id="6" xr3:uid="{00000000-0010-0000-0700-000006000000}" name="kWh_Super_Vazio"/>
    <tableColumn id="7" xr3:uid="{00000000-0010-0000-0700-000007000000}" name="kW_Potencia_Horas_Ponta"/>
    <tableColumn id="8" xr3:uid="{00000000-0010-0000-0700-000008000000}" name="kW_Potencia_Tomada_Max"/>
    <tableColumn id="9" xr3:uid="{00000000-0010-0000-0700-000009000000}" name="kW_Potencia_Contratada"/>
    <tableColumn id="10" xr3:uid="{00000000-0010-0000-0700-00000A000000}" name="kvarh_Reativa_Faturada"/>
    <tableColumn id="11" xr3:uid="{00000000-0010-0000-0700-00000B000000}" name="kWh_RG_SGA_13"/>
    <tableColumn id="12" xr3:uid="{00000000-0010-0000-0700-00000C000000}" name="kWh_Total"/>
    <tableColumn id="13" xr3:uid="{00000000-0010-0000-0700-00000D000000}" name="Verif_Fonte_Unica"/>
    <tableColumn id="14" xr3:uid="{00000000-0010-0000-0700-00000E000000}" name="Custo_Energia_EUR"/>
    <tableColumn id="15" xr3:uid="{00000000-0010-0000-0700-00000F000000}" name="Custo_Potencia_EUR"/>
    <tableColumn id="16" xr3:uid="{00000000-0010-0000-0700-000010000000}" name="Custo_Reativa_EUR"/>
    <tableColumn id="17" xr3:uid="{00000000-0010-0000-0700-000011000000}" name="Custo_Total_EUR"/>
    <tableColumn id="18" xr3:uid="{00000000-0010-0000-0700-000012000000}" name="EUR_por_kWh"/>
    <tableColumn id="19" xr3:uid="{00000000-0010-0000-0700-000013000000}" name="Pct_Ponta"/>
    <tableColumn id="20" xr3:uid="{00000000-0010-0000-0700-000014000000}" name="Utilizacao_Potencia"/>
    <tableColumn id="21" xr3:uid="{00000000-0010-0000-0700-000015000000}" name="Alerta_Potencia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cionario" displayName="tbl_dicionario" ref="A1:I77">
  <autoFilter ref="A1:I77" xr:uid="{00000000-0009-0000-0100-000009000000}"/>
  <tableColumns count="9">
    <tableColumn id="1" xr3:uid="{00000000-0010-0000-0800-000001000000}" name="Folha"/>
    <tableColumn id="2" xr3:uid="{00000000-0010-0000-0800-000002000000}" name="Tabela"/>
    <tableColumn id="3" xr3:uid="{00000000-0010-0000-0800-000003000000}" name="Coluna"/>
    <tableColumn id="4" xr3:uid="{00000000-0010-0000-0800-000004000000}" name="Tipo"/>
    <tableColumn id="5" xr3:uid="{00000000-0010-0000-0800-000005000000}" name="Origem"/>
    <tableColumn id="6" xr3:uid="{00000000-0010-0000-0800-000006000000}" name="Descricao"/>
    <tableColumn id="7" xr3:uid="{00000000-0010-0000-0800-000007000000}" name="Dominio_Unidade"/>
    <tableColumn id="8" xr3:uid="{00000000-0010-0000-0800-000008000000}" name="Obrigatorio"/>
    <tableColumn id="9" xr3:uid="{00000000-0010-0000-08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7" spans="1:2" x14ac:dyDescent="0.3">
      <c r="A27" s="3" t="s">
        <v>38</v>
      </c>
      <c r="B27" s="4"/>
    </row>
    <row r="28" spans="1:2" ht="39.6" x14ac:dyDescent="0.3">
      <c r="A28" s="5" t="s">
        <v>39</v>
      </c>
      <c r="B28" s="6" t="s">
        <v>40</v>
      </c>
    </row>
    <row r="29" spans="1:2" ht="26.4" x14ac:dyDescent="0.3">
      <c r="A29" s="5" t="s">
        <v>41</v>
      </c>
      <c r="B29" s="6" t="s">
        <v>42</v>
      </c>
    </row>
    <row r="30" spans="1:2" ht="39.6" x14ac:dyDescent="0.3">
      <c r="A30" s="5" t="s">
        <v>43</v>
      </c>
      <c r="B30" s="6" t="s">
        <v>44</v>
      </c>
    </row>
    <row r="31" spans="1:2" ht="26.4" x14ac:dyDescent="0.3">
      <c r="A31" s="5" t="s">
        <v>45</v>
      </c>
      <c r="B31" s="6" t="s">
        <v>46</v>
      </c>
    </row>
    <row r="33" spans="1:2" x14ac:dyDescent="0.3">
      <c r="A33" s="3" t="s">
        <v>47</v>
      </c>
      <c r="B33" s="4"/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5" spans="1:2" x14ac:dyDescent="0.3">
      <c r="A45" s="3" t="s">
        <v>68</v>
      </c>
      <c r="B45" s="4"/>
    </row>
    <row r="46" spans="1:2" ht="26.4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  <row r="48" spans="1:2" x14ac:dyDescent="0.3">
      <c r="A48" s="5" t="s">
        <v>73</v>
      </c>
      <c r="B48" s="6" t="s">
        <v>74</v>
      </c>
    </row>
    <row r="49" spans="1:2" ht="26.4" x14ac:dyDescent="0.3">
      <c r="A49" s="5" t="s">
        <v>75</v>
      </c>
      <c r="B49" s="6" t="s">
        <v>76</v>
      </c>
    </row>
    <row r="50" spans="1:2" ht="26.4" x14ac:dyDescent="0.3">
      <c r="A50" s="5" t="s">
        <v>77</v>
      </c>
      <c r="B50" s="6" t="s">
        <v>78</v>
      </c>
    </row>
    <row r="51" spans="1:2" ht="52.8" x14ac:dyDescent="0.3">
      <c r="A51" s="5" t="s">
        <v>79</v>
      </c>
      <c r="B51" s="6" t="s">
        <v>80</v>
      </c>
    </row>
    <row r="53" spans="1:2" x14ac:dyDescent="0.3">
      <c r="A53" s="3" t="s">
        <v>81</v>
      </c>
      <c r="B53" s="4"/>
    </row>
    <row r="54" spans="1:2" x14ac:dyDescent="0.3">
      <c r="A54" s="5" t="s">
        <v>82</v>
      </c>
      <c r="B54" s="6" t="s">
        <v>83</v>
      </c>
    </row>
    <row r="55" spans="1:2" x14ac:dyDescent="0.3">
      <c r="A55" s="5" t="s">
        <v>84</v>
      </c>
      <c r="B55" s="6" t="s">
        <v>85</v>
      </c>
    </row>
    <row r="56" spans="1:2" x14ac:dyDescent="0.3">
      <c r="A56" s="5" t="s">
        <v>86</v>
      </c>
      <c r="B56" s="6" t="s">
        <v>87</v>
      </c>
    </row>
    <row r="57" spans="1:2" x14ac:dyDescent="0.3">
      <c r="A57" s="5" t="s">
        <v>88</v>
      </c>
      <c r="B57" s="6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3" width="10" customWidth="1"/>
    <col min="4" max="4" width="60" customWidth="1"/>
    <col min="5" max="5" width="30" customWidth="1"/>
  </cols>
  <sheetData>
    <row r="1" spans="1:5" ht="17.399999999999999" x14ac:dyDescent="0.3">
      <c r="A1" s="1" t="s">
        <v>90</v>
      </c>
    </row>
    <row r="4" spans="1:5" x14ac:dyDescent="0.3">
      <c r="A4" s="8" t="s">
        <v>91</v>
      </c>
      <c r="B4" s="8" t="s">
        <v>92</v>
      </c>
      <c r="C4" s="8" t="s">
        <v>93</v>
      </c>
      <c r="D4" s="8" t="s">
        <v>94</v>
      </c>
      <c r="E4" s="8" t="s">
        <v>95</v>
      </c>
    </row>
    <row r="5" spans="1:5" ht="18" customHeight="1" x14ac:dyDescent="0.3">
      <c r="A5" s="9" t="s">
        <v>96</v>
      </c>
      <c r="B5" s="10">
        <v>0.13350000000000001</v>
      </c>
      <c r="C5" s="9" t="s">
        <v>97</v>
      </c>
      <c r="D5" s="9" t="s">
        <v>98</v>
      </c>
      <c r="E5" s="9" t="s">
        <v>99</v>
      </c>
    </row>
    <row r="6" spans="1:5" ht="18" customHeight="1" x14ac:dyDescent="0.3">
      <c r="A6" s="9" t="s">
        <v>100</v>
      </c>
      <c r="B6" s="10">
        <v>0.06</v>
      </c>
      <c r="C6" s="9" t="s">
        <v>101</v>
      </c>
      <c r="D6" s="9" t="s">
        <v>102</v>
      </c>
      <c r="E6" s="9" t="s">
        <v>103</v>
      </c>
    </row>
    <row r="7" spans="1:5" ht="18" customHeight="1" x14ac:dyDescent="0.3">
      <c r="A7" s="9" t="s">
        <v>104</v>
      </c>
      <c r="B7" s="10">
        <v>0.02</v>
      </c>
      <c r="C7" s="9" t="s">
        <v>105</v>
      </c>
      <c r="D7" s="9" t="s">
        <v>106</v>
      </c>
      <c r="E7" s="9" t="s">
        <v>107</v>
      </c>
    </row>
    <row r="8" spans="1:5" ht="18" customHeight="1" x14ac:dyDescent="0.3">
      <c r="A8" s="9" t="s">
        <v>108</v>
      </c>
      <c r="B8" s="10">
        <v>8.0000000000000002E-3</v>
      </c>
      <c r="C8" s="9" t="s">
        <v>109</v>
      </c>
      <c r="D8" s="9" t="s">
        <v>110</v>
      </c>
      <c r="E8" s="9" t="s">
        <v>111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4" customWidth="1"/>
    <col min="3" max="3" width="10" customWidth="1"/>
    <col min="4" max="4" width="9" customWidth="1"/>
    <col min="5" max="5" width="36" customWidth="1"/>
    <col min="6" max="6" width="30" customWidth="1"/>
    <col min="7" max="7" width="40" customWidth="1"/>
    <col min="8" max="8" width="9" customWidth="1"/>
    <col min="9" max="9" width="26" customWidth="1"/>
    <col min="10" max="10" width="10" customWidth="1"/>
    <col min="11" max="11" width="11" customWidth="1"/>
    <col min="12" max="12" width="12" customWidth="1"/>
  </cols>
  <sheetData>
    <row r="1" spans="1:12" ht="17.399999999999999" x14ac:dyDescent="0.3">
      <c r="A1" s="1" t="s">
        <v>112</v>
      </c>
    </row>
    <row r="4" spans="1:12" ht="52.8" x14ac:dyDescent="0.3">
      <c r="A4" s="8" t="s">
        <v>113</v>
      </c>
      <c r="B4" s="8" t="s">
        <v>114</v>
      </c>
      <c r="C4" s="8" t="s">
        <v>115</v>
      </c>
      <c r="D4" s="8" t="s">
        <v>116</v>
      </c>
      <c r="E4" s="8" t="s">
        <v>117</v>
      </c>
      <c r="F4" s="8" t="s">
        <v>118</v>
      </c>
      <c r="G4" s="8" t="s">
        <v>119</v>
      </c>
      <c r="H4" s="8" t="s">
        <v>120</v>
      </c>
      <c r="I4" s="8" t="s">
        <v>121</v>
      </c>
      <c r="J4" s="8" t="s">
        <v>14</v>
      </c>
      <c r="K4" s="8" t="s">
        <v>122</v>
      </c>
      <c r="L4" s="11" t="s">
        <v>123</v>
      </c>
    </row>
    <row r="5" spans="1:12" ht="48" customHeight="1" x14ac:dyDescent="0.3">
      <c r="A5" s="9" t="s">
        <v>124</v>
      </c>
      <c r="B5" s="9" t="s">
        <v>125</v>
      </c>
      <c r="C5" s="9" t="s">
        <v>126</v>
      </c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  <c r="I5" s="9" t="s">
        <v>132</v>
      </c>
      <c r="J5" s="9" t="s">
        <v>133</v>
      </c>
      <c r="K5" s="9" t="s">
        <v>134</v>
      </c>
      <c r="L5" s="12" t="str">
        <f>IF(A5="","",IF(D5="Não","N/A",IF(H5="Sim","Conforme","Não conforme")))</f>
        <v>Não conforme</v>
      </c>
    </row>
    <row r="6" spans="1:12" ht="48" customHeight="1" x14ac:dyDescent="0.3">
      <c r="A6" s="9" t="s">
        <v>135</v>
      </c>
      <c r="B6" s="9" t="s">
        <v>136</v>
      </c>
      <c r="C6" s="9" t="s">
        <v>126</v>
      </c>
      <c r="D6" s="9" t="s">
        <v>127</v>
      </c>
      <c r="E6" s="9" t="s">
        <v>137</v>
      </c>
      <c r="F6" s="9" t="s">
        <v>138</v>
      </c>
      <c r="G6" s="9" t="s">
        <v>139</v>
      </c>
      <c r="H6" s="9" t="s">
        <v>127</v>
      </c>
      <c r="I6" s="9" t="s">
        <v>140</v>
      </c>
      <c r="J6" s="9" t="s">
        <v>141</v>
      </c>
      <c r="K6" s="9" t="s">
        <v>142</v>
      </c>
      <c r="L6" s="12" t="str">
        <f>IF(A6="","",IF(D6="Não","N/A",IF(H6="Sim","Conforme","Não conforme")))</f>
        <v>Conforme</v>
      </c>
    </row>
    <row r="7" spans="1:12" ht="48" customHeight="1" x14ac:dyDescent="0.3">
      <c r="A7" s="9" t="s">
        <v>143</v>
      </c>
      <c r="B7" s="9" t="s">
        <v>144</v>
      </c>
      <c r="C7" s="9" t="s">
        <v>145</v>
      </c>
      <c r="D7" s="9" t="s">
        <v>127</v>
      </c>
      <c r="E7" s="9" t="s">
        <v>146</v>
      </c>
      <c r="F7" s="9" t="s">
        <v>147</v>
      </c>
      <c r="G7" s="9" t="s">
        <v>148</v>
      </c>
      <c r="H7" s="9" t="s">
        <v>127</v>
      </c>
      <c r="I7" s="9" t="s">
        <v>149</v>
      </c>
      <c r="J7" s="9" t="s">
        <v>141</v>
      </c>
      <c r="K7" s="9" t="s">
        <v>150</v>
      </c>
      <c r="L7" s="12" t="str">
        <f>IF(A7="","",IF(D7="Não","N/A",IF(H7="Sim","Conforme","Não conforme")))</f>
        <v>Conforme</v>
      </c>
    </row>
    <row r="8" spans="1:12" ht="48" customHeight="1" x14ac:dyDescent="0.3">
      <c r="A8" s="9" t="s">
        <v>151</v>
      </c>
      <c r="B8" s="9" t="s">
        <v>152</v>
      </c>
      <c r="C8" s="9" t="s">
        <v>153</v>
      </c>
      <c r="D8" s="9" t="s">
        <v>131</v>
      </c>
      <c r="E8" s="9" t="s">
        <v>154</v>
      </c>
      <c r="F8" s="9" t="s">
        <v>155</v>
      </c>
      <c r="G8" s="9" t="s">
        <v>156</v>
      </c>
      <c r="H8" s="9" t="s">
        <v>127</v>
      </c>
      <c r="I8" s="9" t="s">
        <v>157</v>
      </c>
      <c r="J8" s="9" t="s">
        <v>133</v>
      </c>
      <c r="K8" s="9" t="s">
        <v>150</v>
      </c>
      <c r="L8" s="12" t="str">
        <f>IF(A8="","",IF(D8="Não","N/A",IF(H8="Sim","Conforme","Não conforme")))</f>
        <v>N/A</v>
      </c>
    </row>
    <row r="9" spans="1:12" ht="48" customHeight="1" x14ac:dyDescent="0.3">
      <c r="A9" s="9" t="s">
        <v>158</v>
      </c>
      <c r="B9" s="9" t="s">
        <v>159</v>
      </c>
      <c r="C9" s="9" t="s">
        <v>145</v>
      </c>
      <c r="D9" s="9" t="s">
        <v>131</v>
      </c>
      <c r="E9" s="9" t="s">
        <v>160</v>
      </c>
      <c r="F9" s="9" t="s">
        <v>161</v>
      </c>
      <c r="G9" s="9" t="s">
        <v>162</v>
      </c>
      <c r="H9" s="9" t="s">
        <v>127</v>
      </c>
      <c r="I9" s="9" t="s">
        <v>163</v>
      </c>
      <c r="J9" s="9" t="s">
        <v>133</v>
      </c>
      <c r="K9" s="9" t="s">
        <v>150</v>
      </c>
      <c r="L9" s="12" t="str">
        <f>IF(A9="","",IF(D9="Não","N/A",IF(H9="Sim","Conforme","Não conforme")))</f>
        <v>N/A</v>
      </c>
    </row>
  </sheetData>
  <conditionalFormatting sqref="L5:L209">
    <cfRule type="expression" dxfId="8" priority="1">
      <formula>ISNUMBER(SEARCH("Não conforme",L5))</formula>
    </cfRule>
    <cfRule type="expression" dxfId="7" priority="2">
      <formula>ISNUMBER(SEARCH("Conforme",L5))</formula>
    </cfRule>
  </conditionalFormatting>
  <dataValidations count="1">
    <dataValidation type="list" allowBlank="1" showErrorMessage="1" errorTitle="Valor inválido" error="Valor fora da lista controlada (ver folha Listas)." sqref="D5:D209 H5:H209" xr:uid="{00000000-0002-0000-0200-000000000000}">
      <formula1>lst_SimNaoNA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60" customWidth="1"/>
    <col min="4" max="4" width="28" customWidth="1"/>
    <col min="5" max="5" width="22" customWidth="1"/>
  </cols>
  <sheetData>
    <row r="1" spans="1:5" ht="17.399999999999999" x14ac:dyDescent="0.3">
      <c r="A1" s="1" t="s">
        <v>164</v>
      </c>
    </row>
    <row r="4" spans="1:5" ht="26.4" x14ac:dyDescent="0.3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</row>
    <row r="5" spans="1:5" ht="36" customHeight="1" x14ac:dyDescent="0.3">
      <c r="A5" s="9" t="s">
        <v>170</v>
      </c>
      <c r="B5" s="9" t="s">
        <v>171</v>
      </c>
      <c r="C5" s="9" t="s">
        <v>172</v>
      </c>
      <c r="D5" s="9" t="s">
        <v>173</v>
      </c>
      <c r="E5" s="9" t="s">
        <v>174</v>
      </c>
    </row>
    <row r="6" spans="1:5" ht="36" customHeight="1" x14ac:dyDescent="0.3">
      <c r="A6" s="9" t="s">
        <v>175</v>
      </c>
      <c r="B6" s="9" t="s">
        <v>176</v>
      </c>
      <c r="C6" s="9" t="s">
        <v>177</v>
      </c>
      <c r="D6" s="9" t="s">
        <v>178</v>
      </c>
      <c r="E6" s="9" t="s">
        <v>179</v>
      </c>
    </row>
    <row r="7" spans="1:5" ht="36" customHeight="1" x14ac:dyDescent="0.3">
      <c r="A7" s="9" t="s">
        <v>180</v>
      </c>
      <c r="B7" s="9" t="s">
        <v>181</v>
      </c>
      <c r="C7" s="9" t="s">
        <v>182</v>
      </c>
      <c r="D7" s="9" t="s">
        <v>183</v>
      </c>
      <c r="E7" s="9" t="s">
        <v>179</v>
      </c>
    </row>
    <row r="8" spans="1:5" ht="36" customHeight="1" x14ac:dyDescent="0.3">
      <c r="A8" s="9" t="s">
        <v>184</v>
      </c>
      <c r="B8" s="9" t="s">
        <v>185</v>
      </c>
      <c r="C8" s="9" t="s">
        <v>186</v>
      </c>
      <c r="D8" s="9" t="s">
        <v>187</v>
      </c>
      <c r="E8" s="9" t="s">
        <v>150</v>
      </c>
    </row>
    <row r="9" spans="1:5" ht="36" customHeight="1" x14ac:dyDescent="0.3">
      <c r="A9" s="9" t="s">
        <v>188</v>
      </c>
      <c r="B9" s="9" t="s">
        <v>189</v>
      </c>
      <c r="C9" s="9" t="s">
        <v>190</v>
      </c>
      <c r="D9" s="9" t="s">
        <v>191</v>
      </c>
      <c r="E9" s="9" t="s">
        <v>150</v>
      </c>
    </row>
    <row r="10" spans="1:5" ht="36" customHeight="1" x14ac:dyDescent="0.3">
      <c r="A10" s="9" t="s">
        <v>192</v>
      </c>
      <c r="B10" s="9" t="s">
        <v>193</v>
      </c>
      <c r="C10" s="9" t="s">
        <v>194</v>
      </c>
      <c r="D10" s="9" t="s">
        <v>195</v>
      </c>
      <c r="E10" s="9" t="s">
        <v>150</v>
      </c>
    </row>
    <row r="11" spans="1:5" ht="36" customHeight="1" x14ac:dyDescent="0.3">
      <c r="A11" s="9" t="s">
        <v>196</v>
      </c>
      <c r="B11" s="9" t="s">
        <v>197</v>
      </c>
      <c r="C11" s="9" t="s">
        <v>198</v>
      </c>
      <c r="D11" s="9" t="s">
        <v>199</v>
      </c>
      <c r="E11" s="9" t="s">
        <v>200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44" customWidth="1"/>
    <col min="4" max="4" width="8" customWidth="1"/>
    <col min="5" max="5" width="11" customWidth="1"/>
    <col min="6" max="8" width="9" customWidth="1"/>
    <col min="9" max="9" width="36" customWidth="1"/>
    <col min="10" max="10" width="12" customWidth="1"/>
  </cols>
  <sheetData>
    <row r="1" spans="1:10" ht="17.399999999999999" x14ac:dyDescent="0.3">
      <c r="A1" s="1" t="s">
        <v>201</v>
      </c>
    </row>
    <row r="4" spans="1:10" ht="39.6" x14ac:dyDescent="0.3">
      <c r="A4" s="8" t="s">
        <v>202</v>
      </c>
      <c r="B4" s="8" t="s">
        <v>203</v>
      </c>
      <c r="C4" s="8" t="s">
        <v>94</v>
      </c>
      <c r="D4" s="8" t="s">
        <v>165</v>
      </c>
      <c r="E4" s="8" t="s">
        <v>204</v>
      </c>
      <c r="F4" s="8" t="s">
        <v>205</v>
      </c>
      <c r="G4" s="8" t="s">
        <v>206</v>
      </c>
      <c r="H4" s="8" t="s">
        <v>207</v>
      </c>
      <c r="I4" s="8" t="s">
        <v>208</v>
      </c>
      <c r="J4" s="11" t="s">
        <v>209</v>
      </c>
    </row>
    <row r="5" spans="1:10" ht="30" customHeight="1" x14ac:dyDescent="0.3">
      <c r="A5" s="9" t="s">
        <v>210</v>
      </c>
      <c r="B5" s="13">
        <v>46034</v>
      </c>
      <c r="C5" s="9" t="s">
        <v>211</v>
      </c>
      <c r="D5" s="9" t="s">
        <v>175</v>
      </c>
      <c r="E5" s="14">
        <v>96000</v>
      </c>
      <c r="F5" s="9" t="s">
        <v>127</v>
      </c>
      <c r="G5" s="9" t="s">
        <v>127</v>
      </c>
      <c r="H5" s="9" t="s">
        <v>127</v>
      </c>
      <c r="I5" s="9" t="s">
        <v>212</v>
      </c>
      <c r="J5" s="12" t="str">
        <f t="shared" ref="J5:J13" si="0">IF(A5="","",IF(D5="—","N/A",IF(AND(F5&lt;&gt;"Não",G5&lt;&gt;"Não",H5&lt;&gt;"Não"),"Conforme","Não conforme")))</f>
        <v>Conforme</v>
      </c>
    </row>
    <row r="6" spans="1:10" ht="30" customHeight="1" x14ac:dyDescent="0.3">
      <c r="A6" s="9" t="s">
        <v>213</v>
      </c>
      <c r="B6" s="13">
        <v>46111</v>
      </c>
      <c r="C6" s="9" t="s">
        <v>214</v>
      </c>
      <c r="D6" s="9" t="s">
        <v>170</v>
      </c>
      <c r="E6" s="14">
        <v>1480000</v>
      </c>
      <c r="F6" s="9" t="s">
        <v>127</v>
      </c>
      <c r="G6" s="9" t="s">
        <v>127</v>
      </c>
      <c r="H6" s="9" t="s">
        <v>131</v>
      </c>
      <c r="I6" s="9" t="s">
        <v>215</v>
      </c>
      <c r="J6" s="12" t="str">
        <f t="shared" si="0"/>
        <v>Não conforme</v>
      </c>
    </row>
    <row r="7" spans="1:10" ht="30" customHeight="1" x14ac:dyDescent="0.3">
      <c r="A7" s="9" t="s">
        <v>216</v>
      </c>
      <c r="B7" s="13">
        <v>46162</v>
      </c>
      <c r="C7" s="9" t="s">
        <v>217</v>
      </c>
      <c r="D7" s="9" t="s">
        <v>150</v>
      </c>
      <c r="E7" s="14">
        <v>6500</v>
      </c>
      <c r="F7" s="9" t="s">
        <v>218</v>
      </c>
      <c r="G7" s="9" t="s">
        <v>218</v>
      </c>
      <c r="H7" s="9" t="s">
        <v>218</v>
      </c>
      <c r="I7" s="9" t="s">
        <v>219</v>
      </c>
      <c r="J7" s="12" t="str">
        <f t="shared" si="0"/>
        <v>N/A</v>
      </c>
    </row>
    <row r="8" spans="1:10" ht="30" customHeight="1" x14ac:dyDescent="0.3">
      <c r="A8" s="9" t="s">
        <v>220</v>
      </c>
      <c r="B8" s="13">
        <v>46188</v>
      </c>
      <c r="C8" s="9" t="s">
        <v>221</v>
      </c>
      <c r="D8" s="9" t="s">
        <v>192</v>
      </c>
      <c r="E8" s="14">
        <v>14400</v>
      </c>
      <c r="F8" s="9" t="s">
        <v>131</v>
      </c>
      <c r="G8" s="9" t="s">
        <v>131</v>
      </c>
      <c r="H8" s="9" t="s">
        <v>218</v>
      </c>
      <c r="I8" s="9" t="s">
        <v>222</v>
      </c>
      <c r="J8" s="12" t="str">
        <f t="shared" si="0"/>
        <v>Não conforme</v>
      </c>
    </row>
    <row r="9" spans="1:10" ht="30" customHeight="1" x14ac:dyDescent="0.3">
      <c r="A9" s="9" t="s">
        <v>223</v>
      </c>
      <c r="B9" s="13">
        <v>46275</v>
      </c>
      <c r="C9" s="9" t="s">
        <v>224</v>
      </c>
      <c r="D9" s="9" t="s">
        <v>188</v>
      </c>
      <c r="E9" s="14">
        <v>18500</v>
      </c>
      <c r="F9" s="9" t="s">
        <v>127</v>
      </c>
      <c r="G9" s="9" t="s">
        <v>127</v>
      </c>
      <c r="H9" s="9" t="s">
        <v>218</v>
      </c>
      <c r="I9" s="9" t="s">
        <v>225</v>
      </c>
      <c r="J9" s="12" t="str">
        <f t="shared" si="0"/>
        <v>Conforme</v>
      </c>
    </row>
    <row r="10" spans="1:10" ht="30" customHeight="1" x14ac:dyDescent="0.3">
      <c r="A10" s="9" t="s">
        <v>226</v>
      </c>
      <c r="B10" s="13">
        <v>46285</v>
      </c>
      <c r="C10" s="9" t="s">
        <v>227</v>
      </c>
      <c r="D10" s="9" t="s">
        <v>150</v>
      </c>
      <c r="E10" s="14">
        <v>38000</v>
      </c>
      <c r="F10" s="9" t="s">
        <v>218</v>
      </c>
      <c r="G10" s="9" t="s">
        <v>218</v>
      </c>
      <c r="H10" s="9" t="s">
        <v>218</v>
      </c>
      <c r="I10" s="9" t="s">
        <v>228</v>
      </c>
      <c r="J10" s="12" t="str">
        <f t="shared" si="0"/>
        <v>N/A</v>
      </c>
    </row>
    <row r="11" spans="1:10" ht="30" customHeight="1" x14ac:dyDescent="0.3">
      <c r="A11" s="9" t="s">
        <v>229</v>
      </c>
      <c r="B11" s="13">
        <v>46073</v>
      </c>
      <c r="C11" s="9" t="s">
        <v>230</v>
      </c>
      <c r="D11" s="9" t="s">
        <v>184</v>
      </c>
      <c r="E11" s="14">
        <v>4800</v>
      </c>
      <c r="F11" s="9" t="s">
        <v>131</v>
      </c>
      <c r="G11" s="9" t="s">
        <v>127</v>
      </c>
      <c r="H11" s="9" t="s">
        <v>218</v>
      </c>
      <c r="I11" s="9" t="s">
        <v>231</v>
      </c>
      <c r="J11" s="12" t="str">
        <f t="shared" si="0"/>
        <v>Não conforme</v>
      </c>
    </row>
    <row r="12" spans="1:10" ht="30" customHeight="1" x14ac:dyDescent="0.3">
      <c r="A12" s="9" t="s">
        <v>232</v>
      </c>
      <c r="B12" s="13">
        <v>46331</v>
      </c>
      <c r="C12" s="9" t="s">
        <v>233</v>
      </c>
      <c r="D12" s="9" t="s">
        <v>170</v>
      </c>
      <c r="E12" s="14">
        <v>56000</v>
      </c>
      <c r="F12" s="9" t="s">
        <v>127</v>
      </c>
      <c r="G12" s="9" t="s">
        <v>127</v>
      </c>
      <c r="H12" s="9" t="s">
        <v>127</v>
      </c>
      <c r="I12" s="9" t="s">
        <v>234</v>
      </c>
      <c r="J12" s="12" t="str">
        <f t="shared" si="0"/>
        <v>Conforme</v>
      </c>
    </row>
    <row r="13" spans="1:10" ht="30" customHeight="1" x14ac:dyDescent="0.3">
      <c r="A13" s="9" t="s">
        <v>235</v>
      </c>
      <c r="B13" s="13">
        <v>46358</v>
      </c>
      <c r="C13" s="9" t="s">
        <v>236</v>
      </c>
      <c r="D13" s="9" t="s">
        <v>192</v>
      </c>
      <c r="E13" s="14">
        <v>0</v>
      </c>
      <c r="F13" s="9" t="s">
        <v>127</v>
      </c>
      <c r="G13" s="9" t="s">
        <v>127</v>
      </c>
      <c r="H13" s="9" t="s">
        <v>218</v>
      </c>
      <c r="I13" s="9" t="s">
        <v>237</v>
      </c>
      <c r="J13" s="12" t="str">
        <f t="shared" si="0"/>
        <v>Conforme</v>
      </c>
    </row>
  </sheetData>
  <conditionalFormatting sqref="J5:J213">
    <cfRule type="expression" dxfId="6" priority="1">
      <formula>ISNUMBER(SEARCH("Não conforme",J5))</formula>
    </cfRule>
    <cfRule type="expression" dxfId="5" priority="2">
      <formula>ISNUMBER(SEARCH("Conforme",J5))</formula>
    </cfRule>
  </conditionalFormatting>
  <dataValidations count="1">
    <dataValidation type="list" allowBlank="1" showErrorMessage="1" errorTitle="Valor inválido" error="Valor fora da lista controlada (ver folha Listas)." sqref="F5:H213" xr:uid="{00000000-0002-0000-0400-000000000000}">
      <formula1>lst_SimNaoNA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4" width="11" customWidth="1"/>
    <col min="5" max="5" width="10" customWidth="1"/>
    <col min="6" max="6" width="7" customWidth="1"/>
    <col min="7" max="7" width="40" customWidth="1"/>
    <col min="8" max="12" width="11" customWidth="1"/>
    <col min="13" max="13" width="9" customWidth="1"/>
  </cols>
  <sheetData>
    <row r="1" spans="1:13" ht="17.399999999999999" x14ac:dyDescent="0.3">
      <c r="A1" s="1" t="s">
        <v>238</v>
      </c>
    </row>
    <row r="2" spans="1:13" x14ac:dyDescent="0.3">
      <c r="A2" s="2" t="s">
        <v>239</v>
      </c>
    </row>
    <row r="4" spans="1:13" ht="39.6" x14ac:dyDescent="0.3">
      <c r="A4" s="8" t="s">
        <v>240</v>
      </c>
      <c r="B4" s="8" t="s">
        <v>241</v>
      </c>
      <c r="C4" s="8" t="s">
        <v>242</v>
      </c>
      <c r="D4" s="8" t="s">
        <v>243</v>
      </c>
      <c r="E4" s="8" t="s">
        <v>244</v>
      </c>
      <c r="F4" s="8" t="s">
        <v>245</v>
      </c>
      <c r="G4" s="8" t="s">
        <v>246</v>
      </c>
      <c r="H4" s="11" t="s">
        <v>247</v>
      </c>
      <c r="I4" s="11" t="s">
        <v>248</v>
      </c>
      <c r="J4" s="11" t="s">
        <v>249</v>
      </c>
      <c r="K4" s="11" t="s">
        <v>250</v>
      </c>
      <c r="L4" s="11" t="s">
        <v>251</v>
      </c>
      <c r="M4" s="11" t="s">
        <v>252</v>
      </c>
    </row>
    <row r="5" spans="1:13" ht="30" customHeight="1" x14ac:dyDescent="0.3">
      <c r="A5" s="9" t="s">
        <v>253</v>
      </c>
      <c r="B5" s="9" t="s">
        <v>254</v>
      </c>
      <c r="C5" s="14">
        <v>0</v>
      </c>
      <c r="D5" s="15">
        <v>426726</v>
      </c>
      <c r="E5" s="14">
        <v>6000</v>
      </c>
      <c r="F5" s="16">
        <v>12</v>
      </c>
      <c r="G5" s="9" t="s">
        <v>255</v>
      </c>
      <c r="H5" s="17">
        <f>IF(A5="","",D5*preco_medio)</f>
        <v>56967.921000000002</v>
      </c>
      <c r="I5" s="17">
        <f>IF(A5="","",H5*(1-((1+escalada_energia)/(1+taxa_desconto))^F5)/(taxa_desconto-escalada_energia))</f>
        <v>526558.31420636689</v>
      </c>
      <c r="J5" s="17">
        <f>IF(A5="","",E5*(1-(1+taxa_desconto)^(-F5))/taxa_desconto)</f>
        <v>50303.063642299952</v>
      </c>
      <c r="K5" s="17">
        <f>IF(A5="","",C5+I5+J5)</f>
        <v>576861.37784866686</v>
      </c>
      <c r="L5" s="17">
        <f>IF(A5="","",K5*taxa_desconto/(1-(1+taxa_desconto)^(-F5)))</f>
        <v>68806.311514225497</v>
      </c>
      <c r="M5" s="12" t="str">
        <f>IF(A5="","",IF(L5=MIN($L$5:$L$7),"Melhor",""))</f>
        <v/>
      </c>
    </row>
    <row r="6" spans="1:13" ht="30" customHeight="1" x14ac:dyDescent="0.3">
      <c r="A6" s="9" t="s">
        <v>256</v>
      </c>
      <c r="B6" s="9" t="s">
        <v>257</v>
      </c>
      <c r="C6" s="14">
        <v>28000</v>
      </c>
      <c r="D6" s="15">
        <v>298708</v>
      </c>
      <c r="E6" s="14">
        <v>4500</v>
      </c>
      <c r="F6" s="16">
        <v>12</v>
      </c>
      <c r="G6" s="9" t="s">
        <v>258</v>
      </c>
      <c r="H6" s="17">
        <f>IF(A6="","",D6*preco_medio)</f>
        <v>39877.518000000004</v>
      </c>
      <c r="I6" s="17">
        <f>IF(A6="","",H6*(1-((1+escalada_energia)/(1+taxa_desconto))^F6)/(taxa_desconto-escalada_energia))</f>
        <v>368590.57315456629</v>
      </c>
      <c r="J6" s="17">
        <f>IF(A6="","",E6*(1-(1+taxa_desconto)^(-F6))/taxa_desconto)</f>
        <v>37727.297731724968</v>
      </c>
      <c r="K6" s="17">
        <f>IF(A6="","",C6+I6+J6)</f>
        <v>434317.87088629126</v>
      </c>
      <c r="L6" s="17">
        <f>IF(A6="","",K6*taxa_desconto/(1-(1+taxa_desconto)^(-F6)))</f>
        <v>51804.145446251401</v>
      </c>
      <c r="M6" s="12" t="str">
        <f>IF(A6="","",IF(L6=MIN($L$5:$L$7),"Melhor",""))</f>
        <v>Melhor</v>
      </c>
    </row>
    <row r="7" spans="1:13" ht="30" customHeight="1" x14ac:dyDescent="0.3">
      <c r="A7" s="9" t="s">
        <v>259</v>
      </c>
      <c r="B7" s="9" t="s">
        <v>260</v>
      </c>
      <c r="C7" s="14">
        <v>185000</v>
      </c>
      <c r="D7" s="15">
        <v>221898</v>
      </c>
      <c r="E7" s="14">
        <v>2500</v>
      </c>
      <c r="F7" s="16">
        <v>15</v>
      </c>
      <c r="G7" s="9" t="s">
        <v>261</v>
      </c>
      <c r="H7" s="17">
        <f>IF(A7="","",D7*preco_medio)</f>
        <v>29623.383000000002</v>
      </c>
      <c r="I7" s="17">
        <f>IF(A7="","",H7*(1-((1+escalada_energia)/(1+taxa_desconto))^F7)/(taxa_desconto-escalada_energia))</f>
        <v>324684.2500199629</v>
      </c>
      <c r="J7" s="17">
        <f>IF(A7="","",E7*(1-(1+taxa_desconto)^(-F7))/taxa_desconto)</f>
        <v>24280.622469352485</v>
      </c>
      <c r="K7" s="17">
        <f>IF(A7="","",C7+I7+J7)</f>
        <v>533964.87248931534</v>
      </c>
      <c r="L7" s="17">
        <f>IF(A7="","",K7*taxa_desconto/(1-(1+taxa_desconto)^(-F7)))</f>
        <v>54978.499126545983</v>
      </c>
      <c r="M7" s="12" t="str">
        <f>IF(A7="","",IF(L7=MIN($L$5:$L$7),"Melhor",""))</f>
        <v/>
      </c>
    </row>
  </sheetData>
  <conditionalFormatting sqref="M5:M207">
    <cfRule type="expression" dxfId="4" priority="1">
      <formula>ISNUMBER(SEARCH("Melhor",M5))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70" customWidth="1"/>
    <col min="3" max="3" width="16" customWidth="1"/>
  </cols>
  <sheetData>
    <row r="1" spans="1:3" ht="17.399999999999999" x14ac:dyDescent="0.3">
      <c r="A1" s="1" t="s">
        <v>262</v>
      </c>
    </row>
    <row r="4" spans="1:3" x14ac:dyDescent="0.3">
      <c r="A4" s="8" t="s">
        <v>263</v>
      </c>
      <c r="B4" s="8" t="s">
        <v>264</v>
      </c>
      <c r="C4" s="8" t="s">
        <v>14</v>
      </c>
    </row>
    <row r="5" spans="1:3" ht="19.95" customHeight="1" x14ac:dyDescent="0.3">
      <c r="A5" s="9" t="s">
        <v>265</v>
      </c>
      <c r="B5" s="9" t="s">
        <v>266</v>
      </c>
      <c r="C5" s="9" t="s">
        <v>267</v>
      </c>
    </row>
    <row r="6" spans="1:3" ht="19.95" customHeight="1" x14ac:dyDescent="0.3">
      <c r="A6" s="9" t="s">
        <v>268</v>
      </c>
      <c r="B6" s="9" t="s">
        <v>269</v>
      </c>
      <c r="C6" s="9" t="s">
        <v>270</v>
      </c>
    </row>
    <row r="7" spans="1:3" ht="19.95" customHeight="1" x14ac:dyDescent="0.3">
      <c r="A7" s="9" t="s">
        <v>271</v>
      </c>
      <c r="B7" s="9" t="s">
        <v>272</v>
      </c>
      <c r="C7" s="9" t="s">
        <v>273</v>
      </c>
    </row>
    <row r="8" spans="1:3" ht="19.95" customHeight="1" x14ac:dyDescent="0.3">
      <c r="A8" s="9" t="s">
        <v>274</v>
      </c>
      <c r="B8" s="9" t="s">
        <v>275</v>
      </c>
      <c r="C8" s="9" t="s">
        <v>15</v>
      </c>
    </row>
    <row r="9" spans="1:3" ht="19.95" customHeight="1" x14ac:dyDescent="0.3">
      <c r="A9" s="9" t="s">
        <v>79</v>
      </c>
      <c r="B9" s="9" t="s">
        <v>276</v>
      </c>
      <c r="C9" s="9" t="s">
        <v>277</v>
      </c>
    </row>
    <row r="10" spans="1:3" ht="19.95" customHeight="1" x14ac:dyDescent="0.3">
      <c r="A10" s="9" t="s">
        <v>278</v>
      </c>
      <c r="B10" s="9" t="s">
        <v>279</v>
      </c>
      <c r="C10" s="9" t="s">
        <v>280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7" width="10" customWidth="1"/>
  </cols>
  <sheetData>
    <row r="1" spans="1:7" ht="17.399999999999999" x14ac:dyDescent="0.3">
      <c r="A1" s="1" t="s">
        <v>281</v>
      </c>
    </row>
    <row r="4" spans="1:7" ht="26.4" x14ac:dyDescent="0.3">
      <c r="A4" s="8" t="s">
        <v>282</v>
      </c>
      <c r="B4" s="8" t="s">
        <v>283</v>
      </c>
      <c r="C4" s="8" t="s">
        <v>284</v>
      </c>
      <c r="D4" s="8" t="s">
        <v>285</v>
      </c>
      <c r="E4" s="8" t="s">
        <v>286</v>
      </c>
      <c r="F4" s="8" t="s">
        <v>287</v>
      </c>
      <c r="G4" s="8" t="s">
        <v>288</v>
      </c>
    </row>
    <row r="5" spans="1:7" ht="16.05" customHeight="1" x14ac:dyDescent="0.3">
      <c r="A5" s="16">
        <v>2025</v>
      </c>
      <c r="B5" s="10">
        <v>0.17899999999999999</v>
      </c>
      <c r="C5" s="10">
        <v>0.13800000000000001</v>
      </c>
      <c r="D5" s="10">
        <v>0.106</v>
      </c>
      <c r="E5" s="10">
        <v>9.6000000000000002E-2</v>
      </c>
      <c r="F5" s="10">
        <v>0.315</v>
      </c>
      <c r="G5" s="10">
        <v>3.1E-2</v>
      </c>
    </row>
    <row r="6" spans="1:7" ht="16.05" customHeight="1" x14ac:dyDescent="0.3">
      <c r="A6" s="16">
        <v>2026</v>
      </c>
      <c r="B6" s="10">
        <v>0.185</v>
      </c>
      <c r="C6" s="10">
        <v>0.14199999999999999</v>
      </c>
      <c r="D6" s="10">
        <v>0.109</v>
      </c>
      <c r="E6" s="10">
        <v>9.8500000000000004E-2</v>
      </c>
      <c r="F6" s="10">
        <v>0.32200000000000001</v>
      </c>
      <c r="G6" s="10">
        <v>3.2000000000000001E-2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6" width="10" customWidth="1"/>
    <col min="7" max="10" width="9" customWidth="1"/>
    <col min="11" max="12" width="11" customWidth="1"/>
    <col min="13" max="13" width="9" customWidth="1"/>
    <col min="14" max="14" width="11" customWidth="1"/>
    <col min="15" max="15" width="10" customWidth="1"/>
    <col min="16" max="16" width="9" customWidth="1"/>
    <col min="17" max="17" width="11" customWidth="1"/>
    <col min="18" max="20" width="8" customWidth="1"/>
    <col min="21" max="21" width="10" customWidth="1"/>
  </cols>
  <sheetData>
    <row r="1" spans="1:21" ht="17.399999999999999" x14ac:dyDescent="0.3">
      <c r="A1" s="1" t="s">
        <v>289</v>
      </c>
    </row>
    <row r="2" spans="1:21" x14ac:dyDescent="0.3">
      <c r="A2" s="2" t="s">
        <v>290</v>
      </c>
    </row>
    <row r="4" spans="1:21" ht="52.8" x14ac:dyDescent="0.3">
      <c r="A4" s="8" t="s">
        <v>291</v>
      </c>
      <c r="B4" s="8" t="s">
        <v>292</v>
      </c>
      <c r="C4" s="8" t="s">
        <v>293</v>
      </c>
      <c r="D4" s="8" t="s">
        <v>294</v>
      </c>
      <c r="E4" s="8" t="s">
        <v>295</v>
      </c>
      <c r="F4" s="8" t="s">
        <v>296</v>
      </c>
      <c r="G4" s="8" t="s">
        <v>297</v>
      </c>
      <c r="H4" s="8" t="s">
        <v>298</v>
      </c>
      <c r="I4" s="8" t="s">
        <v>299</v>
      </c>
      <c r="J4" s="8" t="s">
        <v>300</v>
      </c>
      <c r="K4" s="8" t="s">
        <v>301</v>
      </c>
      <c r="L4" s="11" t="s">
        <v>302</v>
      </c>
      <c r="M4" s="11" t="s">
        <v>303</v>
      </c>
      <c r="N4" s="11" t="s">
        <v>304</v>
      </c>
      <c r="O4" s="11" t="s">
        <v>305</v>
      </c>
      <c r="P4" s="11" t="s">
        <v>306</v>
      </c>
      <c r="Q4" s="11" t="s">
        <v>307</v>
      </c>
      <c r="R4" s="11" t="s">
        <v>308</v>
      </c>
      <c r="S4" s="11" t="s">
        <v>309</v>
      </c>
      <c r="T4" s="11" t="s">
        <v>310</v>
      </c>
      <c r="U4" s="11" t="s">
        <v>311</v>
      </c>
    </row>
    <row r="5" spans="1:21" ht="16.05" customHeight="1" x14ac:dyDescent="0.3">
      <c r="A5" s="9" t="s">
        <v>312</v>
      </c>
      <c r="B5" s="13">
        <v>45717</v>
      </c>
      <c r="C5" s="15">
        <v>91490</v>
      </c>
      <c r="D5" s="15">
        <v>242929</v>
      </c>
      <c r="E5" s="15">
        <v>158415</v>
      </c>
      <c r="F5" s="15">
        <v>76106</v>
      </c>
      <c r="G5" s="15">
        <v>898</v>
      </c>
      <c r="H5" s="15">
        <v>957</v>
      </c>
      <c r="I5" s="15">
        <v>1400</v>
      </c>
      <c r="J5" s="15">
        <v>6458</v>
      </c>
      <c r="K5" s="15">
        <v>568941</v>
      </c>
      <c r="L5" s="18">
        <f t="shared" ref="L5:L26" si="0">IF(A5="","",C5+D5+E5+F5)</f>
        <v>568940</v>
      </c>
      <c r="M5" s="12" t="str">
        <f t="shared" ref="M5:M26" si="1">IF(A5="","",IF(ABS(L5-K5)&lt;=5,"OK","Diferença"))</f>
        <v>OK</v>
      </c>
      <c r="N5" s="17">
        <f>IF(A5="","",C5*INDEX(tbl_precos[Ponta],MATCH(YEAR(B5),tbl_precos[Ano],0))+D5*INDEX(tbl_precos[Cheia],MATCH(YEAR(B5),tbl_precos[Ano],0))+E5*INDEX(tbl_precos[Vazio],MATCH(YEAR(B5),tbl_precos[Ano],0))+F5*INDEX(tbl_precos[Super_Vazio],MATCH(YEAR(B5),tbl_precos[Ano],0)))</f>
        <v>73999.078000000009</v>
      </c>
      <c r="O5" s="17">
        <f>IF(A5="","",(G5*INDEX(tbl_precos[Pot_Ponta],MATCH(YEAR(B5),tbl_precos[Ano],0))+I5*INDEX(tbl_precos[Pot_Contratada],MATCH(YEAR(B5),tbl_precos[Ano],0)))*DAY(EOMONTH(B5,0)))</f>
        <v>10114.369999999999</v>
      </c>
      <c r="P5" s="17">
        <f t="shared" ref="P5:P26" si="2">IF(A5="","",J5*preco_reativa)</f>
        <v>51.664000000000001</v>
      </c>
      <c r="Q5" s="17">
        <f t="shared" ref="Q5:Q26" si="3">IF(A5="","",N5+O5+P5)</f>
        <v>84165.112000000008</v>
      </c>
      <c r="R5" s="19">
        <f t="shared" ref="R5:R26" si="4">IF(A5="","",Q5/L5)</f>
        <v>0.14793319506450595</v>
      </c>
      <c r="S5" s="20">
        <f t="shared" ref="S5:S26" si="5">IF(A5="","",C5/L5)</f>
        <v>0.16080781804759728</v>
      </c>
      <c r="T5" s="21">
        <f t="shared" ref="T5:T26" si="6">IF(A5="","",H5/I5)</f>
        <v>0.68357142857142861</v>
      </c>
      <c r="U5" s="12" t="str">
        <f t="shared" ref="U5:U26" si="7">IF(A5="","",IF(T5&gt;0.95,"Crítico",IF(T5&gt;0.9,"Atenção","OK")))</f>
        <v>OK</v>
      </c>
    </row>
    <row r="6" spans="1:21" ht="16.05" customHeight="1" x14ac:dyDescent="0.3">
      <c r="A6" s="9" t="s">
        <v>313</v>
      </c>
      <c r="B6" s="13">
        <v>45748</v>
      </c>
      <c r="C6" s="15">
        <v>89456</v>
      </c>
      <c r="D6" s="15">
        <v>232230</v>
      </c>
      <c r="E6" s="15">
        <v>147903</v>
      </c>
      <c r="F6" s="15">
        <v>75764</v>
      </c>
      <c r="G6" s="15">
        <v>959</v>
      </c>
      <c r="H6" s="15">
        <v>1025</v>
      </c>
      <c r="I6" s="15">
        <v>1400</v>
      </c>
      <c r="J6" s="15">
        <v>3560</v>
      </c>
      <c r="K6" s="15">
        <v>545354</v>
      </c>
      <c r="L6" s="18">
        <f t="shared" si="0"/>
        <v>545353</v>
      </c>
      <c r="M6" s="12" t="str">
        <f t="shared" si="1"/>
        <v>OK</v>
      </c>
      <c r="N6" s="17">
        <f>IF(A6="","",C6*INDEX(tbl_precos[Ponta],MATCH(YEAR(B6),tbl_precos[Ano],0))+D6*INDEX(tbl_precos[Cheia],MATCH(YEAR(B6),tbl_precos[Ano],0))+E6*INDEX(tbl_precos[Vazio],MATCH(YEAR(B6),tbl_precos[Ano],0))+F6*INDEX(tbl_precos[Super_Vazio],MATCH(YEAR(B6),tbl_precos[Ano],0)))</f>
        <v>71011.426000000007</v>
      </c>
      <c r="O6" s="17">
        <f>IF(A6="","",(G6*INDEX(tbl_precos[Pot_Ponta],MATCH(YEAR(B6),tbl_precos[Ano],0))+I6*INDEX(tbl_precos[Pot_Contratada],MATCH(YEAR(B6),tbl_precos[Ano],0)))*DAY(EOMONTH(B6,0)))</f>
        <v>10364.549999999999</v>
      </c>
      <c r="P6" s="17">
        <f t="shared" si="2"/>
        <v>28.48</v>
      </c>
      <c r="Q6" s="17">
        <f t="shared" si="3"/>
        <v>81404.456000000006</v>
      </c>
      <c r="R6" s="19">
        <f t="shared" si="4"/>
        <v>0.14926929163312572</v>
      </c>
      <c r="S6" s="20">
        <f t="shared" si="5"/>
        <v>0.16403320418151179</v>
      </c>
      <c r="T6" s="21">
        <f t="shared" si="6"/>
        <v>0.7321428571428571</v>
      </c>
      <c r="U6" s="12" t="str">
        <f t="shared" si="7"/>
        <v>OK</v>
      </c>
    </row>
    <row r="7" spans="1:21" ht="16.05" customHeight="1" x14ac:dyDescent="0.3">
      <c r="A7" s="9" t="s">
        <v>314</v>
      </c>
      <c r="B7" s="13">
        <v>45778</v>
      </c>
      <c r="C7" s="15">
        <v>86777</v>
      </c>
      <c r="D7" s="15">
        <v>223884</v>
      </c>
      <c r="E7" s="15">
        <v>152038</v>
      </c>
      <c r="F7" s="15">
        <v>75328</v>
      </c>
      <c r="G7" s="15">
        <v>844</v>
      </c>
      <c r="H7" s="15">
        <v>910</v>
      </c>
      <c r="I7" s="15">
        <v>1400</v>
      </c>
      <c r="J7" s="15">
        <v>4590</v>
      </c>
      <c r="K7" s="15">
        <v>538026</v>
      </c>
      <c r="L7" s="18">
        <f t="shared" si="0"/>
        <v>538027</v>
      </c>
      <c r="M7" s="12" t="str">
        <f t="shared" si="1"/>
        <v>OK</v>
      </c>
      <c r="N7" s="17">
        <f>IF(A7="","",C7*INDEX(tbl_precos[Ponta],MATCH(YEAR(B7),tbl_precos[Ano],0))+D7*INDEX(tbl_precos[Cheia],MATCH(YEAR(B7),tbl_precos[Ano],0))+E7*INDEX(tbl_precos[Vazio],MATCH(YEAR(B7),tbl_precos[Ano],0))+F7*INDEX(tbl_precos[Super_Vazio],MATCH(YEAR(B7),tbl_precos[Ano],0)))</f>
        <v>69776.591</v>
      </c>
      <c r="O7" s="17">
        <f>IF(A7="","",(G7*INDEX(tbl_precos[Pot_Ponta],MATCH(YEAR(B7),tbl_precos[Ano],0))+I7*INDEX(tbl_precos[Pot_Contratada],MATCH(YEAR(B7),tbl_precos[Ano],0)))*DAY(EOMONTH(B7,0)))</f>
        <v>9587.06</v>
      </c>
      <c r="P7" s="17">
        <f t="shared" si="2"/>
        <v>36.72</v>
      </c>
      <c r="Q7" s="17">
        <f t="shared" si="3"/>
        <v>79400.370999999999</v>
      </c>
      <c r="R7" s="19">
        <f t="shared" si="4"/>
        <v>0.14757692643677733</v>
      </c>
      <c r="S7" s="20">
        <f t="shared" si="5"/>
        <v>0.1612874446821442</v>
      </c>
      <c r="T7" s="21">
        <f t="shared" si="6"/>
        <v>0.65</v>
      </c>
      <c r="U7" s="12" t="str">
        <f t="shared" si="7"/>
        <v>OK</v>
      </c>
    </row>
    <row r="8" spans="1:21" ht="16.05" customHeight="1" x14ac:dyDescent="0.3">
      <c r="A8" s="9" t="s">
        <v>315</v>
      </c>
      <c r="B8" s="13">
        <v>45809</v>
      </c>
      <c r="C8" s="15">
        <v>79619</v>
      </c>
      <c r="D8" s="15">
        <v>219843</v>
      </c>
      <c r="E8" s="15">
        <v>144581</v>
      </c>
      <c r="F8" s="15">
        <v>71380</v>
      </c>
      <c r="G8" s="15">
        <v>851</v>
      </c>
      <c r="H8" s="15">
        <v>920</v>
      </c>
      <c r="I8" s="15">
        <v>1400</v>
      </c>
      <c r="J8" s="15">
        <v>8934</v>
      </c>
      <c r="K8" s="15">
        <v>515423</v>
      </c>
      <c r="L8" s="18">
        <f t="shared" si="0"/>
        <v>515423</v>
      </c>
      <c r="M8" s="12" t="str">
        <f t="shared" si="1"/>
        <v>OK</v>
      </c>
      <c r="N8" s="17">
        <f>IF(A8="","",C8*INDEX(tbl_precos[Ponta],MATCH(YEAR(B8),tbl_precos[Ano],0))+D8*INDEX(tbl_precos[Cheia],MATCH(YEAR(B8),tbl_precos[Ano],0))+E8*INDEX(tbl_precos[Vazio],MATCH(YEAR(B8),tbl_precos[Ano],0))+F8*INDEX(tbl_precos[Super_Vazio],MATCH(YEAR(B8),tbl_precos[Ano],0)))</f>
        <v>66768.201000000001</v>
      </c>
      <c r="O8" s="17">
        <f>IF(A8="","",(G8*INDEX(tbl_precos[Pot_Ponta],MATCH(YEAR(B8),tbl_precos[Ano],0))+I8*INDEX(tbl_precos[Pot_Contratada],MATCH(YEAR(B8),tbl_precos[Ano],0)))*DAY(EOMONTH(B8,0)))</f>
        <v>9343.9499999999989</v>
      </c>
      <c r="P8" s="17">
        <f t="shared" si="2"/>
        <v>71.472000000000008</v>
      </c>
      <c r="Q8" s="17">
        <f t="shared" si="3"/>
        <v>76183.622999999992</v>
      </c>
      <c r="R8" s="19">
        <f t="shared" si="4"/>
        <v>0.14780796161599305</v>
      </c>
      <c r="S8" s="20">
        <f t="shared" si="5"/>
        <v>0.15447312207643044</v>
      </c>
      <c r="T8" s="21">
        <f t="shared" si="6"/>
        <v>0.65714285714285714</v>
      </c>
      <c r="U8" s="12" t="str">
        <f t="shared" si="7"/>
        <v>OK</v>
      </c>
    </row>
    <row r="9" spans="1:21" ht="16.05" customHeight="1" x14ac:dyDescent="0.3">
      <c r="A9" s="9" t="s">
        <v>316</v>
      </c>
      <c r="B9" s="13">
        <v>45839</v>
      </c>
      <c r="C9" s="15">
        <v>98491</v>
      </c>
      <c r="D9" s="15">
        <v>261375</v>
      </c>
      <c r="E9" s="15">
        <v>174366</v>
      </c>
      <c r="F9" s="15">
        <v>86654</v>
      </c>
      <c r="G9" s="15">
        <v>968</v>
      </c>
      <c r="H9" s="15">
        <v>1045</v>
      </c>
      <c r="I9" s="15">
        <v>1400</v>
      </c>
      <c r="J9" s="15">
        <v>6799</v>
      </c>
      <c r="K9" s="15">
        <v>620886</v>
      </c>
      <c r="L9" s="18">
        <f t="shared" si="0"/>
        <v>620886</v>
      </c>
      <c r="M9" s="12" t="str">
        <f t="shared" si="1"/>
        <v>OK</v>
      </c>
      <c r="N9" s="17">
        <f>IF(A9="","",C9*INDEX(tbl_precos[Ponta],MATCH(YEAR(B9),tbl_precos[Ano],0))+D9*INDEX(tbl_precos[Cheia],MATCH(YEAR(B9),tbl_precos[Ano],0))+E9*INDEX(tbl_precos[Vazio],MATCH(YEAR(B9),tbl_precos[Ano],0))+F9*INDEX(tbl_precos[Super_Vazio],MATCH(YEAR(B9),tbl_precos[Ano],0)))</f>
        <v>80501.218999999997</v>
      </c>
      <c r="O9" s="17">
        <f>IF(A9="","",(G9*INDEX(tbl_precos[Pot_Ponta],MATCH(YEAR(B9),tbl_precos[Ano],0))+I9*INDEX(tbl_precos[Pot_Contratada],MATCH(YEAR(B9),tbl_precos[Ano],0)))*DAY(EOMONTH(B9,0)))</f>
        <v>10797.92</v>
      </c>
      <c r="P9" s="17">
        <f t="shared" si="2"/>
        <v>54.392000000000003</v>
      </c>
      <c r="Q9" s="17">
        <f t="shared" si="3"/>
        <v>91353.531000000003</v>
      </c>
      <c r="R9" s="19">
        <f t="shared" si="4"/>
        <v>0.14713414539867223</v>
      </c>
      <c r="S9" s="20">
        <f t="shared" si="5"/>
        <v>0.15862976456225458</v>
      </c>
      <c r="T9" s="21">
        <f t="shared" si="6"/>
        <v>0.74642857142857144</v>
      </c>
      <c r="U9" s="12" t="str">
        <f t="shared" si="7"/>
        <v>OK</v>
      </c>
    </row>
    <row r="10" spans="1:21" ht="16.05" customHeight="1" x14ac:dyDescent="0.3">
      <c r="A10" s="9" t="s">
        <v>317</v>
      </c>
      <c r="B10" s="13">
        <v>45870</v>
      </c>
      <c r="C10" s="15">
        <v>93408</v>
      </c>
      <c r="D10" s="15">
        <v>239992</v>
      </c>
      <c r="E10" s="15">
        <v>167045</v>
      </c>
      <c r="F10" s="15">
        <v>86456</v>
      </c>
      <c r="G10" s="15">
        <v>918</v>
      </c>
      <c r="H10" s="15">
        <v>1004</v>
      </c>
      <c r="I10" s="15">
        <v>1400</v>
      </c>
      <c r="J10" s="15">
        <v>5565</v>
      </c>
      <c r="K10" s="15">
        <v>586901</v>
      </c>
      <c r="L10" s="18">
        <f t="shared" si="0"/>
        <v>586901</v>
      </c>
      <c r="M10" s="12" t="str">
        <f t="shared" si="1"/>
        <v>OK</v>
      </c>
      <c r="N10" s="17">
        <f>IF(A10="","",C10*INDEX(tbl_precos[Ponta],MATCH(YEAR(B10),tbl_precos[Ano],0))+D10*INDEX(tbl_precos[Cheia],MATCH(YEAR(B10),tbl_precos[Ano],0))+E10*INDEX(tbl_precos[Vazio],MATCH(YEAR(B10),tbl_precos[Ano],0))+F10*INDEX(tbl_precos[Super_Vazio],MATCH(YEAR(B10),tbl_precos[Ano],0)))</f>
        <v>75845.474000000002</v>
      </c>
      <c r="O10" s="17">
        <f>IF(A10="","",(G10*INDEX(tbl_precos[Pot_Ponta],MATCH(YEAR(B10),tbl_precos[Ano],0))+I10*INDEX(tbl_precos[Pot_Contratada],MATCH(YEAR(B10),tbl_precos[Ano],0)))*DAY(EOMONTH(B10,0)))</f>
        <v>10309.67</v>
      </c>
      <c r="P10" s="17">
        <f t="shared" si="2"/>
        <v>44.52</v>
      </c>
      <c r="Q10" s="17">
        <f t="shared" si="3"/>
        <v>86199.664000000004</v>
      </c>
      <c r="R10" s="19">
        <f t="shared" si="4"/>
        <v>0.14687257987292576</v>
      </c>
      <c r="S10" s="20">
        <f t="shared" si="5"/>
        <v>0.15915461040277662</v>
      </c>
      <c r="T10" s="21">
        <f t="shared" si="6"/>
        <v>0.71714285714285719</v>
      </c>
      <c r="U10" s="12" t="str">
        <f t="shared" si="7"/>
        <v>OK</v>
      </c>
    </row>
    <row r="11" spans="1:21" ht="16.05" customHeight="1" x14ac:dyDescent="0.3">
      <c r="A11" s="9" t="s">
        <v>318</v>
      </c>
      <c r="B11" s="13">
        <v>45901</v>
      </c>
      <c r="C11" s="15">
        <v>89762</v>
      </c>
      <c r="D11" s="15">
        <v>239660</v>
      </c>
      <c r="E11" s="15">
        <v>158165</v>
      </c>
      <c r="F11" s="15">
        <v>81861</v>
      </c>
      <c r="G11" s="15">
        <v>960</v>
      </c>
      <c r="H11" s="15">
        <v>1029</v>
      </c>
      <c r="I11" s="15">
        <v>1400</v>
      </c>
      <c r="J11" s="15">
        <v>3698</v>
      </c>
      <c r="K11" s="15">
        <v>569448</v>
      </c>
      <c r="L11" s="18">
        <f t="shared" si="0"/>
        <v>569448</v>
      </c>
      <c r="M11" s="12" t="str">
        <f t="shared" si="1"/>
        <v>OK</v>
      </c>
      <c r="N11" s="17">
        <f>IF(A11="","",C11*INDEX(tbl_precos[Ponta],MATCH(YEAR(B11),tbl_precos[Ano],0))+D11*INDEX(tbl_precos[Cheia],MATCH(YEAR(B11),tbl_precos[Ano],0))+E11*INDEX(tbl_precos[Vazio],MATCH(YEAR(B11),tbl_precos[Ano],0))+F11*INDEX(tbl_precos[Super_Vazio],MATCH(YEAR(B11),tbl_precos[Ano],0)))</f>
        <v>73764.623999999996</v>
      </c>
      <c r="O11" s="17">
        <f>IF(A11="","",(G11*INDEX(tbl_precos[Pot_Ponta],MATCH(YEAR(B11),tbl_precos[Ano],0))+I11*INDEX(tbl_precos[Pot_Contratada],MATCH(YEAR(B11),tbl_precos[Ano],0)))*DAY(EOMONTH(B11,0)))</f>
        <v>10373.999999999998</v>
      </c>
      <c r="P11" s="17">
        <f t="shared" si="2"/>
        <v>29.584</v>
      </c>
      <c r="Q11" s="17">
        <f t="shared" si="3"/>
        <v>84168.207999999999</v>
      </c>
      <c r="R11" s="19">
        <f t="shared" si="4"/>
        <v>0.14780666189011113</v>
      </c>
      <c r="S11" s="20">
        <f t="shared" si="5"/>
        <v>0.15762984504291874</v>
      </c>
      <c r="T11" s="21">
        <f t="shared" si="6"/>
        <v>0.73499999999999999</v>
      </c>
      <c r="U11" s="12" t="str">
        <f t="shared" si="7"/>
        <v>OK</v>
      </c>
    </row>
    <row r="12" spans="1:21" ht="16.05" customHeight="1" x14ac:dyDescent="0.3">
      <c r="A12" s="9" t="s">
        <v>319</v>
      </c>
      <c r="B12" s="13">
        <v>45931</v>
      </c>
      <c r="C12" s="15">
        <v>90630</v>
      </c>
      <c r="D12" s="15">
        <v>239181</v>
      </c>
      <c r="E12" s="15">
        <v>159958</v>
      </c>
      <c r="F12" s="15">
        <v>78992</v>
      </c>
      <c r="G12" s="15">
        <v>920</v>
      </c>
      <c r="H12" s="15">
        <v>973</v>
      </c>
      <c r="I12" s="15">
        <v>1400</v>
      </c>
      <c r="J12" s="15">
        <v>4728</v>
      </c>
      <c r="K12" s="15">
        <v>568762</v>
      </c>
      <c r="L12" s="18">
        <f t="shared" si="0"/>
        <v>568761</v>
      </c>
      <c r="M12" s="12" t="str">
        <f t="shared" si="1"/>
        <v>OK</v>
      </c>
      <c r="N12" s="17">
        <f>IF(A12="","",C12*INDEX(tbl_precos[Ponta],MATCH(YEAR(B12),tbl_precos[Ano],0))+D12*INDEX(tbl_precos[Cheia],MATCH(YEAR(B12),tbl_precos[Ano],0))+E12*INDEX(tbl_precos[Vazio],MATCH(YEAR(B12),tbl_precos[Ano],0))+F12*INDEX(tbl_precos[Super_Vazio],MATCH(YEAR(B12),tbl_precos[Ano],0)))</f>
        <v>73768.528000000006</v>
      </c>
      <c r="O12" s="17">
        <f>IF(A12="","",(G12*INDEX(tbl_precos[Pot_Ponta],MATCH(YEAR(B12),tbl_precos[Ano],0))+I12*INDEX(tbl_precos[Pot_Contratada],MATCH(YEAR(B12),tbl_precos[Ano],0)))*DAY(EOMONTH(B12,0)))</f>
        <v>10329.199999999999</v>
      </c>
      <c r="P12" s="17">
        <f t="shared" si="2"/>
        <v>37.823999999999998</v>
      </c>
      <c r="Q12" s="17">
        <f t="shared" si="3"/>
        <v>84135.551999999996</v>
      </c>
      <c r="R12" s="19">
        <f t="shared" si="4"/>
        <v>0.14792777985832362</v>
      </c>
      <c r="S12" s="20">
        <f t="shared" si="5"/>
        <v>0.15934636868561664</v>
      </c>
      <c r="T12" s="21">
        <f t="shared" si="6"/>
        <v>0.69499999999999995</v>
      </c>
      <c r="U12" s="12" t="str">
        <f t="shared" si="7"/>
        <v>OK</v>
      </c>
    </row>
    <row r="13" spans="1:21" ht="16.05" customHeight="1" x14ac:dyDescent="0.3">
      <c r="A13" s="9" t="s">
        <v>320</v>
      </c>
      <c r="B13" s="13">
        <v>45962</v>
      </c>
      <c r="C13" s="15">
        <v>92046</v>
      </c>
      <c r="D13" s="15">
        <v>236507</v>
      </c>
      <c r="E13" s="15">
        <v>156341</v>
      </c>
      <c r="F13" s="15">
        <v>76749</v>
      </c>
      <c r="G13" s="15">
        <v>977</v>
      </c>
      <c r="H13" s="15">
        <v>1037</v>
      </c>
      <c r="I13" s="15">
        <v>1400</v>
      </c>
      <c r="J13" s="15">
        <v>3885</v>
      </c>
      <c r="K13" s="15">
        <v>561643</v>
      </c>
      <c r="L13" s="18">
        <f t="shared" si="0"/>
        <v>561643</v>
      </c>
      <c r="M13" s="12" t="str">
        <f t="shared" si="1"/>
        <v>OK</v>
      </c>
      <c r="N13" s="17">
        <f>IF(A13="","",C13*INDEX(tbl_precos[Ponta],MATCH(YEAR(B13),tbl_precos[Ano],0))+D13*INDEX(tbl_precos[Cheia],MATCH(YEAR(B13),tbl_precos[Ano],0))+E13*INDEX(tbl_precos[Vazio],MATCH(YEAR(B13),tbl_precos[Ano],0))+F13*INDEX(tbl_precos[Super_Vazio],MATCH(YEAR(B13),tbl_precos[Ano],0)))</f>
        <v>73054.25</v>
      </c>
      <c r="O13" s="17">
        <f>IF(A13="","",(G13*INDEX(tbl_precos[Pot_Ponta],MATCH(YEAR(B13),tbl_precos[Ano],0))+I13*INDEX(tbl_precos[Pot_Contratada],MATCH(YEAR(B13),tbl_precos[Ano],0)))*DAY(EOMONTH(B13,0)))</f>
        <v>10534.65</v>
      </c>
      <c r="P13" s="17">
        <f t="shared" si="2"/>
        <v>31.080000000000002</v>
      </c>
      <c r="Q13" s="17">
        <f t="shared" si="3"/>
        <v>83619.98</v>
      </c>
      <c r="R13" s="19">
        <f t="shared" si="4"/>
        <v>0.14888457614534498</v>
      </c>
      <c r="S13" s="20">
        <f t="shared" si="5"/>
        <v>0.1638870243197191</v>
      </c>
      <c r="T13" s="21">
        <f t="shared" si="6"/>
        <v>0.74071428571428577</v>
      </c>
      <c r="U13" s="12" t="str">
        <f t="shared" si="7"/>
        <v>OK</v>
      </c>
    </row>
    <row r="14" spans="1:21" ht="16.05" customHeight="1" x14ac:dyDescent="0.3">
      <c r="A14" s="9" t="s">
        <v>321</v>
      </c>
      <c r="B14" s="13">
        <v>45992</v>
      </c>
      <c r="C14" s="15">
        <v>90397</v>
      </c>
      <c r="D14" s="15">
        <v>242684</v>
      </c>
      <c r="E14" s="15">
        <v>168770</v>
      </c>
      <c r="F14" s="15">
        <v>80750</v>
      </c>
      <c r="G14" s="15">
        <v>909</v>
      </c>
      <c r="H14" s="15">
        <v>986</v>
      </c>
      <c r="I14" s="15">
        <v>1400</v>
      </c>
      <c r="J14" s="15">
        <v>5685</v>
      </c>
      <c r="K14" s="15">
        <v>582602</v>
      </c>
      <c r="L14" s="18">
        <f t="shared" si="0"/>
        <v>582601</v>
      </c>
      <c r="M14" s="12" t="str">
        <f t="shared" si="1"/>
        <v>OK</v>
      </c>
      <c r="N14" s="17">
        <f>IF(A14="","",C14*INDEX(tbl_precos[Ponta],MATCH(YEAR(B14),tbl_precos[Ano],0))+D14*INDEX(tbl_precos[Cheia],MATCH(YEAR(B14),tbl_precos[Ano],0))+E14*INDEX(tbl_precos[Vazio],MATCH(YEAR(B14),tbl_precos[Ano],0))+F14*INDEX(tbl_precos[Super_Vazio],MATCH(YEAR(B14),tbl_precos[Ano],0)))</f>
        <v>75313.074999999997</v>
      </c>
      <c r="O14" s="17">
        <f>IF(A14="","",(G14*INDEX(tbl_precos[Pot_Ponta],MATCH(YEAR(B14),tbl_precos[Ano],0))+I14*INDEX(tbl_precos[Pot_Contratada],MATCH(YEAR(B14),tbl_precos[Ano],0)))*DAY(EOMONTH(B14,0)))</f>
        <v>10221.784999999998</v>
      </c>
      <c r="P14" s="17">
        <f t="shared" si="2"/>
        <v>45.480000000000004</v>
      </c>
      <c r="Q14" s="17">
        <f t="shared" si="3"/>
        <v>85580.34</v>
      </c>
      <c r="R14" s="19">
        <f t="shared" si="4"/>
        <v>0.14689356866878017</v>
      </c>
      <c r="S14" s="20">
        <f t="shared" si="5"/>
        <v>0.15516107936649612</v>
      </c>
      <c r="T14" s="21">
        <f t="shared" si="6"/>
        <v>0.70428571428571429</v>
      </c>
      <c r="U14" s="12" t="str">
        <f t="shared" si="7"/>
        <v>OK</v>
      </c>
    </row>
    <row r="15" spans="1:21" ht="16.05" customHeight="1" x14ac:dyDescent="0.3">
      <c r="A15" s="9" t="s">
        <v>322</v>
      </c>
      <c r="B15" s="13">
        <v>46023</v>
      </c>
      <c r="C15" s="15">
        <v>94094</v>
      </c>
      <c r="D15" s="15">
        <v>233079</v>
      </c>
      <c r="E15" s="15">
        <v>160113</v>
      </c>
      <c r="F15" s="15">
        <v>79965</v>
      </c>
      <c r="G15" s="15">
        <v>893</v>
      </c>
      <c r="H15" s="15">
        <v>980</v>
      </c>
      <c r="I15" s="15">
        <v>1400</v>
      </c>
      <c r="J15" s="15">
        <v>4962</v>
      </c>
      <c r="K15" s="15">
        <v>567251</v>
      </c>
      <c r="L15" s="18">
        <f t="shared" si="0"/>
        <v>567251</v>
      </c>
      <c r="M15" s="12" t="str">
        <f t="shared" si="1"/>
        <v>OK</v>
      </c>
      <c r="N15" s="17">
        <f>IF(A15="","",C15*INDEX(tbl_precos[Ponta],MATCH(YEAR(B15),tbl_precos[Ano],0))+D15*INDEX(tbl_precos[Cheia],MATCH(YEAR(B15),tbl_precos[Ano],0))+E15*INDEX(tbl_precos[Vazio],MATCH(YEAR(B15),tbl_precos[Ano],0))+F15*INDEX(tbl_precos[Super_Vazio],MATCH(YEAR(B15),tbl_precos[Ano],0)))</f>
        <v>75833.477499999994</v>
      </c>
      <c r="O15" s="17">
        <f>IF(A15="","",(G15*INDEX(tbl_precos[Pot_Ponta],MATCH(YEAR(B15),tbl_precos[Ano],0))+I15*INDEX(tbl_precos[Pot_Contratada],MATCH(YEAR(B15),tbl_precos[Ano],0)))*DAY(EOMONTH(B15,0)))</f>
        <v>10302.726000000001</v>
      </c>
      <c r="P15" s="17">
        <f t="shared" si="2"/>
        <v>39.695999999999998</v>
      </c>
      <c r="Q15" s="17">
        <f t="shared" si="3"/>
        <v>86175.899499999985</v>
      </c>
      <c r="R15" s="19">
        <f t="shared" si="4"/>
        <v>0.15191846202122161</v>
      </c>
      <c r="S15" s="20">
        <f t="shared" si="5"/>
        <v>0.16587718664224479</v>
      </c>
      <c r="T15" s="21">
        <f t="shared" si="6"/>
        <v>0.7</v>
      </c>
      <c r="U15" s="12" t="str">
        <f t="shared" si="7"/>
        <v>OK</v>
      </c>
    </row>
    <row r="16" spans="1:21" ht="16.05" customHeight="1" x14ac:dyDescent="0.3">
      <c r="A16" s="9" t="s">
        <v>323</v>
      </c>
      <c r="B16" s="13">
        <v>46054</v>
      </c>
      <c r="C16" s="15">
        <v>85684</v>
      </c>
      <c r="D16" s="15">
        <v>219102</v>
      </c>
      <c r="E16" s="15">
        <v>147548</v>
      </c>
      <c r="F16" s="15">
        <v>75415</v>
      </c>
      <c r="G16" s="15">
        <v>937</v>
      </c>
      <c r="H16" s="15">
        <v>1032</v>
      </c>
      <c r="I16" s="15">
        <v>1400</v>
      </c>
      <c r="J16" s="15">
        <v>5663</v>
      </c>
      <c r="K16" s="15">
        <v>527749</v>
      </c>
      <c r="L16" s="18">
        <f t="shared" si="0"/>
        <v>527749</v>
      </c>
      <c r="M16" s="12" t="str">
        <f t="shared" si="1"/>
        <v>OK</v>
      </c>
      <c r="N16" s="17">
        <f>IF(A16="","",C16*INDEX(tbl_precos[Ponta],MATCH(YEAR(B16),tbl_precos[Ano],0))+D16*INDEX(tbl_precos[Cheia],MATCH(YEAR(B16),tbl_precos[Ano],0))+E16*INDEX(tbl_precos[Vazio],MATCH(YEAR(B16),tbl_precos[Ano],0))+F16*INDEX(tbl_precos[Super_Vazio],MATCH(YEAR(B16),tbl_precos[Ano],0)))</f>
        <v>70475.133499999996</v>
      </c>
      <c r="O16" s="17">
        <f>IF(A16="","",(G16*INDEX(tbl_precos[Pot_Ponta],MATCH(YEAR(B16),tbl_precos[Ano],0))+I16*INDEX(tbl_precos[Pot_Contratada],MATCH(YEAR(B16),tbl_precos[Ano],0)))*DAY(EOMONTH(B16,0)))</f>
        <v>9702.3919999999998</v>
      </c>
      <c r="P16" s="17">
        <f t="shared" si="2"/>
        <v>45.304000000000002</v>
      </c>
      <c r="Q16" s="17">
        <f t="shared" si="3"/>
        <v>80222.829499999993</v>
      </c>
      <c r="R16" s="19">
        <f t="shared" si="4"/>
        <v>0.15200943914626081</v>
      </c>
      <c r="S16" s="20">
        <f t="shared" si="5"/>
        <v>0.16235748433440897</v>
      </c>
      <c r="T16" s="21">
        <f t="shared" si="6"/>
        <v>0.7371428571428571</v>
      </c>
      <c r="U16" s="12" t="str">
        <f t="shared" si="7"/>
        <v>OK</v>
      </c>
    </row>
    <row r="17" spans="1:21" ht="16.05" customHeight="1" x14ac:dyDescent="0.3">
      <c r="A17" s="9" t="s">
        <v>324</v>
      </c>
      <c r="B17" s="13">
        <v>46082</v>
      </c>
      <c r="C17" s="15">
        <v>92245</v>
      </c>
      <c r="D17" s="15">
        <v>244120</v>
      </c>
      <c r="E17" s="15">
        <v>166668</v>
      </c>
      <c r="F17" s="15">
        <v>87129</v>
      </c>
      <c r="G17" s="15">
        <v>939</v>
      </c>
      <c r="H17" s="15">
        <v>1034</v>
      </c>
      <c r="I17" s="15">
        <v>1400</v>
      </c>
      <c r="J17" s="15">
        <v>9443</v>
      </c>
      <c r="K17" s="15">
        <v>590162</v>
      </c>
      <c r="L17" s="18">
        <f t="shared" si="0"/>
        <v>590162</v>
      </c>
      <c r="M17" s="12" t="str">
        <f t="shared" si="1"/>
        <v>OK</v>
      </c>
      <c r="N17" s="17">
        <f>IF(A17="","",C17*INDEX(tbl_precos[Ponta],MATCH(YEAR(B17),tbl_precos[Ano],0))+D17*INDEX(tbl_precos[Cheia],MATCH(YEAR(B17),tbl_precos[Ano],0))+E17*INDEX(tbl_precos[Vazio],MATCH(YEAR(B17),tbl_precos[Ano],0))+F17*INDEX(tbl_precos[Super_Vazio],MATCH(YEAR(B17),tbl_precos[Ano],0)))</f>
        <v>78479.383499999996</v>
      </c>
      <c r="O17" s="17">
        <f>IF(A17="","",(G17*INDEX(tbl_precos[Pot_Ponta],MATCH(YEAR(B17),tbl_precos[Ano],0))+I17*INDEX(tbl_precos[Pot_Contratada],MATCH(YEAR(B17),tbl_precos[Ano],0)))*DAY(EOMONTH(B17,0)))</f>
        <v>10761.898000000001</v>
      </c>
      <c r="P17" s="17">
        <f t="shared" si="2"/>
        <v>75.543999999999997</v>
      </c>
      <c r="Q17" s="17">
        <f t="shared" si="3"/>
        <v>89316.825499999992</v>
      </c>
      <c r="R17" s="19">
        <f t="shared" si="4"/>
        <v>0.15134289483226637</v>
      </c>
      <c r="S17" s="20">
        <f t="shared" si="5"/>
        <v>0.1563045401093259</v>
      </c>
      <c r="T17" s="21">
        <f t="shared" si="6"/>
        <v>0.73857142857142855</v>
      </c>
      <c r="U17" s="12" t="str">
        <f t="shared" si="7"/>
        <v>OK</v>
      </c>
    </row>
    <row r="18" spans="1:21" ht="16.05" customHeight="1" x14ac:dyDescent="0.3">
      <c r="A18" s="9" t="s">
        <v>325</v>
      </c>
      <c r="B18" s="13">
        <v>46113</v>
      </c>
      <c r="C18" s="15">
        <v>87218</v>
      </c>
      <c r="D18" s="15">
        <v>228293</v>
      </c>
      <c r="E18" s="15">
        <v>157598</v>
      </c>
      <c r="F18" s="15">
        <v>81243</v>
      </c>
      <c r="G18" s="15">
        <v>960</v>
      </c>
      <c r="H18" s="15">
        <v>1024</v>
      </c>
      <c r="I18" s="15">
        <v>1400</v>
      </c>
      <c r="J18" s="15">
        <v>8019</v>
      </c>
      <c r="K18" s="15">
        <v>554352</v>
      </c>
      <c r="L18" s="18">
        <f t="shared" si="0"/>
        <v>554352</v>
      </c>
      <c r="M18" s="12" t="str">
        <f t="shared" si="1"/>
        <v>OK</v>
      </c>
      <c r="N18" s="17">
        <f>IF(A18="","",C18*INDEX(tbl_precos[Ponta],MATCH(YEAR(B18),tbl_precos[Ano],0))+D18*INDEX(tbl_precos[Cheia],MATCH(YEAR(B18),tbl_precos[Ano],0))+E18*INDEX(tbl_precos[Vazio],MATCH(YEAR(B18),tbl_precos[Ano],0))+F18*INDEX(tbl_precos[Super_Vazio],MATCH(YEAR(B18),tbl_precos[Ano],0)))</f>
        <v>73733.553499999995</v>
      </c>
      <c r="O18" s="17">
        <f>IF(A18="","",(G18*INDEX(tbl_precos[Pot_Ponta],MATCH(YEAR(B18),tbl_precos[Ano],0))+I18*INDEX(tbl_precos[Pot_Contratada],MATCH(YEAR(B18),tbl_precos[Ano],0)))*DAY(EOMONTH(B18,0)))</f>
        <v>10617.6</v>
      </c>
      <c r="P18" s="17">
        <f t="shared" si="2"/>
        <v>64.152000000000001</v>
      </c>
      <c r="Q18" s="17">
        <f t="shared" si="3"/>
        <v>84415.305500000002</v>
      </c>
      <c r="R18" s="19">
        <f t="shared" si="4"/>
        <v>0.15227744375414901</v>
      </c>
      <c r="S18" s="20">
        <f t="shared" si="5"/>
        <v>0.15733324674575</v>
      </c>
      <c r="T18" s="21">
        <f t="shared" si="6"/>
        <v>0.73142857142857143</v>
      </c>
      <c r="U18" s="12" t="str">
        <f t="shared" si="7"/>
        <v>OK</v>
      </c>
    </row>
    <row r="19" spans="1:21" ht="16.05" customHeight="1" x14ac:dyDescent="0.3">
      <c r="A19" s="9" t="s">
        <v>326</v>
      </c>
      <c r="B19" s="13">
        <v>46143</v>
      </c>
      <c r="C19" s="15">
        <v>92211</v>
      </c>
      <c r="D19" s="15">
        <v>252222</v>
      </c>
      <c r="E19" s="15">
        <v>161120</v>
      </c>
      <c r="F19" s="15">
        <v>82818</v>
      </c>
      <c r="G19" s="15">
        <v>933</v>
      </c>
      <c r="H19" s="15">
        <v>984</v>
      </c>
      <c r="I19" s="15">
        <v>1400</v>
      </c>
      <c r="J19" s="15">
        <v>9897</v>
      </c>
      <c r="K19" s="15">
        <v>588371</v>
      </c>
      <c r="L19" s="18">
        <f t="shared" si="0"/>
        <v>588371</v>
      </c>
      <c r="M19" s="12" t="str">
        <f t="shared" si="1"/>
        <v>OK</v>
      </c>
      <c r="N19" s="17">
        <f>IF(A19="","",C19*INDEX(tbl_precos[Ponta],MATCH(YEAR(B19),tbl_precos[Ano],0))+D19*INDEX(tbl_precos[Cheia],MATCH(YEAR(B19),tbl_precos[Ano],0))+E19*INDEX(tbl_precos[Vazio],MATCH(YEAR(B19),tbl_precos[Ano],0))+F19*INDEX(tbl_precos[Super_Vazio],MATCH(YEAR(B19),tbl_precos[Ano],0)))</f>
        <v>78594.212</v>
      </c>
      <c r="O19" s="17">
        <f>IF(A19="","",(G19*INDEX(tbl_precos[Pot_Ponta],MATCH(YEAR(B19),tbl_precos[Ano],0))+I19*INDEX(tbl_precos[Pot_Contratada],MATCH(YEAR(B19),tbl_precos[Ano],0)))*DAY(EOMONTH(B19,0)))</f>
        <v>10702.005999999999</v>
      </c>
      <c r="P19" s="17">
        <f t="shared" si="2"/>
        <v>79.176000000000002</v>
      </c>
      <c r="Q19" s="17">
        <f t="shared" si="3"/>
        <v>89375.394</v>
      </c>
      <c r="R19" s="19">
        <f t="shared" si="4"/>
        <v>0.15190312574888973</v>
      </c>
      <c r="S19" s="20">
        <f t="shared" si="5"/>
        <v>0.15672254410907405</v>
      </c>
      <c r="T19" s="21">
        <f t="shared" si="6"/>
        <v>0.70285714285714285</v>
      </c>
      <c r="U19" s="12" t="str">
        <f t="shared" si="7"/>
        <v>OK</v>
      </c>
    </row>
    <row r="20" spans="1:21" ht="16.05" customHeight="1" x14ac:dyDescent="0.3">
      <c r="A20" s="9" t="s">
        <v>327</v>
      </c>
      <c r="B20" s="13">
        <v>46174</v>
      </c>
      <c r="C20" s="15">
        <v>93291</v>
      </c>
      <c r="D20" s="15">
        <v>235908</v>
      </c>
      <c r="E20" s="15">
        <v>161061</v>
      </c>
      <c r="F20" s="15">
        <v>78719</v>
      </c>
      <c r="G20" s="15">
        <v>957</v>
      </c>
      <c r="H20" s="15">
        <v>1047</v>
      </c>
      <c r="I20" s="15">
        <v>1400</v>
      </c>
      <c r="J20" s="15">
        <v>10156</v>
      </c>
      <c r="K20" s="15">
        <v>568979</v>
      </c>
      <c r="L20" s="18">
        <f t="shared" si="0"/>
        <v>568979</v>
      </c>
      <c r="M20" s="12" t="str">
        <f t="shared" si="1"/>
        <v>OK</v>
      </c>
      <c r="N20" s="17">
        <f>IF(A20="","",C20*INDEX(tbl_precos[Ponta],MATCH(YEAR(B20),tbl_precos[Ano],0))+D20*INDEX(tbl_precos[Cheia],MATCH(YEAR(B20),tbl_precos[Ano],0))+E20*INDEX(tbl_precos[Vazio],MATCH(YEAR(B20),tbl_precos[Ano],0))+F20*INDEX(tbl_precos[Super_Vazio],MATCH(YEAR(B20),tbl_precos[Ano],0)))</f>
        <v>76067.241500000004</v>
      </c>
      <c r="O20" s="17">
        <f>IF(A20="","",(G20*INDEX(tbl_precos[Pot_Ponta],MATCH(YEAR(B20),tbl_precos[Ano],0))+I20*INDEX(tbl_precos[Pot_Contratada],MATCH(YEAR(B20),tbl_precos[Ano],0)))*DAY(EOMONTH(B20,0)))</f>
        <v>10588.62</v>
      </c>
      <c r="P20" s="17">
        <f t="shared" si="2"/>
        <v>81.248000000000005</v>
      </c>
      <c r="Q20" s="17">
        <f t="shared" si="3"/>
        <v>86737.109500000006</v>
      </c>
      <c r="R20" s="19">
        <f t="shared" si="4"/>
        <v>0.15244342849208847</v>
      </c>
      <c r="S20" s="20">
        <f t="shared" si="5"/>
        <v>0.163962114594739</v>
      </c>
      <c r="T20" s="21">
        <f t="shared" si="6"/>
        <v>0.74785714285714289</v>
      </c>
      <c r="U20" s="12" t="str">
        <f t="shared" si="7"/>
        <v>OK</v>
      </c>
    </row>
    <row r="21" spans="1:21" ht="16.05" customHeight="1" x14ac:dyDescent="0.3">
      <c r="A21" s="9" t="s">
        <v>328</v>
      </c>
      <c r="B21" s="13">
        <v>46204</v>
      </c>
      <c r="C21" s="15">
        <v>114918</v>
      </c>
      <c r="D21" s="15">
        <v>309102</v>
      </c>
      <c r="E21" s="15">
        <v>198078</v>
      </c>
      <c r="F21" s="15">
        <v>105600</v>
      </c>
      <c r="G21" s="15">
        <v>1159</v>
      </c>
      <c r="H21" s="15">
        <v>1266</v>
      </c>
      <c r="I21" s="15">
        <v>1400</v>
      </c>
      <c r="J21" s="15">
        <v>11988</v>
      </c>
      <c r="K21" s="15">
        <v>727698</v>
      </c>
      <c r="L21" s="18">
        <f t="shared" si="0"/>
        <v>727698</v>
      </c>
      <c r="M21" s="12" t="str">
        <f t="shared" si="1"/>
        <v>OK</v>
      </c>
      <c r="N21" s="17">
        <f>IF(A21="","",C21*INDEX(tbl_precos[Ponta],MATCH(YEAR(B21),tbl_precos[Ano],0))+D21*INDEX(tbl_precos[Cheia],MATCH(YEAR(B21),tbl_precos[Ano],0))+E21*INDEX(tbl_precos[Vazio],MATCH(YEAR(B21),tbl_precos[Ano],0))+F21*INDEX(tbl_precos[Super_Vazio],MATCH(YEAR(B21),tbl_precos[Ano],0)))</f>
        <v>97144.415999999997</v>
      </c>
      <c r="O21" s="17">
        <f>IF(A21="","",(G21*INDEX(tbl_precos[Pot_Ponta],MATCH(YEAR(B21),tbl_precos[Ano],0))+I21*INDEX(tbl_precos[Pot_Contratada],MATCH(YEAR(B21),tbl_precos[Ano],0)))*DAY(EOMONTH(B21,0)))</f>
        <v>12957.938000000002</v>
      </c>
      <c r="P21" s="17">
        <f t="shared" si="2"/>
        <v>95.903999999999996</v>
      </c>
      <c r="Q21" s="17">
        <f t="shared" si="3"/>
        <v>110198.25799999999</v>
      </c>
      <c r="R21" s="19">
        <f t="shared" si="4"/>
        <v>0.15143405368710644</v>
      </c>
      <c r="S21" s="20">
        <f t="shared" si="5"/>
        <v>0.15791990633477074</v>
      </c>
      <c r="T21" s="21">
        <f t="shared" si="6"/>
        <v>0.90428571428571425</v>
      </c>
      <c r="U21" s="12" t="str">
        <f t="shared" si="7"/>
        <v>Atenção</v>
      </c>
    </row>
    <row r="22" spans="1:21" ht="16.05" customHeight="1" x14ac:dyDescent="0.3">
      <c r="A22" s="9" t="s">
        <v>329</v>
      </c>
      <c r="B22" s="13">
        <v>46235</v>
      </c>
      <c r="C22" s="15">
        <v>130531</v>
      </c>
      <c r="D22" s="15">
        <v>337912</v>
      </c>
      <c r="E22" s="15">
        <v>223999</v>
      </c>
      <c r="F22" s="15">
        <v>112388</v>
      </c>
      <c r="G22" s="15">
        <v>1376</v>
      </c>
      <c r="H22" s="15">
        <v>1429</v>
      </c>
      <c r="I22" s="15">
        <v>1400</v>
      </c>
      <c r="J22" s="15">
        <v>11135</v>
      </c>
      <c r="K22" s="15">
        <v>804830</v>
      </c>
      <c r="L22" s="18">
        <f t="shared" si="0"/>
        <v>804830</v>
      </c>
      <c r="M22" s="12" t="str">
        <f t="shared" si="1"/>
        <v>OK</v>
      </c>
      <c r="N22" s="17">
        <f>IF(A22="","",C22*INDEX(tbl_precos[Ponta],MATCH(YEAR(B22),tbl_precos[Ano],0))+D22*INDEX(tbl_precos[Cheia],MATCH(YEAR(B22),tbl_precos[Ano],0))+E22*INDEX(tbl_precos[Vazio],MATCH(YEAR(B22),tbl_precos[Ano],0))+F22*INDEX(tbl_precos[Super_Vazio],MATCH(YEAR(B22),tbl_precos[Ano],0)))</f>
        <v>107617.848</v>
      </c>
      <c r="O22" s="17">
        <f>IF(A22="","",(G22*INDEX(tbl_precos[Pot_Ponta],MATCH(YEAR(B22),tbl_precos[Ano],0))+I22*INDEX(tbl_precos[Pot_Contratada],MATCH(YEAR(B22),tbl_precos[Ano],0)))*DAY(EOMONTH(B22,0)))</f>
        <v>15124.032000000001</v>
      </c>
      <c r="P22" s="17">
        <f t="shared" si="2"/>
        <v>89.08</v>
      </c>
      <c r="Q22" s="17">
        <f t="shared" si="3"/>
        <v>122830.96</v>
      </c>
      <c r="R22" s="19">
        <f t="shared" si="4"/>
        <v>0.15261727321297666</v>
      </c>
      <c r="S22" s="20">
        <f t="shared" si="5"/>
        <v>0.16218456071468509</v>
      </c>
      <c r="T22" s="21">
        <f t="shared" si="6"/>
        <v>1.0207142857142857</v>
      </c>
      <c r="U22" s="12" t="str">
        <f t="shared" si="7"/>
        <v>Crítico</v>
      </c>
    </row>
    <row r="23" spans="1:21" ht="16.05" customHeight="1" x14ac:dyDescent="0.3">
      <c r="A23" s="9" t="s">
        <v>330</v>
      </c>
      <c r="B23" s="13">
        <v>46266</v>
      </c>
      <c r="C23" s="15">
        <v>120910</v>
      </c>
      <c r="D23" s="15">
        <v>305430</v>
      </c>
      <c r="E23" s="15">
        <v>207427</v>
      </c>
      <c r="F23" s="15">
        <v>102870</v>
      </c>
      <c r="G23" s="15">
        <v>1249</v>
      </c>
      <c r="H23" s="15">
        <v>1353</v>
      </c>
      <c r="I23" s="15">
        <v>1400</v>
      </c>
      <c r="J23" s="15">
        <v>11581</v>
      </c>
      <c r="K23" s="15">
        <v>736636</v>
      </c>
      <c r="L23" s="18">
        <f t="shared" si="0"/>
        <v>736637</v>
      </c>
      <c r="M23" s="12" t="str">
        <f t="shared" si="1"/>
        <v>OK</v>
      </c>
      <c r="N23" s="17">
        <f>IF(A23="","",C23*INDEX(tbl_precos[Ponta],MATCH(YEAR(B23),tbl_precos[Ano],0))+D23*INDEX(tbl_precos[Cheia],MATCH(YEAR(B23),tbl_precos[Ano],0))+E23*INDEX(tbl_precos[Vazio],MATCH(YEAR(B23),tbl_precos[Ano],0))+F23*INDEX(tbl_precos[Super_Vazio],MATCH(YEAR(B23),tbl_precos[Ano],0)))</f>
        <v>98481.648000000016</v>
      </c>
      <c r="O23" s="17">
        <f>IF(A23="","",(G23*INDEX(tbl_precos[Pot_Ponta],MATCH(YEAR(B23),tbl_precos[Ano],0))+I23*INDEX(tbl_precos[Pot_Contratada],MATCH(YEAR(B23),tbl_precos[Ano],0)))*DAY(EOMONTH(B23,0)))</f>
        <v>13409.34</v>
      </c>
      <c r="P23" s="17">
        <f t="shared" si="2"/>
        <v>92.647999999999996</v>
      </c>
      <c r="Q23" s="17">
        <f t="shared" si="3"/>
        <v>111983.63600000001</v>
      </c>
      <c r="R23" s="19">
        <f t="shared" si="4"/>
        <v>0.15202010759709331</v>
      </c>
      <c r="S23" s="20">
        <f t="shared" si="5"/>
        <v>0.16413783179503608</v>
      </c>
      <c r="T23" s="21">
        <f t="shared" si="6"/>
        <v>0.96642857142857141</v>
      </c>
      <c r="U23" s="12" t="str">
        <f t="shared" si="7"/>
        <v>Crítico</v>
      </c>
    </row>
    <row r="24" spans="1:21" ht="16.05" customHeight="1" x14ac:dyDescent="0.3">
      <c r="A24" s="9" t="s">
        <v>331</v>
      </c>
      <c r="B24" s="13">
        <v>46296</v>
      </c>
      <c r="C24" s="15">
        <v>117634</v>
      </c>
      <c r="D24" s="15">
        <v>313776</v>
      </c>
      <c r="E24" s="15">
        <v>210792</v>
      </c>
      <c r="F24" s="15">
        <v>99501</v>
      </c>
      <c r="G24" s="15">
        <v>1173</v>
      </c>
      <c r="H24" s="15">
        <v>1265</v>
      </c>
      <c r="I24" s="15">
        <v>1400</v>
      </c>
      <c r="J24" s="15">
        <v>9407</v>
      </c>
      <c r="K24" s="15">
        <v>741703</v>
      </c>
      <c r="L24" s="18">
        <f t="shared" si="0"/>
        <v>741703</v>
      </c>
      <c r="M24" s="12" t="str">
        <f t="shared" si="1"/>
        <v>OK</v>
      </c>
      <c r="N24" s="17">
        <f>IF(A24="","",C24*INDEX(tbl_precos[Ponta],MATCH(YEAR(B24),tbl_precos[Ano],0))+D24*INDEX(tbl_precos[Cheia],MATCH(YEAR(B24),tbl_precos[Ano],0))+E24*INDEX(tbl_precos[Vazio],MATCH(YEAR(B24),tbl_precos[Ano],0))+F24*INDEX(tbl_precos[Super_Vazio],MATCH(YEAR(B24),tbl_precos[Ano],0)))</f>
        <v>99095.65849999999</v>
      </c>
      <c r="O24" s="17">
        <f>IF(A24="","",(G24*INDEX(tbl_precos[Pot_Ponta],MATCH(YEAR(B24),tbl_precos[Ano],0))+I24*INDEX(tbl_precos[Pot_Contratada],MATCH(YEAR(B24),tbl_precos[Ano],0)))*DAY(EOMONTH(B24,0)))</f>
        <v>13097.686000000002</v>
      </c>
      <c r="P24" s="17">
        <f t="shared" si="2"/>
        <v>75.256</v>
      </c>
      <c r="Q24" s="17">
        <f t="shared" si="3"/>
        <v>112268.60049999999</v>
      </c>
      <c r="R24" s="19">
        <f t="shared" si="4"/>
        <v>0.15136597870036927</v>
      </c>
      <c r="S24" s="20">
        <f t="shared" si="5"/>
        <v>0.15859987083778818</v>
      </c>
      <c r="T24" s="21">
        <f t="shared" si="6"/>
        <v>0.90357142857142858</v>
      </c>
      <c r="U24" s="12" t="str">
        <f t="shared" si="7"/>
        <v>Atenção</v>
      </c>
    </row>
    <row r="25" spans="1:21" ht="16.05" customHeight="1" x14ac:dyDescent="0.3">
      <c r="A25" s="9" t="s">
        <v>332</v>
      </c>
      <c r="B25" s="13">
        <v>46327</v>
      </c>
      <c r="C25" s="15">
        <v>115222</v>
      </c>
      <c r="D25" s="15">
        <v>288996</v>
      </c>
      <c r="E25" s="15">
        <v>195704</v>
      </c>
      <c r="F25" s="15">
        <v>97739</v>
      </c>
      <c r="G25" s="15">
        <v>1214</v>
      </c>
      <c r="H25" s="15">
        <v>1303</v>
      </c>
      <c r="I25" s="15">
        <v>1400</v>
      </c>
      <c r="J25" s="15">
        <v>4942</v>
      </c>
      <c r="K25" s="15">
        <v>697661</v>
      </c>
      <c r="L25" s="18">
        <f t="shared" si="0"/>
        <v>697661</v>
      </c>
      <c r="M25" s="12" t="str">
        <f t="shared" si="1"/>
        <v>OK</v>
      </c>
      <c r="N25" s="17">
        <f>IF(A25="","",C25*INDEX(tbl_precos[Ponta],MATCH(YEAR(B25),tbl_precos[Ano],0))+D25*INDEX(tbl_precos[Cheia],MATCH(YEAR(B25),tbl_precos[Ano],0))+E25*INDEX(tbl_precos[Vazio],MATCH(YEAR(B25),tbl_precos[Ano],0))+F25*INDEX(tbl_precos[Super_Vazio],MATCH(YEAR(B25),tbl_precos[Ano],0)))</f>
        <v>93312.529500000004</v>
      </c>
      <c r="O25" s="17">
        <f>IF(A25="","",(G25*INDEX(tbl_precos[Pot_Ponta],MATCH(YEAR(B25),tbl_precos[Ano],0))+I25*INDEX(tbl_precos[Pot_Contratada],MATCH(YEAR(B25),tbl_precos[Ano],0)))*DAY(EOMONTH(B25,0)))</f>
        <v>13071.240000000002</v>
      </c>
      <c r="P25" s="17">
        <f t="shared" si="2"/>
        <v>39.536000000000001</v>
      </c>
      <c r="Q25" s="17">
        <f t="shared" si="3"/>
        <v>106423.3055</v>
      </c>
      <c r="R25" s="19">
        <f t="shared" si="4"/>
        <v>0.15254300512713195</v>
      </c>
      <c r="S25" s="20">
        <f t="shared" si="5"/>
        <v>0.16515470980891866</v>
      </c>
      <c r="T25" s="21">
        <f t="shared" si="6"/>
        <v>0.93071428571428572</v>
      </c>
      <c r="U25" s="12" t="str">
        <f t="shared" si="7"/>
        <v>Atenção</v>
      </c>
    </row>
    <row r="26" spans="1:21" ht="16.05" customHeight="1" x14ac:dyDescent="0.3">
      <c r="A26" s="9" t="s">
        <v>333</v>
      </c>
      <c r="B26" s="13">
        <v>46357</v>
      </c>
      <c r="C26" s="15">
        <v>107959</v>
      </c>
      <c r="D26" s="15">
        <v>285212</v>
      </c>
      <c r="E26" s="15">
        <v>187386</v>
      </c>
      <c r="F26" s="15">
        <v>95415</v>
      </c>
      <c r="G26" s="15">
        <v>1119</v>
      </c>
      <c r="H26" s="15">
        <v>1204</v>
      </c>
      <c r="I26" s="15">
        <v>1400</v>
      </c>
      <c r="J26" s="15">
        <v>7716</v>
      </c>
      <c r="K26" s="15">
        <v>675973</v>
      </c>
      <c r="L26" s="18">
        <f t="shared" si="0"/>
        <v>675972</v>
      </c>
      <c r="M26" s="12" t="str">
        <f t="shared" si="1"/>
        <v>OK</v>
      </c>
      <c r="N26" s="17">
        <f>IF(A26="","",C26*INDEX(tbl_precos[Ponta],MATCH(YEAR(B26),tbl_precos[Ano],0))+D26*INDEX(tbl_precos[Cheia],MATCH(YEAR(B26),tbl_precos[Ano],0))+E26*INDEX(tbl_precos[Vazio],MATCH(YEAR(B26),tbl_precos[Ano],0))+F26*INDEX(tbl_precos[Super_Vazio],MATCH(YEAR(B26),tbl_precos[Ano],0)))</f>
        <v>90295.970499999996</v>
      </c>
      <c r="O26" s="17">
        <f>IF(A26="","",(G26*INDEX(tbl_precos[Pot_Ponta],MATCH(YEAR(B26),tbl_precos[Ano],0))+I26*INDEX(tbl_precos[Pot_Contratada],MATCH(YEAR(B26),tbl_precos[Ano],0)))*DAY(EOMONTH(B26,0)))</f>
        <v>12558.657999999999</v>
      </c>
      <c r="P26" s="17">
        <f t="shared" si="2"/>
        <v>61.728000000000002</v>
      </c>
      <c r="Q26" s="17">
        <f t="shared" si="3"/>
        <v>102916.35649999999</v>
      </c>
      <c r="R26" s="19">
        <f t="shared" si="4"/>
        <v>0.1522494371068624</v>
      </c>
      <c r="S26" s="20">
        <f t="shared" si="5"/>
        <v>0.15970927789908457</v>
      </c>
      <c r="T26" s="21">
        <f t="shared" si="6"/>
        <v>0.86</v>
      </c>
      <c r="U26" s="12" t="str">
        <f t="shared" si="7"/>
        <v>OK</v>
      </c>
    </row>
  </sheetData>
  <conditionalFormatting sqref="M5:M226">
    <cfRule type="expression" dxfId="3" priority="4">
      <formula>ISNUMBER(SEARCH("Diferença",M5))</formula>
    </cfRule>
  </conditionalFormatting>
  <conditionalFormatting sqref="U5:U226">
    <cfRule type="expression" dxfId="2" priority="1">
      <formula>ISNUMBER(SEARCH("Crítico",U5))</formula>
    </cfRule>
    <cfRule type="expression" dxfId="1" priority="2">
      <formula>ISNUMBER(SEARCH("Atenção",U5))</formula>
    </cfRule>
    <cfRule type="expression" dxfId="0" priority="3">
      <formula>ISNUMBER(SEARCH("OK",U5))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</cols>
  <sheetData>
    <row r="1" spans="1:3" x14ac:dyDescent="0.3">
      <c r="A1" s="22" t="s">
        <v>334</v>
      </c>
    </row>
    <row r="2" spans="1:3" x14ac:dyDescent="0.3">
      <c r="A2" s="23" t="s">
        <v>335</v>
      </c>
      <c r="B2" s="23" t="s">
        <v>336</v>
      </c>
      <c r="C2" s="23" t="s">
        <v>337</v>
      </c>
    </row>
    <row r="3" spans="1:3" x14ac:dyDescent="0.3">
      <c r="A3" s="24">
        <v>46387</v>
      </c>
      <c r="B3" s="6" t="s">
        <v>338</v>
      </c>
      <c r="C3" s="6" t="s">
        <v>127</v>
      </c>
    </row>
    <row r="4" spans="1:3" x14ac:dyDescent="0.3">
      <c r="B4" s="6" t="s">
        <v>339</v>
      </c>
      <c r="C4" s="6" t="s">
        <v>131</v>
      </c>
    </row>
    <row r="5" spans="1:3" ht="26.4" x14ac:dyDescent="0.3">
      <c r="B5" s="6" t="s">
        <v>340</v>
      </c>
      <c r="C5" s="6" t="s">
        <v>218</v>
      </c>
    </row>
    <row r="6" spans="1:3" x14ac:dyDescent="0.3">
      <c r="B6" s="6" t="s">
        <v>341</v>
      </c>
    </row>
    <row r="7" spans="1:3" x14ac:dyDescent="0.3">
      <c r="B7" s="6" t="s">
        <v>342</v>
      </c>
    </row>
    <row r="8" spans="1:3" x14ac:dyDescent="0.3">
      <c r="B8" s="6" t="s">
        <v>343</v>
      </c>
    </row>
    <row r="9" spans="1:3" x14ac:dyDescent="0.3">
      <c r="B9" s="6" t="s">
        <v>344</v>
      </c>
    </row>
    <row r="10" spans="1:3" x14ac:dyDescent="0.3">
      <c r="B10" s="6" t="s">
        <v>345</v>
      </c>
    </row>
    <row r="11" spans="1:3" x14ac:dyDescent="0.3">
      <c r="B11" s="6" t="s">
        <v>346</v>
      </c>
    </row>
    <row r="12" spans="1:3" x14ac:dyDescent="0.3">
      <c r="B12" s="6" t="s">
        <v>347</v>
      </c>
    </row>
    <row r="13" spans="1:3" x14ac:dyDescent="0.3">
      <c r="B13" s="6" t="s">
        <v>348</v>
      </c>
    </row>
    <row r="14" spans="1:3" x14ac:dyDescent="0.3">
      <c r="B14" s="6" t="s">
        <v>349</v>
      </c>
    </row>
    <row r="15" spans="1:3" x14ac:dyDescent="0.3">
      <c r="B15" s="6" t="s">
        <v>350</v>
      </c>
    </row>
    <row r="16" spans="1:3" x14ac:dyDescent="0.3">
      <c r="B16" s="6" t="s">
        <v>351</v>
      </c>
    </row>
    <row r="17" spans="2:2" x14ac:dyDescent="0.3">
      <c r="B17" s="6" t="s">
        <v>352</v>
      </c>
    </row>
    <row r="18" spans="2:2" x14ac:dyDescent="0.3">
      <c r="B18" s="6" t="s">
        <v>353</v>
      </c>
    </row>
    <row r="19" spans="2:2" x14ac:dyDescent="0.3">
      <c r="B19" s="6" t="s">
        <v>354</v>
      </c>
    </row>
    <row r="20" spans="2:2" x14ac:dyDescent="0.3">
      <c r="B20" s="6" t="s">
        <v>355</v>
      </c>
    </row>
    <row r="21" spans="2:2" x14ac:dyDescent="0.3">
      <c r="B21" s="6" t="s">
        <v>356</v>
      </c>
    </row>
    <row r="22" spans="2:2" x14ac:dyDescent="0.3">
      <c r="B22" s="6" t="s">
        <v>357</v>
      </c>
    </row>
    <row r="23" spans="2:2" x14ac:dyDescent="0.3">
      <c r="B23" s="6" t="s">
        <v>358</v>
      </c>
    </row>
    <row r="24" spans="2:2" x14ac:dyDescent="0.3">
      <c r="B24" s="6" t="s">
        <v>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360</v>
      </c>
      <c r="B1" s="8" t="s">
        <v>361</v>
      </c>
      <c r="C1" s="8" t="s">
        <v>362</v>
      </c>
      <c r="D1" s="8" t="s">
        <v>115</v>
      </c>
      <c r="E1" s="8" t="s">
        <v>271</v>
      </c>
      <c r="F1" s="8" t="s">
        <v>94</v>
      </c>
      <c r="G1" s="8" t="s">
        <v>363</v>
      </c>
      <c r="H1" s="8" t="s">
        <v>364</v>
      </c>
      <c r="I1" s="8" t="s">
        <v>365</v>
      </c>
    </row>
    <row r="2" spans="1:9" x14ac:dyDescent="0.3">
      <c r="A2" s="25" t="s">
        <v>48</v>
      </c>
      <c r="B2" s="25" t="s">
        <v>366</v>
      </c>
      <c r="C2" s="25" t="s">
        <v>91</v>
      </c>
      <c r="D2" s="25" t="s">
        <v>367</v>
      </c>
      <c r="E2" s="25" t="s">
        <v>368</v>
      </c>
      <c r="F2" s="25" t="s">
        <v>369</v>
      </c>
      <c r="G2" s="25"/>
      <c r="H2" s="25" t="s">
        <v>127</v>
      </c>
      <c r="I2" s="25" t="s">
        <v>370</v>
      </c>
    </row>
    <row r="3" spans="1:9" x14ac:dyDescent="0.3">
      <c r="A3" s="25" t="s">
        <v>48</v>
      </c>
      <c r="B3" s="25" t="s">
        <v>366</v>
      </c>
      <c r="C3" s="25" t="s">
        <v>92</v>
      </c>
      <c r="D3" s="25" t="s">
        <v>371</v>
      </c>
      <c r="E3" s="25" t="s">
        <v>368</v>
      </c>
      <c r="F3" s="25" t="s">
        <v>372</v>
      </c>
      <c r="G3" s="25"/>
      <c r="H3" s="25" t="s">
        <v>127</v>
      </c>
      <c r="I3" s="25"/>
    </row>
    <row r="4" spans="1:9" x14ac:dyDescent="0.3">
      <c r="A4" s="25" t="s">
        <v>48</v>
      </c>
      <c r="B4" s="25" t="s">
        <v>366</v>
      </c>
      <c r="C4" s="25" t="s">
        <v>93</v>
      </c>
      <c r="D4" s="25" t="s">
        <v>367</v>
      </c>
      <c r="E4" s="25" t="s">
        <v>368</v>
      </c>
      <c r="F4" s="25" t="s">
        <v>373</v>
      </c>
      <c r="G4" s="25"/>
      <c r="H4" s="25" t="s">
        <v>127</v>
      </c>
      <c r="I4" s="25"/>
    </row>
    <row r="5" spans="1:9" x14ac:dyDescent="0.3">
      <c r="A5" s="25" t="s">
        <v>48</v>
      </c>
      <c r="B5" s="25" t="s">
        <v>366</v>
      </c>
      <c r="C5" s="25" t="s">
        <v>94</v>
      </c>
      <c r="D5" s="25" t="s">
        <v>367</v>
      </c>
      <c r="E5" s="25" t="s">
        <v>368</v>
      </c>
      <c r="F5" s="25" t="s">
        <v>374</v>
      </c>
      <c r="G5" s="25"/>
      <c r="H5" s="25" t="s">
        <v>127</v>
      </c>
      <c r="I5" s="25"/>
    </row>
    <row r="6" spans="1:9" x14ac:dyDescent="0.3">
      <c r="A6" s="25" t="s">
        <v>48</v>
      </c>
      <c r="B6" s="25" t="s">
        <v>366</v>
      </c>
      <c r="C6" s="25" t="s">
        <v>95</v>
      </c>
      <c r="D6" s="25" t="s">
        <v>367</v>
      </c>
      <c r="E6" s="25" t="s">
        <v>368</v>
      </c>
      <c r="F6" s="25" t="s">
        <v>375</v>
      </c>
      <c r="G6" s="25"/>
      <c r="H6" s="25" t="s">
        <v>127</v>
      </c>
      <c r="I6" s="25"/>
    </row>
    <row r="7" spans="1:9" x14ac:dyDescent="0.3">
      <c r="A7" s="25" t="s">
        <v>50</v>
      </c>
      <c r="B7" s="25" t="s">
        <v>376</v>
      </c>
      <c r="C7" s="25" t="s">
        <v>113</v>
      </c>
      <c r="D7" s="25" t="s">
        <v>367</v>
      </c>
      <c r="E7" s="25" t="s">
        <v>368</v>
      </c>
      <c r="F7" s="25" t="s">
        <v>377</v>
      </c>
      <c r="G7" s="25"/>
      <c r="H7" s="25" t="s">
        <v>127</v>
      </c>
      <c r="I7" s="25" t="s">
        <v>370</v>
      </c>
    </row>
    <row r="8" spans="1:9" x14ac:dyDescent="0.3">
      <c r="A8" s="25" t="s">
        <v>50</v>
      </c>
      <c r="B8" s="25" t="s">
        <v>376</v>
      </c>
      <c r="C8" s="25" t="s">
        <v>114</v>
      </c>
      <c r="D8" s="25" t="s">
        <v>367</v>
      </c>
      <c r="E8" s="25" t="s">
        <v>368</v>
      </c>
      <c r="F8" s="25" t="s">
        <v>377</v>
      </c>
      <c r="G8" s="25"/>
      <c r="H8" s="25" t="s">
        <v>127</v>
      </c>
      <c r="I8" s="25"/>
    </row>
    <row r="9" spans="1:9" x14ac:dyDescent="0.3">
      <c r="A9" s="25" t="s">
        <v>50</v>
      </c>
      <c r="B9" s="25" t="s">
        <v>376</v>
      </c>
      <c r="C9" s="25" t="s">
        <v>115</v>
      </c>
      <c r="D9" s="25" t="s">
        <v>367</v>
      </c>
      <c r="E9" s="25" t="s">
        <v>368</v>
      </c>
      <c r="F9" s="25" t="s">
        <v>378</v>
      </c>
      <c r="G9" s="25"/>
      <c r="H9" s="25" t="s">
        <v>127</v>
      </c>
      <c r="I9" s="25"/>
    </row>
    <row r="10" spans="1:9" x14ac:dyDescent="0.3">
      <c r="A10" s="25" t="s">
        <v>50</v>
      </c>
      <c r="B10" s="25" t="s">
        <v>376</v>
      </c>
      <c r="C10" s="25" t="s">
        <v>116</v>
      </c>
      <c r="D10" s="25" t="s">
        <v>367</v>
      </c>
      <c r="E10" s="25" t="s">
        <v>368</v>
      </c>
      <c r="F10" s="25" t="s">
        <v>379</v>
      </c>
      <c r="G10" s="25" t="s">
        <v>380</v>
      </c>
      <c r="H10" s="25" t="s">
        <v>127</v>
      </c>
      <c r="I10" s="25"/>
    </row>
    <row r="11" spans="1:9" x14ac:dyDescent="0.3">
      <c r="A11" s="25" t="s">
        <v>50</v>
      </c>
      <c r="B11" s="25" t="s">
        <v>376</v>
      </c>
      <c r="C11" s="25" t="s">
        <v>117</v>
      </c>
      <c r="D11" s="25" t="s">
        <v>367</v>
      </c>
      <c r="E11" s="25" t="s">
        <v>368</v>
      </c>
      <c r="F11" s="25" t="s">
        <v>381</v>
      </c>
      <c r="G11" s="25"/>
      <c r="H11" s="25" t="s">
        <v>127</v>
      </c>
      <c r="I11" s="25"/>
    </row>
    <row r="12" spans="1:9" ht="26.4" x14ac:dyDescent="0.3">
      <c r="A12" s="25" t="s">
        <v>50</v>
      </c>
      <c r="B12" s="25" t="s">
        <v>376</v>
      </c>
      <c r="C12" s="25" t="s">
        <v>118</v>
      </c>
      <c r="D12" s="25" t="s">
        <v>367</v>
      </c>
      <c r="E12" s="25" t="s">
        <v>368</v>
      </c>
      <c r="F12" s="25" t="s">
        <v>382</v>
      </c>
      <c r="G12" s="25"/>
      <c r="H12" s="25" t="s">
        <v>127</v>
      </c>
      <c r="I12" s="25"/>
    </row>
    <row r="13" spans="1:9" x14ac:dyDescent="0.3">
      <c r="A13" s="25" t="s">
        <v>50</v>
      </c>
      <c r="B13" s="25" t="s">
        <v>376</v>
      </c>
      <c r="C13" s="25" t="s">
        <v>119</v>
      </c>
      <c r="D13" s="25" t="s">
        <v>367</v>
      </c>
      <c r="E13" s="25" t="s">
        <v>368</v>
      </c>
      <c r="F13" s="25" t="s">
        <v>383</v>
      </c>
      <c r="G13" s="25"/>
      <c r="H13" s="25" t="s">
        <v>127</v>
      </c>
      <c r="I13" s="25"/>
    </row>
    <row r="14" spans="1:9" x14ac:dyDescent="0.3">
      <c r="A14" s="25" t="s">
        <v>50</v>
      </c>
      <c r="B14" s="25" t="s">
        <v>376</v>
      </c>
      <c r="C14" s="25" t="s">
        <v>120</v>
      </c>
      <c r="D14" s="25" t="s">
        <v>367</v>
      </c>
      <c r="E14" s="25" t="s">
        <v>368</v>
      </c>
      <c r="F14" s="25" t="s">
        <v>384</v>
      </c>
      <c r="G14" s="25" t="s">
        <v>380</v>
      </c>
      <c r="H14" s="25" t="s">
        <v>127</v>
      </c>
      <c r="I14" s="25"/>
    </row>
    <row r="15" spans="1:9" x14ac:dyDescent="0.3">
      <c r="A15" s="25" t="s">
        <v>50</v>
      </c>
      <c r="B15" s="25" t="s">
        <v>376</v>
      </c>
      <c r="C15" s="25" t="s">
        <v>121</v>
      </c>
      <c r="D15" s="25" t="s">
        <v>367</v>
      </c>
      <c r="E15" s="25" t="s">
        <v>368</v>
      </c>
      <c r="F15" s="25" t="s">
        <v>385</v>
      </c>
      <c r="G15" s="25"/>
      <c r="H15" s="25" t="s">
        <v>127</v>
      </c>
      <c r="I15" s="25"/>
    </row>
    <row r="16" spans="1:9" x14ac:dyDescent="0.3">
      <c r="A16" s="25" t="s">
        <v>50</v>
      </c>
      <c r="B16" s="25" t="s">
        <v>376</v>
      </c>
      <c r="C16" s="25" t="s">
        <v>14</v>
      </c>
      <c r="D16" s="25" t="s">
        <v>367</v>
      </c>
      <c r="E16" s="25" t="s">
        <v>368</v>
      </c>
      <c r="F16" s="25" t="s">
        <v>386</v>
      </c>
      <c r="G16" s="25"/>
      <c r="H16" s="25" t="s">
        <v>127</v>
      </c>
      <c r="I16" s="25"/>
    </row>
    <row r="17" spans="1:9" x14ac:dyDescent="0.3">
      <c r="A17" s="25" t="s">
        <v>50</v>
      </c>
      <c r="B17" s="25" t="s">
        <v>376</v>
      </c>
      <c r="C17" s="25" t="s">
        <v>122</v>
      </c>
      <c r="D17" s="25" t="s">
        <v>367</v>
      </c>
      <c r="E17" s="25" t="s">
        <v>368</v>
      </c>
      <c r="F17" s="25" t="s">
        <v>387</v>
      </c>
      <c r="G17" s="25"/>
      <c r="H17" s="25" t="s">
        <v>131</v>
      </c>
      <c r="I17" s="25"/>
    </row>
    <row r="18" spans="1:9" x14ac:dyDescent="0.3">
      <c r="A18" s="25" t="s">
        <v>50</v>
      </c>
      <c r="B18" s="25" t="s">
        <v>376</v>
      </c>
      <c r="C18" s="25" t="s">
        <v>123</v>
      </c>
      <c r="D18" s="25" t="s">
        <v>367</v>
      </c>
      <c r="E18" s="25" t="s">
        <v>388</v>
      </c>
      <c r="F18" s="25" t="s">
        <v>389</v>
      </c>
      <c r="G18" s="25"/>
      <c r="H18" s="25" t="s">
        <v>127</v>
      </c>
      <c r="I18" s="25"/>
    </row>
    <row r="19" spans="1:9" x14ac:dyDescent="0.3">
      <c r="A19" s="25" t="s">
        <v>52</v>
      </c>
      <c r="B19" s="25" t="s">
        <v>390</v>
      </c>
      <c r="C19" s="25" t="s">
        <v>165</v>
      </c>
      <c r="D19" s="25" t="s">
        <v>367</v>
      </c>
      <c r="E19" s="25" t="s">
        <v>368</v>
      </c>
      <c r="F19" s="25"/>
      <c r="G19" s="25"/>
      <c r="H19" s="25" t="s">
        <v>127</v>
      </c>
      <c r="I19" s="25" t="s">
        <v>370</v>
      </c>
    </row>
    <row r="20" spans="1:9" x14ac:dyDescent="0.3">
      <c r="A20" s="25" t="s">
        <v>52</v>
      </c>
      <c r="B20" s="25" t="s">
        <v>390</v>
      </c>
      <c r="C20" s="25" t="s">
        <v>166</v>
      </c>
      <c r="D20" s="25" t="s">
        <v>367</v>
      </c>
      <c r="E20" s="25" t="s">
        <v>368</v>
      </c>
      <c r="F20" s="25"/>
      <c r="G20" s="25"/>
      <c r="H20" s="25" t="s">
        <v>127</v>
      </c>
      <c r="I20" s="25"/>
    </row>
    <row r="21" spans="1:9" x14ac:dyDescent="0.3">
      <c r="A21" s="25" t="s">
        <v>52</v>
      </c>
      <c r="B21" s="25" t="s">
        <v>390</v>
      </c>
      <c r="C21" s="25" t="s">
        <v>167</v>
      </c>
      <c r="D21" s="25" t="s">
        <v>367</v>
      </c>
      <c r="E21" s="25" t="s">
        <v>368</v>
      </c>
      <c r="F21" s="25"/>
      <c r="G21" s="25"/>
      <c r="H21" s="25" t="s">
        <v>127</v>
      </c>
      <c r="I21" s="25"/>
    </row>
    <row r="22" spans="1:9" x14ac:dyDescent="0.3">
      <c r="A22" s="25" t="s">
        <v>52</v>
      </c>
      <c r="B22" s="25" t="s">
        <v>390</v>
      </c>
      <c r="C22" s="25" t="s">
        <v>168</v>
      </c>
      <c r="D22" s="25" t="s">
        <v>367</v>
      </c>
      <c r="E22" s="25" t="s">
        <v>368</v>
      </c>
      <c r="F22" s="25"/>
      <c r="G22" s="25"/>
      <c r="H22" s="25" t="s">
        <v>127</v>
      </c>
      <c r="I22" s="25"/>
    </row>
    <row r="23" spans="1:9" x14ac:dyDescent="0.3">
      <c r="A23" s="25" t="s">
        <v>52</v>
      </c>
      <c r="B23" s="25" t="s">
        <v>390</v>
      </c>
      <c r="C23" s="25" t="s">
        <v>169</v>
      </c>
      <c r="D23" s="25" t="s">
        <v>367</v>
      </c>
      <c r="E23" s="25" t="s">
        <v>368</v>
      </c>
      <c r="F23" s="25"/>
      <c r="G23" s="25"/>
      <c r="H23" s="25" t="s">
        <v>127</v>
      </c>
      <c r="I23" s="25"/>
    </row>
    <row r="24" spans="1:9" x14ac:dyDescent="0.3">
      <c r="A24" s="25" t="s">
        <v>54</v>
      </c>
      <c r="B24" s="25" t="s">
        <v>391</v>
      </c>
      <c r="C24" s="25" t="s">
        <v>202</v>
      </c>
      <c r="D24" s="25" t="s">
        <v>367</v>
      </c>
      <c r="E24" s="25" t="s">
        <v>368</v>
      </c>
      <c r="F24" s="25" t="s">
        <v>392</v>
      </c>
      <c r="G24" s="25"/>
      <c r="H24" s="25" t="s">
        <v>127</v>
      </c>
      <c r="I24" s="25" t="s">
        <v>370</v>
      </c>
    </row>
    <row r="25" spans="1:9" ht="26.4" x14ac:dyDescent="0.3">
      <c r="A25" s="25" t="s">
        <v>54</v>
      </c>
      <c r="B25" s="25" t="s">
        <v>391</v>
      </c>
      <c r="C25" s="25" t="s">
        <v>203</v>
      </c>
      <c r="D25" s="25" t="s">
        <v>393</v>
      </c>
      <c r="E25" s="25" t="s">
        <v>368</v>
      </c>
      <c r="F25" s="25" t="s">
        <v>394</v>
      </c>
      <c r="G25" s="25"/>
      <c r="H25" s="25" t="s">
        <v>127</v>
      </c>
      <c r="I25" s="25"/>
    </row>
    <row r="26" spans="1:9" x14ac:dyDescent="0.3">
      <c r="A26" s="25" t="s">
        <v>54</v>
      </c>
      <c r="B26" s="25" t="s">
        <v>391</v>
      </c>
      <c r="C26" s="25" t="s">
        <v>94</v>
      </c>
      <c r="D26" s="25" t="s">
        <v>367</v>
      </c>
      <c r="E26" s="25" t="s">
        <v>368</v>
      </c>
      <c r="F26" s="25" t="s">
        <v>395</v>
      </c>
      <c r="G26" s="25"/>
      <c r="H26" s="25" t="s">
        <v>127</v>
      </c>
      <c r="I26" s="25"/>
    </row>
    <row r="27" spans="1:9" ht="39.6" x14ac:dyDescent="0.3">
      <c r="A27" s="25" t="s">
        <v>54</v>
      </c>
      <c r="B27" s="25" t="s">
        <v>391</v>
      </c>
      <c r="C27" s="25" t="s">
        <v>165</v>
      </c>
      <c r="D27" s="25" t="s">
        <v>367</v>
      </c>
      <c r="E27" s="25" t="s">
        <v>368</v>
      </c>
      <c r="F27" s="25" t="s">
        <v>396</v>
      </c>
      <c r="G27" s="25"/>
      <c r="H27" s="25" t="s">
        <v>127</v>
      </c>
      <c r="I27" s="25" t="s">
        <v>397</v>
      </c>
    </row>
    <row r="28" spans="1:9" x14ac:dyDescent="0.3">
      <c r="A28" s="25" t="s">
        <v>54</v>
      </c>
      <c r="B28" s="25" t="s">
        <v>391</v>
      </c>
      <c r="C28" s="25" t="s">
        <v>204</v>
      </c>
      <c r="D28" s="25" t="s">
        <v>398</v>
      </c>
      <c r="E28" s="25" t="s">
        <v>368</v>
      </c>
      <c r="F28" s="25" t="s">
        <v>372</v>
      </c>
      <c r="G28" s="25"/>
      <c r="H28" s="25" t="s">
        <v>127</v>
      </c>
      <c r="I28" s="25"/>
    </row>
    <row r="29" spans="1:9" x14ac:dyDescent="0.3">
      <c r="A29" s="25" t="s">
        <v>54</v>
      </c>
      <c r="B29" s="25" t="s">
        <v>391</v>
      </c>
      <c r="C29" s="25" t="s">
        <v>205</v>
      </c>
      <c r="D29" s="25" t="s">
        <v>367</v>
      </c>
      <c r="E29" s="25" t="s">
        <v>368</v>
      </c>
      <c r="F29" s="25" t="s">
        <v>399</v>
      </c>
      <c r="G29" s="25" t="s">
        <v>380</v>
      </c>
      <c r="H29" s="25" t="s">
        <v>127</v>
      </c>
      <c r="I29" s="25"/>
    </row>
    <row r="30" spans="1:9" x14ac:dyDescent="0.3">
      <c r="A30" s="25" t="s">
        <v>54</v>
      </c>
      <c r="B30" s="25" t="s">
        <v>391</v>
      </c>
      <c r="C30" s="25" t="s">
        <v>206</v>
      </c>
      <c r="D30" s="25" t="s">
        <v>367</v>
      </c>
      <c r="E30" s="25" t="s">
        <v>368</v>
      </c>
      <c r="F30" s="25" t="s">
        <v>400</v>
      </c>
      <c r="G30" s="25" t="s">
        <v>380</v>
      </c>
      <c r="H30" s="25" t="s">
        <v>127</v>
      </c>
      <c r="I30" s="25"/>
    </row>
    <row r="31" spans="1:9" x14ac:dyDescent="0.3">
      <c r="A31" s="25" t="s">
        <v>54</v>
      </c>
      <c r="B31" s="25" t="s">
        <v>391</v>
      </c>
      <c r="C31" s="25" t="s">
        <v>207</v>
      </c>
      <c r="D31" s="25" t="s">
        <v>367</v>
      </c>
      <c r="E31" s="25" t="s">
        <v>368</v>
      </c>
      <c r="F31" s="25" t="s">
        <v>401</v>
      </c>
      <c r="G31" s="25" t="s">
        <v>380</v>
      </c>
      <c r="H31" s="25" t="s">
        <v>127</v>
      </c>
      <c r="I31" s="25"/>
    </row>
    <row r="32" spans="1:9" x14ac:dyDescent="0.3">
      <c r="A32" s="25" t="s">
        <v>54</v>
      </c>
      <c r="B32" s="25" t="s">
        <v>391</v>
      </c>
      <c r="C32" s="25" t="s">
        <v>208</v>
      </c>
      <c r="D32" s="25" t="s">
        <v>367</v>
      </c>
      <c r="E32" s="25" t="s">
        <v>368</v>
      </c>
      <c r="F32" s="25" t="s">
        <v>402</v>
      </c>
      <c r="G32" s="25"/>
      <c r="H32" s="25" t="s">
        <v>127</v>
      </c>
      <c r="I32" s="25"/>
    </row>
    <row r="33" spans="1:9" x14ac:dyDescent="0.3">
      <c r="A33" s="25" t="s">
        <v>54</v>
      </c>
      <c r="B33" s="25" t="s">
        <v>391</v>
      </c>
      <c r="C33" s="25" t="s">
        <v>209</v>
      </c>
      <c r="D33" s="25" t="s">
        <v>367</v>
      </c>
      <c r="E33" s="25" t="s">
        <v>388</v>
      </c>
      <c r="F33" s="25" t="s">
        <v>403</v>
      </c>
      <c r="G33" s="25"/>
      <c r="H33" s="25" t="s">
        <v>127</v>
      </c>
      <c r="I33" s="25"/>
    </row>
    <row r="34" spans="1:9" x14ac:dyDescent="0.3">
      <c r="A34" s="25" t="s">
        <v>56</v>
      </c>
      <c r="B34" s="25" t="s">
        <v>404</v>
      </c>
      <c r="C34" s="25" t="s">
        <v>240</v>
      </c>
      <c r="D34" s="25" t="s">
        <v>367</v>
      </c>
      <c r="E34" s="25" t="s">
        <v>368</v>
      </c>
      <c r="F34" s="25" t="s">
        <v>405</v>
      </c>
      <c r="G34" s="25"/>
      <c r="H34" s="25" t="s">
        <v>127</v>
      </c>
      <c r="I34" s="25" t="s">
        <v>370</v>
      </c>
    </row>
    <row r="35" spans="1:9" x14ac:dyDescent="0.3">
      <c r="A35" s="25" t="s">
        <v>56</v>
      </c>
      <c r="B35" s="25" t="s">
        <v>404</v>
      </c>
      <c r="C35" s="25" t="s">
        <v>241</v>
      </c>
      <c r="D35" s="25" t="s">
        <v>367</v>
      </c>
      <c r="E35" s="25" t="s">
        <v>368</v>
      </c>
      <c r="F35" s="25" t="s">
        <v>406</v>
      </c>
      <c r="G35" s="25"/>
      <c r="H35" s="25" t="s">
        <v>127</v>
      </c>
      <c r="I35" s="25"/>
    </row>
    <row r="36" spans="1:9" x14ac:dyDescent="0.3">
      <c r="A36" s="25" t="s">
        <v>56</v>
      </c>
      <c r="B36" s="25" t="s">
        <v>404</v>
      </c>
      <c r="C36" s="25" t="s">
        <v>242</v>
      </c>
      <c r="D36" s="25" t="s">
        <v>398</v>
      </c>
      <c r="E36" s="25" t="s">
        <v>368</v>
      </c>
      <c r="F36" s="25" t="s">
        <v>407</v>
      </c>
      <c r="G36" s="25"/>
      <c r="H36" s="25" t="s">
        <v>127</v>
      </c>
      <c r="I36" s="25"/>
    </row>
    <row r="37" spans="1:9" x14ac:dyDescent="0.3">
      <c r="A37" s="25" t="s">
        <v>56</v>
      </c>
      <c r="B37" s="25" t="s">
        <v>404</v>
      </c>
      <c r="C37" s="25" t="s">
        <v>243</v>
      </c>
      <c r="D37" s="25" t="s">
        <v>408</v>
      </c>
      <c r="E37" s="25" t="s">
        <v>368</v>
      </c>
      <c r="F37" s="25" t="s">
        <v>409</v>
      </c>
      <c r="G37" s="25"/>
      <c r="H37" s="25" t="s">
        <v>127</v>
      </c>
      <c r="I37" s="25"/>
    </row>
    <row r="38" spans="1:9" x14ac:dyDescent="0.3">
      <c r="A38" s="25" t="s">
        <v>56</v>
      </c>
      <c r="B38" s="25" t="s">
        <v>404</v>
      </c>
      <c r="C38" s="25" t="s">
        <v>244</v>
      </c>
      <c r="D38" s="25" t="s">
        <v>398</v>
      </c>
      <c r="E38" s="25" t="s">
        <v>368</v>
      </c>
      <c r="F38" s="25" t="s">
        <v>410</v>
      </c>
      <c r="G38" s="25"/>
      <c r="H38" s="25" t="s">
        <v>127</v>
      </c>
      <c r="I38" s="25"/>
    </row>
    <row r="39" spans="1:9" x14ac:dyDescent="0.3">
      <c r="A39" s="25" t="s">
        <v>56</v>
      </c>
      <c r="B39" s="25" t="s">
        <v>404</v>
      </c>
      <c r="C39" s="25" t="s">
        <v>245</v>
      </c>
      <c r="D39" s="25" t="s">
        <v>411</v>
      </c>
      <c r="E39" s="25" t="s">
        <v>368</v>
      </c>
      <c r="F39" s="25" t="s">
        <v>412</v>
      </c>
      <c r="G39" s="25"/>
      <c r="H39" s="25" t="s">
        <v>127</v>
      </c>
      <c r="I39" s="25"/>
    </row>
    <row r="40" spans="1:9" x14ac:dyDescent="0.3">
      <c r="A40" s="25" t="s">
        <v>56</v>
      </c>
      <c r="B40" s="25" t="s">
        <v>404</v>
      </c>
      <c r="C40" s="25" t="s">
        <v>246</v>
      </c>
      <c r="D40" s="25" t="s">
        <v>367</v>
      </c>
      <c r="E40" s="25" t="s">
        <v>368</v>
      </c>
      <c r="F40" s="25" t="s">
        <v>413</v>
      </c>
      <c r="G40" s="25"/>
      <c r="H40" s="25" t="s">
        <v>127</v>
      </c>
      <c r="I40" s="25"/>
    </row>
    <row r="41" spans="1:9" x14ac:dyDescent="0.3">
      <c r="A41" s="25" t="s">
        <v>56</v>
      </c>
      <c r="B41" s="25" t="s">
        <v>404</v>
      </c>
      <c r="C41" s="25" t="s">
        <v>247</v>
      </c>
      <c r="D41" s="25" t="s">
        <v>398</v>
      </c>
      <c r="E41" s="25" t="s">
        <v>388</v>
      </c>
      <c r="F41" s="25" t="s">
        <v>414</v>
      </c>
      <c r="G41" s="25"/>
      <c r="H41" s="25" t="s">
        <v>127</v>
      </c>
      <c r="I41" s="25"/>
    </row>
    <row r="42" spans="1:9" x14ac:dyDescent="0.3">
      <c r="A42" s="25" t="s">
        <v>56</v>
      </c>
      <c r="B42" s="25" t="s">
        <v>404</v>
      </c>
      <c r="C42" s="25" t="s">
        <v>248</v>
      </c>
      <c r="D42" s="25" t="s">
        <v>398</v>
      </c>
      <c r="E42" s="25" t="s">
        <v>388</v>
      </c>
      <c r="F42" s="25" t="s">
        <v>415</v>
      </c>
      <c r="G42" s="25"/>
      <c r="H42" s="25" t="s">
        <v>127</v>
      </c>
      <c r="I42" s="25"/>
    </row>
    <row r="43" spans="1:9" x14ac:dyDescent="0.3">
      <c r="A43" s="25" t="s">
        <v>56</v>
      </c>
      <c r="B43" s="25" t="s">
        <v>404</v>
      </c>
      <c r="C43" s="25" t="s">
        <v>249</v>
      </c>
      <c r="D43" s="25" t="s">
        <v>398</v>
      </c>
      <c r="E43" s="25" t="s">
        <v>388</v>
      </c>
      <c r="F43" s="25" t="s">
        <v>416</v>
      </c>
      <c r="G43" s="25"/>
      <c r="H43" s="25" t="s">
        <v>127</v>
      </c>
      <c r="I43" s="25"/>
    </row>
    <row r="44" spans="1:9" x14ac:dyDescent="0.3">
      <c r="A44" s="25" t="s">
        <v>56</v>
      </c>
      <c r="B44" s="25" t="s">
        <v>404</v>
      </c>
      <c r="C44" s="25" t="s">
        <v>250</v>
      </c>
      <c r="D44" s="25" t="s">
        <v>398</v>
      </c>
      <c r="E44" s="25" t="s">
        <v>388</v>
      </c>
      <c r="F44" s="25" t="s">
        <v>417</v>
      </c>
      <c r="G44" s="25"/>
      <c r="H44" s="25" t="s">
        <v>127</v>
      </c>
      <c r="I44" s="25"/>
    </row>
    <row r="45" spans="1:9" x14ac:dyDescent="0.3">
      <c r="A45" s="25" t="s">
        <v>56</v>
      </c>
      <c r="B45" s="25" t="s">
        <v>404</v>
      </c>
      <c r="C45" s="25" t="s">
        <v>251</v>
      </c>
      <c r="D45" s="25" t="s">
        <v>398</v>
      </c>
      <c r="E45" s="25" t="s">
        <v>388</v>
      </c>
      <c r="F45" s="25" t="s">
        <v>418</v>
      </c>
      <c r="G45" s="25"/>
      <c r="H45" s="25" t="s">
        <v>127</v>
      </c>
      <c r="I45" s="25"/>
    </row>
    <row r="46" spans="1:9" x14ac:dyDescent="0.3">
      <c r="A46" s="25" t="s">
        <v>56</v>
      </c>
      <c r="B46" s="25" t="s">
        <v>404</v>
      </c>
      <c r="C46" s="25" t="s">
        <v>252</v>
      </c>
      <c r="D46" s="25" t="s">
        <v>367</v>
      </c>
      <c r="E46" s="25" t="s">
        <v>388</v>
      </c>
      <c r="F46" s="25" t="s">
        <v>419</v>
      </c>
      <c r="G46" s="25"/>
      <c r="H46" s="25" t="s">
        <v>127</v>
      </c>
      <c r="I46" s="25"/>
    </row>
    <row r="47" spans="1:9" x14ac:dyDescent="0.3">
      <c r="A47" s="25" t="s">
        <v>58</v>
      </c>
      <c r="B47" s="25" t="s">
        <v>420</v>
      </c>
      <c r="C47" s="25" t="s">
        <v>263</v>
      </c>
      <c r="D47" s="25" t="s">
        <v>367</v>
      </c>
      <c r="E47" s="25" t="s">
        <v>368</v>
      </c>
      <c r="F47" s="25"/>
      <c r="G47" s="25"/>
      <c r="H47" s="25" t="s">
        <v>127</v>
      </c>
      <c r="I47" s="25" t="s">
        <v>370</v>
      </c>
    </row>
    <row r="48" spans="1:9" x14ac:dyDescent="0.3">
      <c r="A48" s="25" t="s">
        <v>58</v>
      </c>
      <c r="B48" s="25" t="s">
        <v>420</v>
      </c>
      <c r="C48" s="25" t="s">
        <v>264</v>
      </c>
      <c r="D48" s="25" t="s">
        <v>367</v>
      </c>
      <c r="E48" s="25" t="s">
        <v>368</v>
      </c>
      <c r="F48" s="25"/>
      <c r="G48" s="25"/>
      <c r="H48" s="25" t="s">
        <v>127</v>
      </c>
      <c r="I48" s="25"/>
    </row>
    <row r="49" spans="1:9" x14ac:dyDescent="0.3">
      <c r="A49" s="25" t="s">
        <v>58</v>
      </c>
      <c r="B49" s="25" t="s">
        <v>420</v>
      </c>
      <c r="C49" s="25" t="s">
        <v>14</v>
      </c>
      <c r="D49" s="25" t="s">
        <v>367</v>
      </c>
      <c r="E49" s="25" t="s">
        <v>368</v>
      </c>
      <c r="F49" s="25"/>
      <c r="G49" s="25"/>
      <c r="H49" s="25" t="s">
        <v>127</v>
      </c>
      <c r="I49" s="25"/>
    </row>
    <row r="50" spans="1:9" x14ac:dyDescent="0.3">
      <c r="A50" s="25" t="s">
        <v>60</v>
      </c>
      <c r="B50" s="25" t="s">
        <v>421</v>
      </c>
      <c r="C50" s="25" t="s">
        <v>282</v>
      </c>
      <c r="D50" s="25" t="s">
        <v>411</v>
      </c>
      <c r="E50" s="25" t="s">
        <v>368</v>
      </c>
      <c r="F50" s="25" t="s">
        <v>422</v>
      </c>
      <c r="G50" s="25"/>
      <c r="H50" s="25" t="s">
        <v>127</v>
      </c>
      <c r="I50" s="25" t="s">
        <v>370</v>
      </c>
    </row>
    <row r="51" spans="1:9" x14ac:dyDescent="0.3">
      <c r="A51" s="25" t="s">
        <v>60</v>
      </c>
      <c r="B51" s="25" t="s">
        <v>421</v>
      </c>
      <c r="C51" s="25" t="s">
        <v>283</v>
      </c>
      <c r="D51" s="25" t="s">
        <v>371</v>
      </c>
      <c r="E51" s="25" t="s">
        <v>368</v>
      </c>
      <c r="F51" s="25" t="s">
        <v>423</v>
      </c>
      <c r="G51" s="25"/>
      <c r="H51" s="25" t="s">
        <v>127</v>
      </c>
      <c r="I51" s="25"/>
    </row>
    <row r="52" spans="1:9" x14ac:dyDescent="0.3">
      <c r="A52" s="25" t="s">
        <v>60</v>
      </c>
      <c r="B52" s="25" t="s">
        <v>421</v>
      </c>
      <c r="C52" s="25" t="s">
        <v>284</v>
      </c>
      <c r="D52" s="25" t="s">
        <v>371</v>
      </c>
      <c r="E52" s="25" t="s">
        <v>368</v>
      </c>
      <c r="F52" s="25" t="s">
        <v>424</v>
      </c>
      <c r="G52" s="25"/>
      <c r="H52" s="25" t="s">
        <v>127</v>
      </c>
      <c r="I52" s="25"/>
    </row>
    <row r="53" spans="1:9" x14ac:dyDescent="0.3">
      <c r="A53" s="25" t="s">
        <v>60</v>
      </c>
      <c r="B53" s="25" t="s">
        <v>421</v>
      </c>
      <c r="C53" s="25" t="s">
        <v>285</v>
      </c>
      <c r="D53" s="25" t="s">
        <v>371</v>
      </c>
      <c r="E53" s="25" t="s">
        <v>368</v>
      </c>
      <c r="F53" s="25" t="s">
        <v>425</v>
      </c>
      <c r="G53" s="25"/>
      <c r="H53" s="25" t="s">
        <v>127</v>
      </c>
      <c r="I53" s="25"/>
    </row>
    <row r="54" spans="1:9" x14ac:dyDescent="0.3">
      <c r="A54" s="25" t="s">
        <v>60</v>
      </c>
      <c r="B54" s="25" t="s">
        <v>421</v>
      </c>
      <c r="C54" s="25" t="s">
        <v>286</v>
      </c>
      <c r="D54" s="25" t="s">
        <v>371</v>
      </c>
      <c r="E54" s="25" t="s">
        <v>368</v>
      </c>
      <c r="F54" s="25" t="s">
        <v>426</v>
      </c>
      <c r="G54" s="25"/>
      <c r="H54" s="25" t="s">
        <v>127</v>
      </c>
      <c r="I54" s="25"/>
    </row>
    <row r="55" spans="1:9" x14ac:dyDescent="0.3">
      <c r="A55" s="25" t="s">
        <v>60</v>
      </c>
      <c r="B55" s="25" t="s">
        <v>421</v>
      </c>
      <c r="C55" s="25" t="s">
        <v>287</v>
      </c>
      <c r="D55" s="25" t="s">
        <v>371</v>
      </c>
      <c r="E55" s="25" t="s">
        <v>368</v>
      </c>
      <c r="F55" s="25" t="s">
        <v>427</v>
      </c>
      <c r="G55" s="25"/>
      <c r="H55" s="25" t="s">
        <v>127</v>
      </c>
      <c r="I55" s="25"/>
    </row>
    <row r="56" spans="1:9" x14ac:dyDescent="0.3">
      <c r="A56" s="25" t="s">
        <v>60</v>
      </c>
      <c r="B56" s="25" t="s">
        <v>421</v>
      </c>
      <c r="C56" s="25" t="s">
        <v>288</v>
      </c>
      <c r="D56" s="25" t="s">
        <v>371</v>
      </c>
      <c r="E56" s="25" t="s">
        <v>368</v>
      </c>
      <c r="F56" s="25" t="s">
        <v>428</v>
      </c>
      <c r="G56" s="25"/>
      <c r="H56" s="25" t="s">
        <v>127</v>
      </c>
      <c r="I56" s="25"/>
    </row>
    <row r="57" spans="1:9" x14ac:dyDescent="0.3">
      <c r="A57" s="25" t="s">
        <v>62</v>
      </c>
      <c r="B57" s="25" t="s">
        <v>99</v>
      </c>
      <c r="C57" s="25" t="s">
        <v>291</v>
      </c>
      <c r="D57" s="25" t="s">
        <v>367</v>
      </c>
      <c r="E57" s="25" t="s">
        <v>368</v>
      </c>
      <c r="F57" s="25" t="s">
        <v>429</v>
      </c>
      <c r="G57" s="25"/>
      <c r="H57" s="25" t="s">
        <v>127</v>
      </c>
      <c r="I57" s="25" t="s">
        <v>370</v>
      </c>
    </row>
    <row r="58" spans="1:9" ht="26.4" x14ac:dyDescent="0.3">
      <c r="A58" s="25" t="s">
        <v>62</v>
      </c>
      <c r="B58" s="25" t="s">
        <v>99</v>
      </c>
      <c r="C58" s="25" t="s">
        <v>292</v>
      </c>
      <c r="D58" s="25" t="s">
        <v>393</v>
      </c>
      <c r="E58" s="25" t="s">
        <v>368</v>
      </c>
      <c r="F58" s="25" t="s">
        <v>430</v>
      </c>
      <c r="G58" s="25"/>
      <c r="H58" s="25" t="s">
        <v>127</v>
      </c>
      <c r="I58" s="25"/>
    </row>
    <row r="59" spans="1:9" x14ac:dyDescent="0.3">
      <c r="A59" s="25" t="s">
        <v>62</v>
      </c>
      <c r="B59" s="25" t="s">
        <v>99</v>
      </c>
      <c r="C59" s="25" t="s">
        <v>293</v>
      </c>
      <c r="D59" s="25" t="s">
        <v>408</v>
      </c>
      <c r="E59" s="25" t="s">
        <v>368</v>
      </c>
      <c r="F59" s="25" t="s">
        <v>431</v>
      </c>
      <c r="G59" s="25"/>
      <c r="H59" s="25" t="s">
        <v>127</v>
      </c>
      <c r="I59" s="25"/>
    </row>
    <row r="60" spans="1:9" x14ac:dyDescent="0.3">
      <c r="A60" s="25" t="s">
        <v>62</v>
      </c>
      <c r="B60" s="25" t="s">
        <v>99</v>
      </c>
      <c r="C60" s="25" t="s">
        <v>294</v>
      </c>
      <c r="D60" s="25" t="s">
        <v>408</v>
      </c>
      <c r="E60" s="25" t="s">
        <v>368</v>
      </c>
      <c r="F60" s="25" t="s">
        <v>432</v>
      </c>
      <c r="G60" s="25"/>
      <c r="H60" s="25" t="s">
        <v>127</v>
      </c>
      <c r="I60" s="25"/>
    </row>
    <row r="61" spans="1:9" x14ac:dyDescent="0.3">
      <c r="A61" s="25" t="s">
        <v>62</v>
      </c>
      <c r="B61" s="25" t="s">
        <v>99</v>
      </c>
      <c r="C61" s="25" t="s">
        <v>295</v>
      </c>
      <c r="D61" s="25" t="s">
        <v>408</v>
      </c>
      <c r="E61" s="25" t="s">
        <v>368</v>
      </c>
      <c r="F61" s="25" t="s">
        <v>433</v>
      </c>
      <c r="G61" s="25"/>
      <c r="H61" s="25" t="s">
        <v>127</v>
      </c>
      <c r="I61" s="25"/>
    </row>
    <row r="62" spans="1:9" x14ac:dyDescent="0.3">
      <c r="A62" s="25" t="s">
        <v>62</v>
      </c>
      <c r="B62" s="25" t="s">
        <v>99</v>
      </c>
      <c r="C62" s="25" t="s">
        <v>296</v>
      </c>
      <c r="D62" s="25" t="s">
        <v>408</v>
      </c>
      <c r="E62" s="25" t="s">
        <v>368</v>
      </c>
      <c r="F62" s="25" t="s">
        <v>434</v>
      </c>
      <c r="G62" s="25"/>
      <c r="H62" s="25" t="s">
        <v>127</v>
      </c>
      <c r="I62" s="25"/>
    </row>
    <row r="63" spans="1:9" x14ac:dyDescent="0.3">
      <c r="A63" s="25" t="s">
        <v>62</v>
      </c>
      <c r="B63" s="25" t="s">
        <v>99</v>
      </c>
      <c r="C63" s="25" t="s">
        <v>297</v>
      </c>
      <c r="D63" s="25" t="s">
        <v>371</v>
      </c>
      <c r="E63" s="25" t="s">
        <v>368</v>
      </c>
      <c r="F63" s="25" t="s">
        <v>435</v>
      </c>
      <c r="G63" s="25"/>
      <c r="H63" s="25" t="s">
        <v>127</v>
      </c>
      <c r="I63" s="25"/>
    </row>
    <row r="64" spans="1:9" x14ac:dyDescent="0.3">
      <c r="A64" s="25" t="s">
        <v>62</v>
      </c>
      <c r="B64" s="25" t="s">
        <v>99</v>
      </c>
      <c r="C64" s="25" t="s">
        <v>298</v>
      </c>
      <c r="D64" s="25" t="s">
        <v>371</v>
      </c>
      <c r="E64" s="25" t="s">
        <v>368</v>
      </c>
      <c r="F64" s="25" t="s">
        <v>436</v>
      </c>
      <c r="G64" s="25"/>
      <c r="H64" s="25" t="s">
        <v>127</v>
      </c>
      <c r="I64" s="25"/>
    </row>
    <row r="65" spans="1:9" x14ac:dyDescent="0.3">
      <c r="A65" s="25" t="s">
        <v>62</v>
      </c>
      <c r="B65" s="25" t="s">
        <v>99</v>
      </c>
      <c r="C65" s="25" t="s">
        <v>299</v>
      </c>
      <c r="D65" s="25" t="s">
        <v>371</v>
      </c>
      <c r="E65" s="25" t="s">
        <v>368</v>
      </c>
      <c r="F65" s="25" t="s">
        <v>437</v>
      </c>
      <c r="G65" s="25"/>
      <c r="H65" s="25" t="s">
        <v>127</v>
      </c>
      <c r="I65" s="25"/>
    </row>
    <row r="66" spans="1:9" x14ac:dyDescent="0.3">
      <c r="A66" s="25" t="s">
        <v>62</v>
      </c>
      <c r="B66" s="25" t="s">
        <v>99</v>
      </c>
      <c r="C66" s="25" t="s">
        <v>300</v>
      </c>
      <c r="D66" s="25" t="s">
        <v>371</v>
      </c>
      <c r="E66" s="25" t="s">
        <v>368</v>
      </c>
      <c r="F66" s="25" t="s">
        <v>438</v>
      </c>
      <c r="G66" s="25"/>
      <c r="H66" s="25" t="s">
        <v>127</v>
      </c>
      <c r="I66" s="25"/>
    </row>
    <row r="67" spans="1:9" x14ac:dyDescent="0.3">
      <c r="A67" s="25" t="s">
        <v>62</v>
      </c>
      <c r="B67" s="25" t="s">
        <v>99</v>
      </c>
      <c r="C67" s="25" t="s">
        <v>301</v>
      </c>
      <c r="D67" s="25" t="s">
        <v>408</v>
      </c>
      <c r="E67" s="25" t="s">
        <v>368</v>
      </c>
      <c r="F67" s="25" t="s">
        <v>439</v>
      </c>
      <c r="G67" s="25"/>
      <c r="H67" s="25" t="s">
        <v>127</v>
      </c>
      <c r="I67" s="25"/>
    </row>
    <row r="68" spans="1:9" x14ac:dyDescent="0.3">
      <c r="A68" s="25" t="s">
        <v>62</v>
      </c>
      <c r="B68" s="25" t="s">
        <v>99</v>
      </c>
      <c r="C68" s="25" t="s">
        <v>302</v>
      </c>
      <c r="D68" s="25" t="s">
        <v>408</v>
      </c>
      <c r="E68" s="25" t="s">
        <v>388</v>
      </c>
      <c r="F68" s="25" t="s">
        <v>440</v>
      </c>
      <c r="G68" s="25"/>
      <c r="H68" s="25" t="s">
        <v>127</v>
      </c>
      <c r="I68" s="25"/>
    </row>
    <row r="69" spans="1:9" x14ac:dyDescent="0.3">
      <c r="A69" s="25" t="s">
        <v>62</v>
      </c>
      <c r="B69" s="25" t="s">
        <v>99</v>
      </c>
      <c r="C69" s="25" t="s">
        <v>303</v>
      </c>
      <c r="D69" s="25" t="s">
        <v>367</v>
      </c>
      <c r="E69" s="25" t="s">
        <v>388</v>
      </c>
      <c r="F69" s="25" t="s">
        <v>441</v>
      </c>
      <c r="G69" s="25"/>
      <c r="H69" s="25" t="s">
        <v>127</v>
      </c>
      <c r="I69" s="25"/>
    </row>
    <row r="70" spans="1:9" x14ac:dyDescent="0.3">
      <c r="A70" s="25" t="s">
        <v>62</v>
      </c>
      <c r="B70" s="25" t="s">
        <v>99</v>
      </c>
      <c r="C70" s="25" t="s">
        <v>304</v>
      </c>
      <c r="D70" s="25" t="s">
        <v>398</v>
      </c>
      <c r="E70" s="25" t="s">
        <v>388</v>
      </c>
      <c r="F70" s="25" t="s">
        <v>442</v>
      </c>
      <c r="G70" s="25"/>
      <c r="H70" s="25" t="s">
        <v>127</v>
      </c>
      <c r="I70" s="25"/>
    </row>
    <row r="71" spans="1:9" x14ac:dyDescent="0.3">
      <c r="A71" s="25" t="s">
        <v>62</v>
      </c>
      <c r="B71" s="25" t="s">
        <v>99</v>
      </c>
      <c r="C71" s="25" t="s">
        <v>305</v>
      </c>
      <c r="D71" s="25" t="s">
        <v>398</v>
      </c>
      <c r="E71" s="25" t="s">
        <v>388</v>
      </c>
      <c r="F71" s="25" t="s">
        <v>443</v>
      </c>
      <c r="G71" s="25"/>
      <c r="H71" s="25" t="s">
        <v>127</v>
      </c>
      <c r="I71" s="25"/>
    </row>
    <row r="72" spans="1:9" x14ac:dyDescent="0.3">
      <c r="A72" s="25" t="s">
        <v>62</v>
      </c>
      <c r="B72" s="25" t="s">
        <v>99</v>
      </c>
      <c r="C72" s="25" t="s">
        <v>306</v>
      </c>
      <c r="D72" s="25" t="s">
        <v>398</v>
      </c>
      <c r="E72" s="25" t="s">
        <v>388</v>
      </c>
      <c r="F72" s="25" t="s">
        <v>444</v>
      </c>
      <c r="G72" s="25"/>
      <c r="H72" s="25" t="s">
        <v>127</v>
      </c>
      <c r="I72" s="25"/>
    </row>
    <row r="73" spans="1:9" x14ac:dyDescent="0.3">
      <c r="A73" s="25" t="s">
        <v>62</v>
      </c>
      <c r="B73" s="25" t="s">
        <v>99</v>
      </c>
      <c r="C73" s="25" t="s">
        <v>307</v>
      </c>
      <c r="D73" s="25" t="s">
        <v>398</v>
      </c>
      <c r="E73" s="25" t="s">
        <v>388</v>
      </c>
      <c r="F73" s="25" t="s">
        <v>445</v>
      </c>
      <c r="G73" s="25"/>
      <c r="H73" s="25" t="s">
        <v>127</v>
      </c>
      <c r="I73" s="25"/>
    </row>
    <row r="74" spans="1:9" x14ac:dyDescent="0.3">
      <c r="A74" s="25" t="s">
        <v>62</v>
      </c>
      <c r="B74" s="25" t="s">
        <v>99</v>
      </c>
      <c r="C74" s="25" t="s">
        <v>308</v>
      </c>
      <c r="D74" s="25" t="s">
        <v>371</v>
      </c>
      <c r="E74" s="25" t="s">
        <v>388</v>
      </c>
      <c r="F74" s="25" t="s">
        <v>446</v>
      </c>
      <c r="G74" s="25"/>
      <c r="H74" s="25" t="s">
        <v>127</v>
      </c>
      <c r="I74" s="25"/>
    </row>
    <row r="75" spans="1:9" ht="26.4" x14ac:dyDescent="0.3">
      <c r="A75" s="25" t="s">
        <v>62</v>
      </c>
      <c r="B75" s="25" t="s">
        <v>99</v>
      </c>
      <c r="C75" s="25" t="s">
        <v>309</v>
      </c>
      <c r="D75" s="25" t="s">
        <v>447</v>
      </c>
      <c r="E75" s="25" t="s">
        <v>388</v>
      </c>
      <c r="F75" s="25" t="s">
        <v>448</v>
      </c>
      <c r="G75" s="25"/>
      <c r="H75" s="25" t="s">
        <v>127</v>
      </c>
      <c r="I75" s="25"/>
    </row>
    <row r="76" spans="1:9" ht="26.4" x14ac:dyDescent="0.3">
      <c r="A76" s="25" t="s">
        <v>62</v>
      </c>
      <c r="B76" s="25" t="s">
        <v>99</v>
      </c>
      <c r="C76" s="25" t="s">
        <v>310</v>
      </c>
      <c r="D76" s="25" t="s">
        <v>447</v>
      </c>
      <c r="E76" s="25" t="s">
        <v>388</v>
      </c>
      <c r="F76" s="25" t="s">
        <v>449</v>
      </c>
      <c r="G76" s="25"/>
      <c r="H76" s="25" t="s">
        <v>127</v>
      </c>
      <c r="I76" s="25"/>
    </row>
    <row r="77" spans="1:9" x14ac:dyDescent="0.3">
      <c r="A77" s="25" t="s">
        <v>62</v>
      </c>
      <c r="B77" s="25" t="s">
        <v>99</v>
      </c>
      <c r="C77" s="25" t="s">
        <v>311</v>
      </c>
      <c r="D77" s="25" t="s">
        <v>367</v>
      </c>
      <c r="E77" s="25" t="s">
        <v>388</v>
      </c>
      <c r="F77" s="25" t="s">
        <v>450</v>
      </c>
      <c r="G77" s="25"/>
      <c r="H77" s="25" t="s">
        <v>127</v>
      </c>
      <c r="I77" s="2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11</vt:i4>
      </vt:variant>
      <vt:variant>
        <vt:lpstr>Intervalos com Nome</vt:lpstr>
      </vt:variant>
      <vt:variant>
        <vt:i4>16</vt:i4>
      </vt:variant>
    </vt:vector>
  </HeadingPairs>
  <TitlesOfParts>
    <vt:vector size="27" baseType="lpstr">
      <vt:lpstr>00_LEIA-ME</vt:lpstr>
      <vt:lpstr>Parametros</vt:lpstr>
      <vt:lpstr>Projetos</vt:lpstr>
      <vt:lpstr>Criterios_Aquisicao</vt:lpstr>
      <vt:lpstr>Aquisicoes_2026</vt:lpstr>
      <vt:lpstr>LCC</vt:lpstr>
      <vt:lpstr>Compra_Energia</vt:lpstr>
      <vt:lpstr>Precos</vt:lpstr>
      <vt:lpstr>Faturas</vt:lpstr>
      <vt:lpstr>Listas</vt:lpstr>
      <vt:lpstr>Dicionario_Dados</vt:lpstr>
      <vt:lpstr>DataRef</vt:lpstr>
      <vt:lpstr>escalada_energia</vt:lpstr>
      <vt:lpstr>lst_DataReferencia</vt:lpstr>
      <vt:lpstr>lst_Funcao</vt:lpstr>
      <vt:lpstr>lst_SimNaoNA</vt:lpstr>
      <vt:lpstr>preco_medio</vt:lpstr>
      <vt:lpstr>preco_reativa</vt:lpstr>
      <vt:lpstr>taxa_desconto</vt:lpstr>
      <vt:lpstr>Aquisicoes_2026!Títulos_de_Impressão</vt:lpstr>
      <vt:lpstr>Compra_Energia!Títulos_de_Impressão</vt:lpstr>
      <vt:lpstr>Criterios_Aquisicao!Títulos_de_Impressão</vt:lpstr>
      <vt:lpstr>Faturas!Títulos_de_Impressão</vt:lpstr>
      <vt:lpstr>LCC!Títulos_de_Impressão</vt:lpstr>
      <vt:lpstr>Parametros!Títulos_de_Impressão</vt:lpstr>
      <vt:lpstr>Precos!Títulos_de_Impressão</vt:lpstr>
      <vt:lpstr>Projetos!Títulos_de_Impressão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RG-SGE-09 Projeto, Aquisições, Custo do Ciclo de Vida e Compra de Energia</dc:title>
  <dc:subject>SGE NP EN ISO 50001:2019 (ISO 50001:2018 + Amd 1:2024) — Plasticom</dc:subject>
  <dc:creator>Gestor(a) de Energia</dc:creator>
  <cp:lastModifiedBy>Aline Meireles</cp:lastModifiedBy>
  <dcterms:created xsi:type="dcterms:W3CDTF">2026-09-30T13:11:43Z</dcterms:created>
  <dcterms:modified xsi:type="dcterms:W3CDTF">2026-09-30T13:11:48Z</dcterms:modified>
</cp:coreProperties>
</file>