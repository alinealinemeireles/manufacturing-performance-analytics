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E_Sistema-de-gestao-da-energia\Registos_SGE_Plasticom\"/>
    </mc:Choice>
  </mc:AlternateContent>
  <xr:revisionPtr revIDLastSave="0" documentId="13_ncr:1_{1F35980A-1E8D-41E5-81ED-ED0EB7A743C3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Nao_Conformidades" sheetId="2" r:id="rId2"/>
    <sheet name="Cinco_Porques" sheetId="3" r:id="rId3"/>
    <sheet name="Melhoria_Continua" sheetId="4" r:id="rId4"/>
    <sheet name="Listas" sheetId="5" r:id="rId5"/>
    <sheet name="Dicionario_Dados" sheetId="6" r:id="rId6"/>
  </sheets>
  <definedNames>
    <definedName name="DataRef">Listas!$A$3</definedName>
    <definedName name="lst_DataReferencia">Listas!$A$3:$A$3</definedName>
    <definedName name="lst_Eficacia">Listas!$C$3:$C$5</definedName>
    <definedName name="lst_Funcao">Listas!$B$3:$B$24</definedName>
    <definedName name="_xlnm.Print_Titles" localSheetId="2">Cinco_Porques!$4:$4</definedName>
    <definedName name="_xlnm.Print_Titles" localSheetId="3">Melhoria_Continua!$4:$4</definedName>
    <definedName name="_xlnm.Print_Titles" localSheetId="1">Nao_Conformidades!$4:$4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3" l="1"/>
  <c r="C11" i="3"/>
  <c r="C10" i="3"/>
  <c r="C9" i="3"/>
  <c r="C8" i="3"/>
  <c r="C7" i="3"/>
  <c r="C6" i="3"/>
  <c r="C5" i="3"/>
  <c r="X8" i="2"/>
  <c r="W8" i="2"/>
  <c r="X7" i="2"/>
  <c r="W7" i="2"/>
  <c r="X6" i="2"/>
  <c r="W6" i="2"/>
  <c r="X5" i="2"/>
  <c r="W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NC.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Deteção.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Origem.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Constatação / desvio.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Processo.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Natureza da NC (reter).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Evidência.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Classificação.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Requisito.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Correção e consequências (10.1 a).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Causa (10.1 b 2).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6M.</t>
        </r>
      </text>
    </comment>
    <comment ref="M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Método.</t>
        </r>
      </text>
    </comment>
    <comment ref="N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Ação corretiva (10.1 c).</t>
        </r>
      </text>
    </comment>
    <comment ref="O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NC semelhantes existem ou podem ocorrer? (10.1 b 3).</t>
        </r>
      </text>
    </comment>
    <comment ref="P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Alterações ao SGE (10.1 e).</t>
        </r>
      </text>
    </comment>
    <comment ref="Q4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Responsável.</t>
        </r>
      </text>
    </comment>
    <comment ref="R4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Prazo.</t>
        </r>
      </text>
    </comment>
    <comment ref="S4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Aberta / em curso / fechada.</t>
        </r>
      </text>
    </comment>
    <comment ref="T4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Fecho.</t>
        </r>
      </text>
    </comment>
    <comment ref="U4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Resultado da revisão da eficácia (10.1 d).</t>
        </r>
      </text>
    </comment>
    <comment ref="V4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Verificação da eficácia.</t>
        </r>
      </text>
    </comment>
    <comment ref="W4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Dias em aberto.
[calculado]</t>
        </r>
      </text>
    </comment>
    <comment ref="X4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Fechada no prazo?
[calculado]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NC.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Nível.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Chave.
[calculado]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Porquê?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Resposta.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Evidência.</t>
        </r>
      </text>
    </comment>
    <comment ref="G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Causa-raiz?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Evidência de melhoria.</t>
        </r>
      </text>
    </comment>
    <comment ref="B4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Desempenho energético / sistema.</t>
        </r>
      </text>
    </comment>
    <comment ref="C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Indicador.</t>
        </r>
      </text>
    </comment>
    <comment ref="D4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Período.</t>
        </r>
      </text>
    </comment>
    <comment ref="E4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Valor (melhoria positiva em % para o IDE-01; variação para os restantes).</t>
        </r>
      </text>
    </comment>
    <comment ref="F4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Unidade.</t>
        </r>
      </text>
    </comment>
    <comment ref="G4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Nota.</t>
        </r>
      </text>
    </comment>
    <comment ref="H4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Registo de origem.</t>
        </r>
      </text>
    </comment>
  </commentList>
</comments>
</file>

<file path=xl/sharedStrings.xml><?xml version="1.0" encoding="utf-8"?>
<sst xmlns="http://schemas.openxmlformats.org/spreadsheetml/2006/main" count="610" uniqueCount="317">
  <si>
    <t>RG-SGE-14 — Não Conformidades, Ação Corretiva e Melhoria Contínua do SGE</t>
  </si>
  <si>
    <t>Sistema de Gestão da Energia NP EN ISO 50001:2019 (ISO 50001:2018 + Amd 1:2024) · Plasticom — Unidade 1 (Marinha Grande, Portugal) · Registo do SGE (fábrica simulada)</t>
  </si>
  <si>
    <t>CONTROLO DO DOCUMENTO (7.5 — informação documentada)</t>
  </si>
  <si>
    <t>Código do registo</t>
  </si>
  <si>
    <t>RG-SGE-14</t>
  </si>
  <si>
    <t>Título</t>
  </si>
  <si>
    <t>Não Conformidades, Ação Corretiva e Melhoria Contínua do SGE</t>
  </si>
  <si>
    <t>Versão / Revisão</t>
  </si>
  <si>
    <t>01</t>
  </si>
  <si>
    <t>Data de emissão</t>
  </si>
  <si>
    <t>Elaborado por</t>
  </si>
  <si>
    <t>Gestor(a) de Energia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</si>
  <si>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</si>
  <si>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</si>
  <si>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</si>
  <si>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</si>
  <si>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</si>
  <si>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</si>
  <si>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</si>
  <si>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SGE &gt; Registos_SGE_Plasticom (a versão eletrónica é a controlada; cópias impressas são não controladas). Controlo da informação documentada comum ao SGI: PR-SGA-08 (7.5.3 — distribuição, acesso, versão, retenção).</t>
  </si>
  <si>
    <t>FINALIDADE E ÂMBITO</t>
  </si>
  <si>
    <t>Finalidade</t>
  </si>
  <si>
    <t>4 NC do SGE (auditoria, ronda e desvio) com o ciclo 10.1 a)–e) completo, análise de causas por 5 Porquês e evidência trimestral da melhoria do desempenho energético e da melhoria do sistema.</t>
  </si>
  <si>
    <t>Utilização / atividades</t>
  </si>
  <si>
    <t>Reagir às não conformidades, determinar as causas, implementar e rever a eficácia das ações corretivas; demonstrar a melhoria contínua do SGE e do desempenho energético.</t>
  </si>
  <si>
    <t>Requisitos ISO 50001:2018</t>
  </si>
  <si>
    <t>10.1 a) reagir (controlar, corrigir, consequências); b) avaliar a necessidade de ação (rever, causas, NC semelhantes); c) implementar; d) rever a eficácia; e) alterar o SGE; reter a natureza das NC, as ações e os resultados; 10.2 melhorar continuamente a adequação, suficiência e eficácia do SGE e demonstrar a melhoria do desempenho energético.</t>
  </si>
  <si>
    <t>NORMAS DE ORIENTAÇÃO E REFERÊNCIAS APLICADAS (orientação — não são requisitos auditáveis da ISO 50001)</t>
  </si>
  <si>
    <t>ISO 50004:2020 §10</t>
  </si>
  <si>
    <t>Tratamento de NC e demonstração da melhoria contínua.</t>
  </si>
  <si>
    <t>ISO 50006:2023 §10.3</t>
  </si>
  <si>
    <t>Demonstração da melhoria do desempenho energético por comparação com a LBE.</t>
  </si>
  <si>
    <t>M-10 Melhoria (curso Bureau Veritas)</t>
  </si>
  <si>
    <t>Interpretação de 10.1 e 10.2 (a ISO 50001 exige demonstrar a melhoria do desempenho, não só do sistema).</t>
  </si>
  <si>
    <t>REQUISITOS LEGAIS E OUTROS REQUISITOS APLICADOS (4.2, 9.1.2 — lista completa no RG-SGE-11)</t>
  </si>
  <si>
    <t>—</t>
  </si>
  <si>
    <t>Sem requisitos legais específicos; NC legais seriam tratadas aqui com prazo imediato.</t>
  </si>
  <si>
    <t>ESTRUTURA DO FICHEIRO</t>
  </si>
  <si>
    <t>Nao_Conformidades</t>
  </si>
  <si>
    <t>Não conformidades e ações corretivas do SGE (10.1 — reter) — colunas do RG-SGA-07 tbl_nc com 10.1 b3 e e).</t>
  </si>
  <si>
    <t>Cinco_Porques</t>
  </si>
  <si>
    <t>Análise de causas (5 Porquês) — mesma estrutura do RG-SGA-07.</t>
  </si>
  <si>
    <t>Melhoria_Continua</t>
  </si>
  <si>
    <t>Evidência da melhoria contínua do desempenho energético e do SGE (10.2).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</si>
  <si>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</si>
  <si>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</si>
  <si>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</si>
  <si>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</si>
  <si>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</si>
  <si>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</si>
  <si>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</si>
  <si>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</si>
  <si>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</si>
  <si>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</si>
  <si>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</si>
  <si>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</si>
  <si>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do SGE, do SGA e do SGQ — ver SGE-00_Indice_Modelo_Dados.xlsx.</t>
  </si>
  <si>
    <t>Datas e unidades</t>
  </si>
  <si>
    <t>Datas em formato data (aaaa-mm-dd); energia em kWh (MWh quando indicado); a unidade está no nome da coluna ou no dicionário. Data de referência do SGE: 2026-12-31.</t>
  </si>
  <si>
    <t>Dados</t>
  </si>
  <si>
    <t>Fábrica simulada Plasticom. Eletricidade mensal por uso: fonte única RG-SGA-13 (tbl_dados_ambientais, mar/2025 a dez/2026, já com o efeito das ações de energia de out–dez/2026). Produção e horas de marcha por máquina: dataset do projeto (datasets/silver). Dados que o dataset não tem (campanha de medição por máquina, faturas por período tarifário, gasóleo, compressores, SGCIE) são simulação didática coerente com esses dados e estão marcados como tal.</t>
  </si>
  <si>
    <t>LIGAÇÕES A OUTROS REGISTOS</t>
  </si>
  <si>
    <t>RG-SGE-12</t>
  </si>
  <si>
    <t>Constatações da auditoria.</t>
  </si>
  <si>
    <t>RG-SGE-11</t>
  </si>
  <si>
    <t>Desvios significativos.</t>
  </si>
  <si>
    <t>RG-SGA-07 / RG-SGQ-18</t>
  </si>
  <si>
    <t>NC do SGA e do SGQ (mesmas colunas).</t>
  </si>
  <si>
    <t>NÃO CONFORMIDADES E AÇÃO CORRETIVA (10.1)</t>
  </si>
  <si>
    <t>ID_NC</t>
  </si>
  <si>
    <t>Data_Detecao</t>
  </si>
  <si>
    <t>Origem</t>
  </si>
  <si>
    <t>ID_Origem</t>
  </si>
  <si>
    <t>Processo</t>
  </si>
  <si>
    <t>Descricao</t>
  </si>
  <si>
    <t>Evidencia_Objetiva</t>
  </si>
  <si>
    <t>Classificacao</t>
  </si>
  <si>
    <t>Requisito_Violado</t>
  </si>
  <si>
    <t>Correcao_C1</t>
  </si>
  <si>
    <t>Causa_Raiz</t>
  </si>
  <si>
    <t>Categoria_6M</t>
  </si>
  <si>
    <t>Metodo_Analise</t>
  </si>
  <si>
    <t>Acao_Corretiva</t>
  </si>
  <si>
    <t>NC_Semelhantes</t>
  </si>
  <si>
    <t>Alteracao_SGE</t>
  </si>
  <si>
    <t>Responsavel</t>
  </si>
  <si>
    <t>Prazo</t>
  </si>
  <si>
    <t>Data_Fecho</t>
  </si>
  <si>
    <t>Eficacia</t>
  </si>
  <si>
    <t>Data_Verif_Eficacia</t>
  </si>
  <si>
    <t>Dias_Aberta</t>
  </si>
  <si>
    <t>No_Prazo</t>
  </si>
  <si>
    <t>NCE-26-01</t>
  </si>
  <si>
    <t>Auditoria interna</t>
  </si>
  <si>
    <t>CONE-A-26-01</t>
  </si>
  <si>
    <t>GES</t>
  </si>
  <si>
    <t>Projeto das linhas novas (PRJ-E-01) sem avaliação do desempenho energético nem LCC documentados.</t>
  </si>
  <si>
    <t>Atas de projeto e propostas sem análise energética</t>
  </si>
  <si>
    <t>Não conformidade menor</t>
  </si>
  <si>
    <t>ISO 50001 8.2</t>
  </si>
  <si>
    <t>Avaliação energética retroativa das 4 máquinas com a campanha PA-01 (kW medidos) — feita em 12/2026</t>
  </si>
  <si>
    <t>A checklist de alterações do SGI (PR-SGA-06) não tinha secção de energia e o processo de investimento não exigia LCC</t>
  </si>
  <si>
    <t>Método</t>
  </si>
  <si>
    <t>5 Porquês</t>
  </si>
  <si>
    <t>Secção de energia obrigatória na checklist (critérios de projeto do PR-SGE-07) e LCC obrigatório acima de € 50 000 (RD-E-26-D05)</t>
  </si>
  <si>
    <t>Sim: novo molde PT-013 (PRJ-E-04) foi avaliado — não há outros casos</t>
  </si>
  <si>
    <t>PR-SGA-06 e PR-SGE-07 revistos</t>
  </si>
  <si>
    <t>Diretor Industrial</t>
  </si>
  <si>
    <t>Em curso</t>
  </si>
  <si>
    <t>Por avaliar</t>
  </si>
  <si>
    <t>NCE-26-02</t>
  </si>
  <si>
    <t>CONE-A-26-02</t>
  </si>
  <si>
    <t>CMP</t>
  </si>
  <si>
    <t>Contrato de manutenção do chiller sem critérios energéticos nem informação ao fornecedor (8.3).</t>
  </si>
  <si>
    <t>Contrato AQE-26-04 de 15/06/2026</t>
  </si>
  <si>
    <t>ISO 50001 8.3</t>
  </si>
  <si>
    <t>Aditamento ao contrato com relatório de eficiência e verificação do setpoint (AQE-26-09)</t>
  </si>
  <si>
    <t>Os critérios de aquisição não abrangiam serviços com impacto nos USE</t>
  </si>
  <si>
    <t>Análise direta</t>
  </si>
  <si>
    <t>Categoria CAQ-06 (serviços com impacto nos USE) nos critérios de aquisição; formação FOR-E-04 às compras</t>
  </si>
  <si>
    <t>Sim: revistos os contratos dos compressores (já tinham critérios)</t>
  </si>
  <si>
    <t>RG-SGE-09 tbl_criterios_aquisicao</t>
  </si>
  <si>
    <t>Responsável de Compras</t>
  </si>
  <si>
    <t>Fechada</t>
  </si>
  <si>
    <t>NCE-26-03</t>
  </si>
  <si>
    <t>Ronda de energia</t>
  </si>
  <si>
    <t>DSV-26-03</t>
  </si>
  <si>
    <t>UTL</t>
  </si>
  <si>
    <t>Setpoint do chiller baixado para 6 °C sem justificação durante 9 dias (critério CO-13).</t>
  </si>
  <si>
    <t>Registo do controlador do chiller</t>
  </si>
  <si>
    <t>ISO 50001 8.1 c)</t>
  </si>
  <si>
    <t>Setpoint reposto em 7 °C</t>
  </si>
  <si>
    <t>Operador resolveu empenos de um molde baixando a água gelada; a causa real era o canal de arrefecimento parcialmente obstruído</t>
  </si>
  <si>
    <t>Máquina</t>
  </si>
  <si>
    <t>Limpeza do molde; alarme no BI para alterações de setpoint (SUGE-12); CO-13 na formação dos operadores</t>
  </si>
  <si>
    <t>Não</t>
  </si>
  <si>
    <t>IT-SGE-03 revista</t>
  </si>
  <si>
    <t>Técnico de Utilidades</t>
  </si>
  <si>
    <t>Eficaz</t>
  </si>
  <si>
    <t>NCE-26-04</t>
  </si>
  <si>
    <t>Desvio significativo</t>
  </si>
  <si>
    <t>DSV-26-02</t>
  </si>
  <si>
    <t>Potência tomada de 1 429 kW em ago/2026, acima dos 1 400 kW contratados (risco RE-03 materializado).</t>
  </si>
  <si>
    <t>Fatura FT-202608</t>
  </si>
  <si>
    <t>Requisito contratual / 8.1</t>
  </si>
  <si>
    <t>Nenhuma possível no mês (fatura já emitida)</t>
  </si>
  <si>
    <t>Arranques simultâneos após a paragem de 15/08 com o chiller no máximo e as 4 máquinas novas; sem monitorização de potência em tempo real</t>
  </si>
  <si>
    <t>Aumento da potência contratada para 1 550 kW (01/2027); alarme a 90% nos analisadores (12/2026); procedimento de arranque escalonado</t>
  </si>
  <si>
    <t>Sim: risco no arranque após o Natal (SUGE-13)</t>
  </si>
  <si>
    <t>RG-SGE-03 RE-03; IT de arranque</t>
  </si>
  <si>
    <t>Diretor Financeiro</t>
  </si>
  <si>
    <t>ANÁLISE DE CAUSAS — 5 PORQUÊS</t>
  </si>
  <si>
    <t>Nivel</t>
  </si>
  <si>
    <t>Chave</t>
  </si>
  <si>
    <t>Pergunta_Porque</t>
  </si>
  <si>
    <t>Resposta</t>
  </si>
  <si>
    <t>Evidencia</t>
  </si>
  <si>
    <t>E_Causa_Raiz</t>
  </si>
  <si>
    <t>Porque não houve avaliação energética do projeto?</t>
  </si>
  <si>
    <t>A checklist de alterações não pedia.</t>
  </si>
  <si>
    <t>PR-SGA-06 rev. 00</t>
  </si>
  <si>
    <t>Porque a checklist não pedia?</t>
  </si>
  <si>
    <t>Foi criada pelo SGA com foco em aspetos ambientais e legais.</t>
  </si>
  <si>
    <t>RG-SGA-18</t>
  </si>
  <si>
    <t>Porque não foi integrada a energia quando se criou o SGE?</t>
  </si>
  <si>
    <t>O SGE começou em 07/2026, depois de o projeto estar aprovado (03/2026).</t>
  </si>
  <si>
    <t>OS-2026-07</t>
  </si>
  <si>
    <t>Porque o processo de investimento não obrigava a LCC?</t>
  </si>
  <si>
    <t>O critério de decisão era só o preço de compra.</t>
  </si>
  <si>
    <t>Regras de CAPEX</t>
  </si>
  <si>
    <t>Sim</t>
  </si>
  <si>
    <t>Porque se ultrapassou a potência contratada?</t>
  </si>
  <si>
    <t>Pico de arranques simultâneos após a paragem de 15/08.</t>
  </si>
  <si>
    <t>Diagrama de carga do comercializador</t>
  </si>
  <si>
    <t>Porque houve arranques simultâneos?</t>
  </si>
  <si>
    <t>Não existia regra de arranque escalonado.</t>
  </si>
  <si>
    <t>Entrevistas aos chefes de turno</t>
  </si>
  <si>
    <t>Porque não havia regra?</t>
  </si>
  <si>
    <t>A potência nunca tinha sido um problema antes das linhas novas.</t>
  </si>
  <si>
    <t>Faturas 2025 (&lt; 80% da contratada)</t>
  </si>
  <si>
    <t>Porque não se reviu a potência com as linhas novas?</t>
  </si>
  <si>
    <t>A alteração ALT-2026-03 não avaliou o efeito na potência elétrica.</t>
  </si>
  <si>
    <t>MELHORIA CONTÍNUA DO DESEMPENHO ENERGÉTICO E DO SGE (10.2)</t>
  </si>
  <si>
    <t>IDE-01 por trimestre calculado com o mesmo modelo do RG-SGE-05 (meses dentro do domínio) · Valores à data de referência 31/12/2026</t>
  </si>
  <si>
    <t>ID_Melhoria</t>
  </si>
  <si>
    <t>Tipo</t>
  </si>
  <si>
    <t>Indicador</t>
  </si>
  <si>
    <t>Periodo</t>
  </si>
  <si>
    <t>Valor</t>
  </si>
  <si>
    <t>Unidade</t>
  </si>
  <si>
    <t>Nota</t>
  </si>
  <si>
    <t>Registo</t>
  </si>
  <si>
    <t>MEL-01</t>
  </si>
  <si>
    <t>Desempenho energético</t>
  </si>
  <si>
    <t>IDE-01 — melhoria normalizada da instalação</t>
  </si>
  <si>
    <t>2026-T2 (abr–jun)</t>
  </si>
  <si>
    <t>%</t>
  </si>
  <si>
    <t>LBE-01; 3 meses dentro do domínio</t>
  </si>
  <si>
    <t>RG-SGE-05</t>
  </si>
  <si>
    <t>MEL-02</t>
  </si>
  <si>
    <t>2026-T3 (jul–set)</t>
  </si>
  <si>
    <t>LBE-01; 2 meses dentro do domínio</t>
  </si>
  <si>
    <t>MEL-03</t>
  </si>
  <si>
    <t>2026-T4 (out–dez)</t>
  </si>
  <si>
    <t>MEL-04</t>
  </si>
  <si>
    <t>IDE-08 — potência específica do ar comprimido</t>
  </si>
  <si>
    <t>jan/2026 → dez/2026</t>
  </si>
  <si>
    <t>0,1337 → 0,1064 kWh/Nm³ (VSD + fugas + pressão)</t>
  </si>
  <si>
    <t>MEL-05</t>
  </si>
  <si>
    <t>Fugas de ar comprimido (teste de vazio)</t>
  </si>
  <si>
    <t>jun/2026 → dez/2026</t>
  </si>
  <si>
    <t>25% → 14%</t>
  </si>
  <si>
    <t>MEL-06</t>
  </si>
  <si>
    <t>Poupanças verificadas por ação (MV-02 + MV-03)</t>
  </si>
  <si>
    <t>out–dez/2026</t>
  </si>
  <si>
    <t>kWh</t>
  </si>
  <si>
    <t>IPMVP A e B</t>
  </si>
  <si>
    <t>MEL-07</t>
  </si>
  <si>
    <t>Consumo específico SGCIE (CEE)</t>
  </si>
  <si>
    <t>2021 → 2026</t>
  </si>
  <si>
    <t>1 989 → 1 914 kgep/t (meta 2026: −3,0%)</t>
  </si>
  <si>
    <t>RG-SGE-10</t>
  </si>
  <si>
    <t>MEL-08</t>
  </si>
  <si>
    <t>Sistema</t>
  </si>
  <si>
    <t>Eletricidade medida por submedição (KPI-E-01)</t>
  </si>
  <si>
    <t>set/2026 → dez/2026</t>
  </si>
  <si>
    <t>fração</t>
  </si>
  <si>
    <t>0% → 95% (analisadores M01–M06)</t>
  </si>
  <si>
    <t>RG-SGE-06</t>
  </si>
  <si>
    <t>MEL-09</t>
  </si>
  <si>
    <t>Critérios operacionais conformes nas rondas (média)</t>
  </si>
  <si>
    <t>jul/2026 → dez/2026</t>
  </si>
  <si>
    <t>CO-01/05/09/13 conformes no fim do ano</t>
  </si>
  <si>
    <t>RG-SGE-08</t>
  </si>
  <si>
    <t>MEL-10</t>
  </si>
  <si>
    <t>Procedimentos e registos do SGE</t>
  </si>
  <si>
    <t>2026</t>
  </si>
  <si>
    <t>procedimentos</t>
  </si>
  <si>
    <t>PR-SGE-01 a 12, IT-SGE-01 a 03, RG-SGE-00 a 14</t>
  </si>
  <si>
    <t>RG-SGE-00</t>
  </si>
  <si>
    <t>LISTAS CONTROLADAS (domínios de validação de dados) — editar aqui para alterar opções</t>
  </si>
  <si>
    <t>DataReferencia</t>
  </si>
  <si>
    <t>Funcao</t>
  </si>
  <si>
    <t>Diretor Geral (Gestão de Topo)</t>
  </si>
  <si>
    <t>Não eficaz</t>
  </si>
  <si>
    <t>Gestor(a) de Energia (líder da equipa de gestão de energia)</t>
  </si>
  <si>
    <t>Gerente de Manutenção</t>
  </si>
  <si>
    <t>Gerente de Produção</t>
  </si>
  <si>
    <t>Gestor do SGA / EHS (Responsável Ambiental)</t>
  </si>
  <si>
    <t>Gerente da Qualidade</t>
  </si>
  <si>
    <t>Responsável de R&amp;D</t>
  </si>
  <si>
    <t>Responsável de Recursos Humanos</t>
  </si>
  <si>
    <t>Gerente de Dados / TI</t>
  </si>
  <si>
    <t>Engenheiro(a) de Processo</t>
  </si>
  <si>
    <t>Chefe de Turno</t>
  </si>
  <si>
    <t>Operador de Injeção</t>
  </si>
  <si>
    <t>Operador de Sopro (ISBM)</t>
  </si>
  <si>
    <t>Operador de Serigrafia</t>
  </si>
  <si>
    <t>Operador de Hot Foil</t>
  </si>
  <si>
    <t>Técnico de Manutenção</t>
  </si>
  <si>
    <t>Auditor(a) Interno(a) do SGE</t>
  </si>
  <si>
    <t>Responsável de Armazém e Logística</t>
  </si>
  <si>
    <t>Folha</t>
  </si>
  <si>
    <t>Tabela</t>
  </si>
  <si>
    <t>Coluna</t>
  </si>
  <si>
    <t>Dominio_Unidade</t>
  </si>
  <si>
    <t>Obrigatorio</t>
  </si>
  <si>
    <t>tbl_nc</t>
  </si>
  <si>
    <t>Texto</t>
  </si>
  <si>
    <t>Entrada</t>
  </si>
  <si>
    <t>NC.</t>
  </si>
  <si>
    <t>PK</t>
  </si>
  <si>
    <t>Data (aaaa-mm-dd)</t>
  </si>
  <si>
    <t>Deteção.</t>
  </si>
  <si>
    <t>Origem.</t>
  </si>
  <si>
    <t>Constatação / desvio.</t>
  </si>
  <si>
    <t>Processo.</t>
  </si>
  <si>
    <t>Natureza da NC (reter).</t>
  </si>
  <si>
    <t>Evidência.</t>
  </si>
  <si>
    <t>Classificação.</t>
  </si>
  <si>
    <t>Requisito.</t>
  </si>
  <si>
    <t>Correção e consequências (10.1 a).</t>
  </si>
  <si>
    <t>Causa (10.1 b 2).</t>
  </si>
  <si>
    <t>6M.</t>
  </si>
  <si>
    <t>Método.</t>
  </si>
  <si>
    <t>Ação corretiva (10.1 c).</t>
  </si>
  <si>
    <t>NC semelhantes existem ou podem ocorrer? (10.1 b 3).</t>
  </si>
  <si>
    <t>Alterações ao SGE (10.1 e).</t>
  </si>
  <si>
    <t>Responsável.</t>
  </si>
  <si>
    <t>Lista lst_Funcao</t>
  </si>
  <si>
    <t>Prazo.</t>
  </si>
  <si>
    <t>Aberta / em curso / fechada.</t>
  </si>
  <si>
    <t>Fecho.</t>
  </si>
  <si>
    <t>Resultado da revisão da eficácia (10.1 d).</t>
  </si>
  <si>
    <t>Lista lst_Eficacia</t>
  </si>
  <si>
    <t>Verificação da eficácia.</t>
  </si>
  <si>
    <t>Inteiro</t>
  </si>
  <si>
    <t>Calculado (fórmula)</t>
  </si>
  <si>
    <t>Dias em aberto.</t>
  </si>
  <si>
    <t>Fechada no prazo?</t>
  </si>
  <si>
    <t>tbl_5porques</t>
  </si>
  <si>
    <t>FK → tbl_nc</t>
  </si>
  <si>
    <t>Nível.</t>
  </si>
  <si>
    <t>Chave.</t>
  </si>
  <si>
    <t>Porquê?</t>
  </si>
  <si>
    <t>Resposta.</t>
  </si>
  <si>
    <t>Causa-raiz?</t>
  </si>
  <si>
    <t>tbl_melhoria</t>
  </si>
  <si>
    <t>Evidência de melhoria.</t>
  </si>
  <si>
    <t>Desempenho energético / sistema.</t>
  </si>
  <si>
    <t>Indicador.</t>
  </si>
  <si>
    <t>Período.</t>
  </si>
  <si>
    <t>Decimal</t>
  </si>
  <si>
    <t>Valor (melhoria positiva em % para o IDE-01; variação para os restantes).</t>
  </si>
  <si>
    <t>Unidade.</t>
  </si>
  <si>
    <t>Nota.</t>
  </si>
  <si>
    <t>Registo de origem.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</si>
</sst>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00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b/>
      <sz val="10"/>
      <color rgb="FFFFFFFF"/>
      <name val="Arial"/>
    </font>
    <font>
      <sz val="10"/>
      <name val="Arial"/>
    </font>
    <font>
      <i/>
      <sz val="10"/>
      <color rgb="FF4A5A6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4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49" fontId="3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1" fontId="3" fillId="4" borderId="1" xfId="0" applyNumberFormat="1" applyFont="1" applyFill="1" applyBorder="1" applyAlignment="1">
      <alignment vertical="top" wrapText="1"/>
    </xf>
    <xf numFmtId="49" fontId="3" fillId="4" borderId="1" xfId="0" applyNumberFormat="1" applyFont="1" applyFill="1" applyBorder="1" applyAlignment="1">
      <alignment vertical="top" wrapText="1"/>
    </xf>
    <xf numFmtId="1" fontId="3" fillId="0" borderId="1" xfId="0" applyNumberFormat="1" applyFont="1" applyBorder="1" applyAlignment="1">
      <alignment vertical="top" wrapText="1"/>
    </xf>
    <xf numFmtId="165" fontId="3" fillId="0" borderId="1" xfId="0" applyNumberFormat="1" applyFont="1" applyBorder="1" applyAlignment="1">
      <alignment vertical="top" wrapText="1"/>
    </xf>
    <xf numFmtId="0" fontId="5" fillId="0" borderId="0" xfId="0" applyFont="1"/>
    <xf numFmtId="0" fontId="2" fillId="2" borderId="0" xfId="0" applyFont="1" applyFill="1" applyAlignment="1">
      <alignment horizontal="center" vertical="top" wrapText="1"/>
    </xf>
    <xf numFmtId="164" fontId="3" fillId="0" borderId="0" xfId="0" applyNumberFormat="1" applyFont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7"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nc" displayName="tbl_nc" ref="A4:X8">
  <autoFilter ref="A4:X8" xr:uid="{00000000-0009-0000-0100-000001000000}"/>
  <tableColumns count="24">
    <tableColumn id="1" xr3:uid="{00000000-0010-0000-0000-000001000000}" name="ID_NC"/>
    <tableColumn id="2" xr3:uid="{00000000-0010-0000-0000-000002000000}" name="Data_Detecao"/>
    <tableColumn id="3" xr3:uid="{00000000-0010-0000-0000-000003000000}" name="Origem"/>
    <tableColumn id="4" xr3:uid="{00000000-0010-0000-0000-000004000000}" name="ID_Origem"/>
    <tableColumn id="5" xr3:uid="{00000000-0010-0000-0000-000005000000}" name="Processo"/>
    <tableColumn id="6" xr3:uid="{00000000-0010-0000-0000-000006000000}" name="Descricao"/>
    <tableColumn id="7" xr3:uid="{00000000-0010-0000-0000-000007000000}" name="Evidencia_Objetiva"/>
    <tableColumn id="8" xr3:uid="{00000000-0010-0000-0000-000008000000}" name="Classificacao"/>
    <tableColumn id="9" xr3:uid="{00000000-0010-0000-0000-000009000000}" name="Requisito_Violado"/>
    <tableColumn id="10" xr3:uid="{00000000-0010-0000-0000-00000A000000}" name="Correcao_C1"/>
    <tableColumn id="11" xr3:uid="{00000000-0010-0000-0000-00000B000000}" name="Causa_Raiz"/>
    <tableColumn id="12" xr3:uid="{00000000-0010-0000-0000-00000C000000}" name="Categoria_6M"/>
    <tableColumn id="13" xr3:uid="{00000000-0010-0000-0000-00000D000000}" name="Metodo_Analise"/>
    <tableColumn id="14" xr3:uid="{00000000-0010-0000-0000-00000E000000}" name="Acao_Corretiva"/>
    <tableColumn id="15" xr3:uid="{00000000-0010-0000-0000-00000F000000}" name="NC_Semelhantes"/>
    <tableColumn id="16" xr3:uid="{00000000-0010-0000-0000-000010000000}" name="Alteracao_SGE"/>
    <tableColumn id="17" xr3:uid="{00000000-0010-0000-0000-000011000000}" name="Responsavel"/>
    <tableColumn id="18" xr3:uid="{00000000-0010-0000-0000-000012000000}" name="Prazo"/>
    <tableColumn id="19" xr3:uid="{00000000-0010-0000-0000-000013000000}" name="Estado"/>
    <tableColumn id="20" xr3:uid="{00000000-0010-0000-0000-000014000000}" name="Data_Fecho"/>
    <tableColumn id="21" xr3:uid="{00000000-0010-0000-0000-000015000000}" name="Eficacia"/>
    <tableColumn id="22" xr3:uid="{00000000-0010-0000-0000-000016000000}" name="Data_Verif_Eficacia"/>
    <tableColumn id="23" xr3:uid="{00000000-0010-0000-0000-000017000000}" name="Dias_Aberta"/>
    <tableColumn id="24" xr3:uid="{00000000-0010-0000-0000-000018000000}" name="No_Praz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5porques" displayName="tbl_5porques" ref="A4:G12">
  <autoFilter ref="A4:G12" xr:uid="{00000000-0009-0000-0100-000002000000}"/>
  <tableColumns count="7">
    <tableColumn id="1" xr3:uid="{00000000-0010-0000-0100-000001000000}" name="ID_NC"/>
    <tableColumn id="2" xr3:uid="{00000000-0010-0000-0100-000002000000}" name="Nivel"/>
    <tableColumn id="3" xr3:uid="{00000000-0010-0000-0100-000003000000}" name="Chave"/>
    <tableColumn id="4" xr3:uid="{00000000-0010-0000-0100-000004000000}" name="Pergunta_Porque"/>
    <tableColumn id="5" xr3:uid="{00000000-0010-0000-0100-000005000000}" name="Resposta"/>
    <tableColumn id="6" xr3:uid="{00000000-0010-0000-0100-000006000000}" name="Evidencia"/>
    <tableColumn id="7" xr3:uid="{00000000-0010-0000-0100-000007000000}" name="E_Causa_Raiz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melhoria" displayName="tbl_melhoria" ref="A4:H14">
  <autoFilter ref="A4:H14" xr:uid="{00000000-0009-0000-0100-000003000000}"/>
  <tableColumns count="8">
    <tableColumn id="1" xr3:uid="{00000000-0010-0000-0200-000001000000}" name="ID_Melhoria"/>
    <tableColumn id="2" xr3:uid="{00000000-0010-0000-0200-000002000000}" name="Tipo"/>
    <tableColumn id="3" xr3:uid="{00000000-0010-0000-0200-000003000000}" name="Indicador"/>
    <tableColumn id="4" xr3:uid="{00000000-0010-0000-0200-000004000000}" name="Periodo"/>
    <tableColumn id="5" xr3:uid="{00000000-0010-0000-0200-000005000000}" name="Valor"/>
    <tableColumn id="6" xr3:uid="{00000000-0010-0000-0200-000006000000}" name="Unidade"/>
    <tableColumn id="7" xr3:uid="{00000000-0010-0000-0200-000007000000}" name="Nota"/>
    <tableColumn id="8" xr3:uid="{00000000-0010-0000-0200-000008000000}" name="Registo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dicionario" displayName="tbl_dicionario" ref="A1:I40">
  <autoFilter ref="A1:I40" xr:uid="{00000000-0009-0000-0100-000004000000}"/>
  <tableColumns count="9">
    <tableColumn id="1" xr3:uid="{00000000-0010-0000-0300-000001000000}" name="Folha"/>
    <tableColumn id="2" xr3:uid="{00000000-0010-0000-0300-000002000000}" name="Tabela"/>
    <tableColumn id="3" xr3:uid="{00000000-0010-0000-0300-000003000000}" name="Coluna"/>
    <tableColumn id="4" xr3:uid="{00000000-0010-0000-0300-000004000000}" name="Tipo"/>
    <tableColumn id="5" xr3:uid="{00000000-0010-0000-0300-000005000000}" name="Origem"/>
    <tableColumn id="6" xr3:uid="{00000000-0010-0000-0300-000006000000}" name="Descricao"/>
    <tableColumn id="7" xr3:uid="{00000000-0010-0000-0300-000007000000}" name="Dominio_Unidade"/>
    <tableColumn id="8" xr3:uid="{00000000-0010-0000-0300-000008000000}" name="Obrigatorio"/>
    <tableColumn id="9" xr3:uid="{00000000-0010-0000-03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46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26.4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ht="39.6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x14ac:dyDescent="0.3">
      <c r="A21" s="5" t="s">
        <v>28</v>
      </c>
      <c r="B21" s="6" t="s">
        <v>29</v>
      </c>
    </row>
    <row r="22" spans="1:2" x14ac:dyDescent="0.3">
      <c r="A22" s="5" t="s">
        <v>30</v>
      </c>
      <c r="B22" s="6" t="s">
        <v>31</v>
      </c>
    </row>
    <row r="23" spans="1:2" ht="26.4" x14ac:dyDescent="0.3">
      <c r="A23" s="5" t="s">
        <v>32</v>
      </c>
      <c r="B23" s="6" t="s">
        <v>33</v>
      </c>
    </row>
    <row r="25" spans="1:2" x14ac:dyDescent="0.3">
      <c r="A25" s="3" t="s">
        <v>34</v>
      </c>
      <c r="B25" s="4"/>
    </row>
    <row r="26" spans="1:2" x14ac:dyDescent="0.3">
      <c r="A26" s="5" t="s">
        <v>35</v>
      </c>
      <c r="B26" s="6" t="s">
        <v>36</v>
      </c>
    </row>
    <row r="28" spans="1:2" x14ac:dyDescent="0.3">
      <c r="A28" s="3" t="s">
        <v>37</v>
      </c>
      <c r="B28" s="4"/>
    </row>
    <row r="29" spans="1:2" x14ac:dyDescent="0.3">
      <c r="A29" s="5" t="s">
        <v>38</v>
      </c>
      <c r="B29" s="6" t="s">
        <v>39</v>
      </c>
    </row>
    <row r="30" spans="1:2" x14ac:dyDescent="0.3">
      <c r="A30" s="5" t="s">
        <v>40</v>
      </c>
      <c r="B30" s="6" t="s">
        <v>41</v>
      </c>
    </row>
    <row r="31" spans="1:2" x14ac:dyDescent="0.3">
      <c r="A31" s="5" t="s">
        <v>42</v>
      </c>
      <c r="B31" s="6" t="s">
        <v>43</v>
      </c>
    </row>
    <row r="32" spans="1:2" x14ac:dyDescent="0.3">
      <c r="A32" s="5" t="s">
        <v>44</v>
      </c>
      <c r="B32" s="6" t="s">
        <v>45</v>
      </c>
    </row>
    <row r="33" spans="1:2" x14ac:dyDescent="0.3">
      <c r="A33" s="5" t="s">
        <v>46</v>
      </c>
      <c r="B33" s="6" t="s">
        <v>47</v>
      </c>
    </row>
    <row r="35" spans="1:2" x14ac:dyDescent="0.3">
      <c r="A35" s="3" t="s">
        <v>48</v>
      </c>
      <c r="B35" s="4"/>
    </row>
    <row r="36" spans="1:2" ht="26.4" x14ac:dyDescent="0.3">
      <c r="A36" s="5" t="s">
        <v>49</v>
      </c>
      <c r="B36" s="6" t="s">
        <v>50</v>
      </c>
    </row>
    <row r="37" spans="1:2" x14ac:dyDescent="0.3">
      <c r="A37" s="5" t="s">
        <v>51</v>
      </c>
      <c r="B37" s="6" t="s">
        <v>52</v>
      </c>
    </row>
    <row r="38" spans="1:2" x14ac:dyDescent="0.3">
      <c r="A38" s="5" t="s">
        <v>53</v>
      </c>
      <c r="B38" s="6" t="s">
        <v>54</v>
      </c>
    </row>
    <row r="39" spans="1:2" ht="26.4" x14ac:dyDescent="0.3">
      <c r="A39" s="5" t="s">
        <v>55</v>
      </c>
      <c r="B39" s="6" t="s">
        <v>56</v>
      </c>
    </row>
    <row r="40" spans="1:2" ht="26.4" x14ac:dyDescent="0.3">
      <c r="A40" s="5" t="s">
        <v>57</v>
      </c>
      <c r="B40" s="6" t="s">
        <v>58</v>
      </c>
    </row>
    <row r="41" spans="1:2" ht="52.8" x14ac:dyDescent="0.3">
      <c r="A41" s="5" t="s">
        <v>59</v>
      </c>
      <c r="B41" s="6" t="s">
        <v>60</v>
      </c>
    </row>
    <row r="43" spans="1:2" x14ac:dyDescent="0.3">
      <c r="A43" s="3" t="s">
        <v>61</v>
      </c>
      <c r="B43" s="4"/>
    </row>
    <row r="44" spans="1:2" x14ac:dyDescent="0.3">
      <c r="A44" s="5" t="s">
        <v>62</v>
      </c>
      <c r="B44" s="6" t="s">
        <v>63</v>
      </c>
    </row>
    <row r="45" spans="1:2" x14ac:dyDescent="0.3">
      <c r="A45" s="5" t="s">
        <v>64</v>
      </c>
      <c r="B45" s="6" t="s">
        <v>65</v>
      </c>
    </row>
    <row r="46" spans="1:2" x14ac:dyDescent="0.3">
      <c r="A46" s="5" t="s">
        <v>66</v>
      </c>
      <c r="B46" s="6" t="s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8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11" customWidth="1"/>
    <col min="3" max="3" width="16" customWidth="1"/>
    <col min="4" max="4" width="12" customWidth="1"/>
    <col min="5" max="5" width="7" customWidth="1"/>
    <col min="6" max="6" width="44" customWidth="1"/>
    <col min="7" max="7" width="26" customWidth="1"/>
    <col min="8" max="9" width="16" customWidth="1"/>
    <col min="10" max="10" width="36" customWidth="1"/>
    <col min="11" max="11" width="44" customWidth="1"/>
    <col min="12" max="12" width="9" customWidth="1"/>
    <col min="13" max="13" width="11" customWidth="1"/>
    <col min="14" max="14" width="44" customWidth="1"/>
    <col min="15" max="15" width="30" customWidth="1"/>
    <col min="16" max="17" width="22" customWidth="1"/>
    <col min="18" max="18" width="11" customWidth="1"/>
    <col min="19" max="19" width="9" customWidth="1"/>
    <col min="20" max="20" width="11" customWidth="1"/>
    <col min="21" max="21" width="10" customWidth="1"/>
    <col min="22" max="22" width="11" customWidth="1"/>
    <col min="23" max="24" width="8" customWidth="1"/>
  </cols>
  <sheetData>
    <row r="1" spans="1:24" ht="17.399999999999999" x14ac:dyDescent="0.3">
      <c r="A1" s="1" t="s">
        <v>68</v>
      </c>
    </row>
    <row r="4" spans="1:24" ht="26.4" x14ac:dyDescent="0.3">
      <c r="A4" s="8" t="s">
        <v>69</v>
      </c>
      <c r="B4" s="8" t="s">
        <v>70</v>
      </c>
      <c r="C4" s="8" t="s">
        <v>71</v>
      </c>
      <c r="D4" s="8" t="s">
        <v>72</v>
      </c>
      <c r="E4" s="8" t="s">
        <v>73</v>
      </c>
      <c r="F4" s="8" t="s">
        <v>74</v>
      </c>
      <c r="G4" s="8" t="s">
        <v>75</v>
      </c>
      <c r="H4" s="8" t="s">
        <v>76</v>
      </c>
      <c r="I4" s="8" t="s">
        <v>77</v>
      </c>
      <c r="J4" s="8" t="s">
        <v>78</v>
      </c>
      <c r="K4" s="8" t="s">
        <v>79</v>
      </c>
      <c r="L4" s="8" t="s">
        <v>80</v>
      </c>
      <c r="M4" s="8" t="s">
        <v>81</v>
      </c>
      <c r="N4" s="8" t="s">
        <v>82</v>
      </c>
      <c r="O4" s="8" t="s">
        <v>83</v>
      </c>
      <c r="P4" s="8" t="s">
        <v>84</v>
      </c>
      <c r="Q4" s="8" t="s">
        <v>85</v>
      </c>
      <c r="R4" s="8" t="s">
        <v>86</v>
      </c>
      <c r="S4" s="8" t="s">
        <v>14</v>
      </c>
      <c r="T4" s="8" t="s">
        <v>87</v>
      </c>
      <c r="U4" s="8" t="s">
        <v>88</v>
      </c>
      <c r="V4" s="8" t="s">
        <v>89</v>
      </c>
      <c r="W4" s="9" t="s">
        <v>90</v>
      </c>
      <c r="X4" s="9" t="s">
        <v>91</v>
      </c>
    </row>
    <row r="5" spans="1:24" ht="60" customHeight="1" x14ac:dyDescent="0.3">
      <c r="A5" s="10" t="s">
        <v>92</v>
      </c>
      <c r="B5" s="11">
        <v>46344</v>
      </c>
      <c r="C5" s="10" t="s">
        <v>93</v>
      </c>
      <c r="D5" s="10" t="s">
        <v>94</v>
      </c>
      <c r="E5" s="10" t="s">
        <v>95</v>
      </c>
      <c r="F5" s="10" t="s">
        <v>96</v>
      </c>
      <c r="G5" s="10" t="s">
        <v>97</v>
      </c>
      <c r="H5" s="10" t="s">
        <v>98</v>
      </c>
      <c r="I5" s="10" t="s">
        <v>99</v>
      </c>
      <c r="J5" s="10" t="s">
        <v>100</v>
      </c>
      <c r="K5" s="10" t="s">
        <v>101</v>
      </c>
      <c r="L5" s="10" t="s">
        <v>102</v>
      </c>
      <c r="M5" s="10" t="s">
        <v>103</v>
      </c>
      <c r="N5" s="10" t="s">
        <v>104</v>
      </c>
      <c r="O5" s="10" t="s">
        <v>105</v>
      </c>
      <c r="P5" s="10" t="s">
        <v>106</v>
      </c>
      <c r="Q5" s="10" t="s">
        <v>107</v>
      </c>
      <c r="R5" s="11">
        <v>46446</v>
      </c>
      <c r="S5" s="10" t="s">
        <v>108</v>
      </c>
      <c r="T5" s="11"/>
      <c r="U5" s="10" t="s">
        <v>109</v>
      </c>
      <c r="V5" s="11"/>
      <c r="W5" s="12">
        <f>IF(A5="","",IF(T5="",DataRef-B5,T5-B5))</f>
        <v>43</v>
      </c>
      <c r="X5" s="13" t="str">
        <f>IF(A5="","",IF(T5="",IF(R5&lt;DataRef,"Atrasada","Em curso"),IF(T5&lt;=R5,"Sim","Não")))</f>
        <v>Em curso</v>
      </c>
    </row>
    <row r="6" spans="1:24" ht="60" customHeight="1" x14ac:dyDescent="0.3">
      <c r="A6" s="10" t="s">
        <v>110</v>
      </c>
      <c r="B6" s="11">
        <v>46344</v>
      </c>
      <c r="C6" s="10" t="s">
        <v>93</v>
      </c>
      <c r="D6" s="10" t="s">
        <v>111</v>
      </c>
      <c r="E6" s="10" t="s">
        <v>112</v>
      </c>
      <c r="F6" s="10" t="s">
        <v>113</v>
      </c>
      <c r="G6" s="10" t="s">
        <v>114</v>
      </c>
      <c r="H6" s="10" t="s">
        <v>98</v>
      </c>
      <c r="I6" s="10" t="s">
        <v>115</v>
      </c>
      <c r="J6" s="10" t="s">
        <v>116</v>
      </c>
      <c r="K6" s="10" t="s">
        <v>117</v>
      </c>
      <c r="L6" s="10" t="s">
        <v>102</v>
      </c>
      <c r="M6" s="10" t="s">
        <v>118</v>
      </c>
      <c r="N6" s="10" t="s">
        <v>119</v>
      </c>
      <c r="O6" s="10" t="s">
        <v>120</v>
      </c>
      <c r="P6" s="10" t="s">
        <v>121</v>
      </c>
      <c r="Q6" s="10" t="s">
        <v>122</v>
      </c>
      <c r="R6" s="11">
        <v>46387</v>
      </c>
      <c r="S6" s="10" t="s">
        <v>123</v>
      </c>
      <c r="T6" s="11">
        <v>46358</v>
      </c>
      <c r="U6" s="10" t="s">
        <v>109</v>
      </c>
      <c r="V6" s="11">
        <v>46568</v>
      </c>
      <c r="W6" s="12">
        <f>IF(A6="","",IF(T6="",DataRef-B6,T6-B6))</f>
        <v>14</v>
      </c>
      <c r="X6" s="13" t="str">
        <f>IF(A6="","",IF(T6="",IF(R6&lt;DataRef,"Atrasada","Em curso"),IF(T6&lt;=R6,"Sim","Não")))</f>
        <v>Sim</v>
      </c>
    </row>
    <row r="7" spans="1:24" ht="60" customHeight="1" x14ac:dyDescent="0.3">
      <c r="A7" s="10" t="s">
        <v>124</v>
      </c>
      <c r="B7" s="11">
        <v>46253</v>
      </c>
      <c r="C7" s="10" t="s">
        <v>125</v>
      </c>
      <c r="D7" s="10" t="s">
        <v>126</v>
      </c>
      <c r="E7" s="10" t="s">
        <v>127</v>
      </c>
      <c r="F7" s="10" t="s">
        <v>128</v>
      </c>
      <c r="G7" s="10" t="s">
        <v>129</v>
      </c>
      <c r="H7" s="10" t="s">
        <v>98</v>
      </c>
      <c r="I7" s="10" t="s">
        <v>130</v>
      </c>
      <c r="J7" s="10" t="s">
        <v>131</v>
      </c>
      <c r="K7" s="10" t="s">
        <v>132</v>
      </c>
      <c r="L7" s="10" t="s">
        <v>133</v>
      </c>
      <c r="M7" s="10" t="s">
        <v>103</v>
      </c>
      <c r="N7" s="10" t="s">
        <v>134</v>
      </c>
      <c r="O7" s="10" t="s">
        <v>135</v>
      </c>
      <c r="P7" s="10" t="s">
        <v>136</v>
      </c>
      <c r="Q7" s="10" t="s">
        <v>137</v>
      </c>
      <c r="R7" s="11">
        <v>46295</v>
      </c>
      <c r="S7" s="10" t="s">
        <v>123</v>
      </c>
      <c r="T7" s="11">
        <v>46262</v>
      </c>
      <c r="U7" s="10" t="s">
        <v>138</v>
      </c>
      <c r="V7" s="11">
        <v>46366</v>
      </c>
      <c r="W7" s="12">
        <f>IF(A7="","",IF(T7="",DataRef-B7,T7-B7))</f>
        <v>9</v>
      </c>
      <c r="X7" s="13" t="str">
        <f>IF(A7="","",IF(T7="",IF(R7&lt;DataRef,"Atrasada","Em curso"),IF(T7&lt;=R7,"Sim","Não")))</f>
        <v>Sim</v>
      </c>
    </row>
    <row r="8" spans="1:24" ht="60" customHeight="1" x14ac:dyDescent="0.3">
      <c r="A8" s="10" t="s">
        <v>139</v>
      </c>
      <c r="B8" s="11">
        <v>46270</v>
      </c>
      <c r="C8" s="10" t="s">
        <v>140</v>
      </c>
      <c r="D8" s="10" t="s">
        <v>141</v>
      </c>
      <c r="E8" s="10" t="s">
        <v>95</v>
      </c>
      <c r="F8" s="10" t="s">
        <v>142</v>
      </c>
      <c r="G8" s="10" t="s">
        <v>143</v>
      </c>
      <c r="H8" s="10" t="s">
        <v>98</v>
      </c>
      <c r="I8" s="10" t="s">
        <v>144</v>
      </c>
      <c r="J8" s="10" t="s">
        <v>145</v>
      </c>
      <c r="K8" s="10" t="s">
        <v>146</v>
      </c>
      <c r="L8" s="10" t="s">
        <v>102</v>
      </c>
      <c r="M8" s="10" t="s">
        <v>103</v>
      </c>
      <c r="N8" s="10" t="s">
        <v>147</v>
      </c>
      <c r="O8" s="10" t="s">
        <v>148</v>
      </c>
      <c r="P8" s="10" t="s">
        <v>149</v>
      </c>
      <c r="Q8" s="10" t="s">
        <v>150</v>
      </c>
      <c r="R8" s="11">
        <v>46418</v>
      </c>
      <c r="S8" s="10" t="s">
        <v>108</v>
      </c>
      <c r="T8" s="11"/>
      <c r="U8" s="10" t="s">
        <v>109</v>
      </c>
      <c r="V8" s="11"/>
      <c r="W8" s="12">
        <f>IF(A8="","",IF(T8="",DataRef-B8,T8-B8))</f>
        <v>117</v>
      </c>
      <c r="X8" s="13" t="str">
        <f>IF(A8="","",IF(T8="",IF(R8&lt;DataRef,"Atrasada","Em curso"),IF(T8&lt;=R8,"Sim","Não")))</f>
        <v>Em curso</v>
      </c>
    </row>
  </sheetData>
  <conditionalFormatting sqref="U5:U208">
    <cfRule type="expression" dxfId="6" priority="4">
      <formula>ISNUMBER(SEARCH("Eficaz",U5))</formula>
    </cfRule>
    <cfRule type="expression" dxfId="5" priority="5">
      <formula>ISNUMBER(SEARCH("Não eficaz",U5))</formula>
    </cfRule>
    <cfRule type="expression" dxfId="4" priority="6">
      <formula>ISNUMBER(SEARCH("Por avaliar",U5))</formula>
    </cfRule>
  </conditionalFormatting>
  <conditionalFormatting sqref="X5:X208">
    <cfRule type="expression" dxfId="3" priority="1">
      <formula>ISNUMBER(SEARCH("Atrasada",X5))</formula>
    </cfRule>
    <cfRule type="expression" dxfId="2" priority="2">
      <formula>ISNUMBER(SEARCH("Não",X5))</formula>
    </cfRule>
    <cfRule type="expression" dxfId="1" priority="3">
      <formula>ISNUMBER(SEARCH("Sim",X5))</formula>
    </cfRule>
  </conditionalFormatting>
  <dataValidations count="2">
    <dataValidation type="list" allowBlank="1" showErrorMessage="1" errorTitle="Valor inválido" error="Valor fora da lista controlada (ver folha Listas)." sqref="Q5:Q208" xr:uid="{00000000-0002-0000-0100-000000000000}">
      <formula1>lst_Funcao</formula1>
    </dataValidation>
    <dataValidation type="list" allowBlank="1" showErrorMessage="1" errorTitle="Valor inválido" error="Valor fora da lista controlada (ver folha Listas)." sqref="U5:U208" xr:uid="{00000000-0002-0000-0100-000001000000}">
      <formula1>lst_Eficacia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2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6" customWidth="1"/>
    <col min="3" max="3" width="13" customWidth="1"/>
    <col min="4" max="5" width="50" customWidth="1"/>
    <col min="6" max="6" width="30" customWidth="1"/>
    <col min="7" max="7" width="8" customWidth="1"/>
  </cols>
  <sheetData>
    <row r="1" spans="1:7" ht="17.399999999999999" x14ac:dyDescent="0.3">
      <c r="A1" s="1" t="s">
        <v>151</v>
      </c>
    </row>
    <row r="4" spans="1:7" ht="26.4" x14ac:dyDescent="0.3">
      <c r="A4" s="8" t="s">
        <v>69</v>
      </c>
      <c r="B4" s="8" t="s">
        <v>152</v>
      </c>
      <c r="C4" s="9" t="s">
        <v>153</v>
      </c>
      <c r="D4" s="8" t="s">
        <v>154</v>
      </c>
      <c r="E4" s="8" t="s">
        <v>155</v>
      </c>
      <c r="F4" s="8" t="s">
        <v>156</v>
      </c>
      <c r="G4" s="8" t="s">
        <v>157</v>
      </c>
    </row>
    <row r="5" spans="1:7" ht="30" customHeight="1" x14ac:dyDescent="0.3">
      <c r="A5" s="10" t="s">
        <v>92</v>
      </c>
      <c r="B5" s="14">
        <v>1</v>
      </c>
      <c r="C5" s="13" t="str">
        <f t="shared" ref="C5:C12" si="0">IF(A5="","",A5&amp;"|"&amp;B5)</f>
        <v>NCE-26-01|1</v>
      </c>
      <c r="D5" s="10" t="s">
        <v>158</v>
      </c>
      <c r="E5" s="10" t="s">
        <v>159</v>
      </c>
      <c r="F5" s="10" t="s">
        <v>160</v>
      </c>
      <c r="G5" s="10" t="s">
        <v>135</v>
      </c>
    </row>
    <row r="6" spans="1:7" ht="30" customHeight="1" x14ac:dyDescent="0.3">
      <c r="A6" s="10" t="s">
        <v>92</v>
      </c>
      <c r="B6" s="14">
        <v>2</v>
      </c>
      <c r="C6" s="13" t="str">
        <f t="shared" si="0"/>
        <v>NCE-26-01|2</v>
      </c>
      <c r="D6" s="10" t="s">
        <v>161</v>
      </c>
      <c r="E6" s="10" t="s">
        <v>162</v>
      </c>
      <c r="F6" s="10" t="s">
        <v>163</v>
      </c>
      <c r="G6" s="10" t="s">
        <v>135</v>
      </c>
    </row>
    <row r="7" spans="1:7" ht="30" customHeight="1" x14ac:dyDescent="0.3">
      <c r="A7" s="10" t="s">
        <v>92</v>
      </c>
      <c r="B7" s="14">
        <v>3</v>
      </c>
      <c r="C7" s="13" t="str">
        <f t="shared" si="0"/>
        <v>NCE-26-01|3</v>
      </c>
      <c r="D7" s="10" t="s">
        <v>164</v>
      </c>
      <c r="E7" s="10" t="s">
        <v>165</v>
      </c>
      <c r="F7" s="10" t="s">
        <v>166</v>
      </c>
      <c r="G7" s="10" t="s">
        <v>135</v>
      </c>
    </row>
    <row r="8" spans="1:7" ht="30" customHeight="1" x14ac:dyDescent="0.3">
      <c r="A8" s="10" t="s">
        <v>92</v>
      </c>
      <c r="B8" s="14">
        <v>4</v>
      </c>
      <c r="C8" s="13" t="str">
        <f t="shared" si="0"/>
        <v>NCE-26-01|4</v>
      </c>
      <c r="D8" s="10" t="s">
        <v>167</v>
      </c>
      <c r="E8" s="10" t="s">
        <v>168</v>
      </c>
      <c r="F8" s="10" t="s">
        <v>169</v>
      </c>
      <c r="G8" s="10" t="s">
        <v>170</v>
      </c>
    </row>
    <row r="9" spans="1:7" ht="30" customHeight="1" x14ac:dyDescent="0.3">
      <c r="A9" s="10" t="s">
        <v>139</v>
      </c>
      <c r="B9" s="14">
        <v>1</v>
      </c>
      <c r="C9" s="13" t="str">
        <f t="shared" si="0"/>
        <v>NCE-26-04|1</v>
      </c>
      <c r="D9" s="10" t="s">
        <v>171</v>
      </c>
      <c r="E9" s="10" t="s">
        <v>172</v>
      </c>
      <c r="F9" s="10" t="s">
        <v>173</v>
      </c>
      <c r="G9" s="10" t="s">
        <v>135</v>
      </c>
    </row>
    <row r="10" spans="1:7" ht="30" customHeight="1" x14ac:dyDescent="0.3">
      <c r="A10" s="10" t="s">
        <v>139</v>
      </c>
      <c r="B10" s="14">
        <v>2</v>
      </c>
      <c r="C10" s="13" t="str">
        <f t="shared" si="0"/>
        <v>NCE-26-04|2</v>
      </c>
      <c r="D10" s="10" t="s">
        <v>174</v>
      </c>
      <c r="E10" s="10" t="s">
        <v>175</v>
      </c>
      <c r="F10" s="10" t="s">
        <v>176</v>
      </c>
      <c r="G10" s="10" t="s">
        <v>135</v>
      </c>
    </row>
    <row r="11" spans="1:7" ht="30" customHeight="1" x14ac:dyDescent="0.3">
      <c r="A11" s="10" t="s">
        <v>139</v>
      </c>
      <c r="B11" s="14">
        <v>3</v>
      </c>
      <c r="C11" s="13" t="str">
        <f t="shared" si="0"/>
        <v>NCE-26-04|3</v>
      </c>
      <c r="D11" s="10" t="s">
        <v>177</v>
      </c>
      <c r="E11" s="10" t="s">
        <v>178</v>
      </c>
      <c r="F11" s="10" t="s">
        <v>179</v>
      </c>
      <c r="G11" s="10" t="s">
        <v>135</v>
      </c>
    </row>
    <row r="12" spans="1:7" ht="30" customHeight="1" x14ac:dyDescent="0.3">
      <c r="A12" s="10" t="s">
        <v>139</v>
      </c>
      <c r="B12" s="14">
        <v>4</v>
      </c>
      <c r="C12" s="13" t="str">
        <f t="shared" si="0"/>
        <v>NCE-26-04|4</v>
      </c>
      <c r="D12" s="10" t="s">
        <v>180</v>
      </c>
      <c r="E12" s="10" t="s">
        <v>181</v>
      </c>
      <c r="F12" s="10" t="s">
        <v>163</v>
      </c>
      <c r="G12" s="10" t="s">
        <v>170</v>
      </c>
    </row>
  </sheetData>
  <conditionalFormatting sqref="G5:G212">
    <cfRule type="expression" dxfId="0" priority="1">
      <formula>ISNUMBER(SEARCH("Sim",G5))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4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18" customWidth="1"/>
    <col min="3" max="3" width="44" customWidth="1"/>
    <col min="4" max="4" width="20" customWidth="1"/>
    <col min="5" max="5" width="10" customWidth="1"/>
    <col min="6" max="6" width="11" customWidth="1"/>
    <col min="7" max="7" width="44" customWidth="1"/>
    <col min="8" max="8" width="12" customWidth="1"/>
  </cols>
  <sheetData>
    <row r="1" spans="1:8" ht="17.399999999999999" x14ac:dyDescent="0.3">
      <c r="A1" s="1" t="s">
        <v>182</v>
      </c>
    </row>
    <row r="2" spans="1:8" x14ac:dyDescent="0.3">
      <c r="A2" s="2" t="s">
        <v>183</v>
      </c>
    </row>
    <row r="4" spans="1:8" ht="26.4" x14ac:dyDescent="0.3">
      <c r="A4" s="8" t="s">
        <v>184</v>
      </c>
      <c r="B4" s="8" t="s">
        <v>185</v>
      </c>
      <c r="C4" s="8" t="s">
        <v>186</v>
      </c>
      <c r="D4" s="8" t="s">
        <v>187</v>
      </c>
      <c r="E4" s="8" t="s">
        <v>188</v>
      </c>
      <c r="F4" s="8" t="s">
        <v>189</v>
      </c>
      <c r="G4" s="8" t="s">
        <v>190</v>
      </c>
      <c r="H4" s="8" t="s">
        <v>191</v>
      </c>
    </row>
    <row r="5" spans="1:8" ht="30" customHeight="1" x14ac:dyDescent="0.3">
      <c r="A5" s="10" t="s">
        <v>192</v>
      </c>
      <c r="B5" s="10" t="s">
        <v>193</v>
      </c>
      <c r="C5" s="10" t="s">
        <v>194</v>
      </c>
      <c r="D5" s="10" t="s">
        <v>195</v>
      </c>
      <c r="E5" s="15">
        <v>-8.6E-3</v>
      </c>
      <c r="F5" s="10" t="s">
        <v>196</v>
      </c>
      <c r="G5" s="10" t="s">
        <v>197</v>
      </c>
      <c r="H5" s="10" t="s">
        <v>198</v>
      </c>
    </row>
    <row r="6" spans="1:8" ht="30" customHeight="1" x14ac:dyDescent="0.3">
      <c r="A6" s="10" t="s">
        <v>199</v>
      </c>
      <c r="B6" s="10" t="s">
        <v>193</v>
      </c>
      <c r="C6" s="10" t="s">
        <v>194</v>
      </c>
      <c r="D6" s="10" t="s">
        <v>200</v>
      </c>
      <c r="E6" s="15">
        <v>1.8499999999999999E-2</v>
      </c>
      <c r="F6" s="10" t="s">
        <v>196</v>
      </c>
      <c r="G6" s="10" t="s">
        <v>201</v>
      </c>
      <c r="H6" s="10" t="s">
        <v>198</v>
      </c>
    </row>
    <row r="7" spans="1:8" ht="30" customHeight="1" x14ac:dyDescent="0.3">
      <c r="A7" s="10" t="s">
        <v>202</v>
      </c>
      <c r="B7" s="10" t="s">
        <v>193</v>
      </c>
      <c r="C7" s="10" t="s">
        <v>194</v>
      </c>
      <c r="D7" s="10" t="s">
        <v>203</v>
      </c>
      <c r="E7" s="15">
        <v>5.4300000000000001E-2</v>
      </c>
      <c r="F7" s="10" t="s">
        <v>196</v>
      </c>
      <c r="G7" s="10" t="s">
        <v>197</v>
      </c>
      <c r="H7" s="10" t="s">
        <v>198</v>
      </c>
    </row>
    <row r="8" spans="1:8" ht="30" customHeight="1" x14ac:dyDescent="0.3">
      <c r="A8" s="10" t="s">
        <v>204</v>
      </c>
      <c r="B8" s="10" t="s">
        <v>193</v>
      </c>
      <c r="C8" s="10" t="s">
        <v>205</v>
      </c>
      <c r="D8" s="10" t="s">
        <v>206</v>
      </c>
      <c r="E8" s="15">
        <v>-0.20399999999999999</v>
      </c>
      <c r="F8" s="10" t="s">
        <v>196</v>
      </c>
      <c r="G8" s="10" t="s">
        <v>207</v>
      </c>
      <c r="H8" s="10" t="s">
        <v>64</v>
      </c>
    </row>
    <row r="9" spans="1:8" ht="30" customHeight="1" x14ac:dyDescent="0.3">
      <c r="A9" s="10" t="s">
        <v>208</v>
      </c>
      <c r="B9" s="10" t="s">
        <v>193</v>
      </c>
      <c r="C9" s="10" t="s">
        <v>209</v>
      </c>
      <c r="D9" s="10" t="s">
        <v>210</v>
      </c>
      <c r="E9" s="15">
        <v>-0.44</v>
      </c>
      <c r="F9" s="10" t="s">
        <v>196</v>
      </c>
      <c r="G9" s="10" t="s">
        <v>211</v>
      </c>
      <c r="H9" s="10" t="s">
        <v>64</v>
      </c>
    </row>
    <row r="10" spans="1:8" ht="30" customHeight="1" x14ac:dyDescent="0.3">
      <c r="A10" s="10" t="s">
        <v>212</v>
      </c>
      <c r="B10" s="10" t="s">
        <v>193</v>
      </c>
      <c r="C10" s="10" t="s">
        <v>213</v>
      </c>
      <c r="D10" s="10" t="s">
        <v>214</v>
      </c>
      <c r="E10" s="15">
        <v>70991</v>
      </c>
      <c r="F10" s="10" t="s">
        <v>215</v>
      </c>
      <c r="G10" s="10" t="s">
        <v>216</v>
      </c>
      <c r="H10" s="10" t="s">
        <v>64</v>
      </c>
    </row>
    <row r="11" spans="1:8" ht="30" customHeight="1" x14ac:dyDescent="0.3">
      <c r="A11" s="10" t="s">
        <v>217</v>
      </c>
      <c r="B11" s="10" t="s">
        <v>193</v>
      </c>
      <c r="C11" s="10" t="s">
        <v>218</v>
      </c>
      <c r="D11" s="10" t="s">
        <v>219</v>
      </c>
      <c r="E11" s="15">
        <v>-3.7999999999999999E-2</v>
      </c>
      <c r="F11" s="10" t="s">
        <v>196</v>
      </c>
      <c r="G11" s="10" t="s">
        <v>220</v>
      </c>
      <c r="H11" s="10" t="s">
        <v>221</v>
      </c>
    </row>
    <row r="12" spans="1:8" ht="30" customHeight="1" x14ac:dyDescent="0.3">
      <c r="A12" s="10" t="s">
        <v>222</v>
      </c>
      <c r="B12" s="10" t="s">
        <v>223</v>
      </c>
      <c r="C12" s="10" t="s">
        <v>224</v>
      </c>
      <c r="D12" s="10" t="s">
        <v>225</v>
      </c>
      <c r="E12" s="15">
        <v>0.95399999999999996</v>
      </c>
      <c r="F12" s="10" t="s">
        <v>226</v>
      </c>
      <c r="G12" s="10" t="s">
        <v>227</v>
      </c>
      <c r="H12" s="10" t="s">
        <v>228</v>
      </c>
    </row>
    <row r="13" spans="1:8" ht="30" customHeight="1" x14ac:dyDescent="0.3">
      <c r="A13" s="10" t="s">
        <v>229</v>
      </c>
      <c r="B13" s="10" t="s">
        <v>223</v>
      </c>
      <c r="C13" s="10" t="s">
        <v>230</v>
      </c>
      <c r="D13" s="10" t="s">
        <v>231</v>
      </c>
      <c r="E13" s="15"/>
      <c r="F13" s="10" t="s">
        <v>35</v>
      </c>
      <c r="G13" s="10" t="s">
        <v>232</v>
      </c>
      <c r="H13" s="10" t="s">
        <v>233</v>
      </c>
    </row>
    <row r="14" spans="1:8" ht="30" customHeight="1" x14ac:dyDescent="0.3">
      <c r="A14" s="10" t="s">
        <v>234</v>
      </c>
      <c r="B14" s="10" t="s">
        <v>223</v>
      </c>
      <c r="C14" s="10" t="s">
        <v>235</v>
      </c>
      <c r="D14" s="10" t="s">
        <v>236</v>
      </c>
      <c r="E14" s="15">
        <v>12</v>
      </c>
      <c r="F14" s="10" t="s">
        <v>237</v>
      </c>
      <c r="G14" s="10" t="s">
        <v>238</v>
      </c>
      <c r="H14" s="10" t="s">
        <v>239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6" customWidth="1"/>
    <col min="2" max="2" width="48" customWidth="1"/>
    <col min="3" max="3" width="16" customWidth="1"/>
  </cols>
  <sheetData>
    <row r="1" spans="1:3" x14ac:dyDescent="0.3">
      <c r="A1" s="16" t="s">
        <v>240</v>
      </c>
    </row>
    <row r="2" spans="1:3" x14ac:dyDescent="0.3">
      <c r="A2" s="17" t="s">
        <v>241</v>
      </c>
      <c r="B2" s="17" t="s">
        <v>242</v>
      </c>
      <c r="C2" s="17" t="s">
        <v>88</v>
      </c>
    </row>
    <row r="3" spans="1:3" x14ac:dyDescent="0.3">
      <c r="A3" s="18">
        <v>46387</v>
      </c>
      <c r="B3" s="6" t="s">
        <v>243</v>
      </c>
      <c r="C3" s="6" t="s">
        <v>138</v>
      </c>
    </row>
    <row r="4" spans="1:3" x14ac:dyDescent="0.3">
      <c r="B4" s="6" t="s">
        <v>107</v>
      </c>
      <c r="C4" s="6" t="s">
        <v>244</v>
      </c>
    </row>
    <row r="5" spans="1:3" ht="26.4" x14ac:dyDescent="0.3">
      <c r="B5" s="6" t="s">
        <v>245</v>
      </c>
      <c r="C5" s="6" t="s">
        <v>109</v>
      </c>
    </row>
    <row r="6" spans="1:3" x14ac:dyDescent="0.3">
      <c r="B6" s="6" t="s">
        <v>246</v>
      </c>
    </row>
    <row r="7" spans="1:3" x14ac:dyDescent="0.3">
      <c r="B7" s="6" t="s">
        <v>247</v>
      </c>
    </row>
    <row r="8" spans="1:3" x14ac:dyDescent="0.3">
      <c r="B8" s="6" t="s">
        <v>137</v>
      </c>
    </row>
    <row r="9" spans="1:3" x14ac:dyDescent="0.3">
      <c r="B9" s="6" t="s">
        <v>248</v>
      </c>
    </row>
    <row r="10" spans="1:3" x14ac:dyDescent="0.3">
      <c r="B10" s="6" t="s">
        <v>249</v>
      </c>
    </row>
    <row r="11" spans="1:3" x14ac:dyDescent="0.3">
      <c r="B11" s="6" t="s">
        <v>150</v>
      </c>
    </row>
    <row r="12" spans="1:3" x14ac:dyDescent="0.3">
      <c r="B12" s="6" t="s">
        <v>122</v>
      </c>
    </row>
    <row r="13" spans="1:3" x14ac:dyDescent="0.3">
      <c r="B13" s="6" t="s">
        <v>250</v>
      </c>
    </row>
    <row r="14" spans="1:3" x14ac:dyDescent="0.3">
      <c r="B14" s="6" t="s">
        <v>251</v>
      </c>
    </row>
    <row r="15" spans="1:3" x14ac:dyDescent="0.3">
      <c r="B15" s="6" t="s">
        <v>252</v>
      </c>
    </row>
    <row r="16" spans="1:3" x14ac:dyDescent="0.3">
      <c r="B16" s="6" t="s">
        <v>253</v>
      </c>
    </row>
    <row r="17" spans="2:2" x14ac:dyDescent="0.3">
      <c r="B17" s="6" t="s">
        <v>254</v>
      </c>
    </row>
    <row r="18" spans="2:2" x14ac:dyDescent="0.3">
      <c r="B18" s="6" t="s">
        <v>255</v>
      </c>
    </row>
    <row r="19" spans="2:2" x14ac:dyDescent="0.3">
      <c r="B19" s="6" t="s">
        <v>256</v>
      </c>
    </row>
    <row r="20" spans="2:2" x14ac:dyDescent="0.3">
      <c r="B20" s="6" t="s">
        <v>257</v>
      </c>
    </row>
    <row r="21" spans="2:2" x14ac:dyDescent="0.3">
      <c r="B21" s="6" t="s">
        <v>258</v>
      </c>
    </row>
    <row r="22" spans="2:2" x14ac:dyDescent="0.3">
      <c r="B22" s="6" t="s">
        <v>259</v>
      </c>
    </row>
    <row r="23" spans="2:2" x14ac:dyDescent="0.3">
      <c r="B23" s="6" t="s">
        <v>260</v>
      </c>
    </row>
    <row r="24" spans="2:2" x14ac:dyDescent="0.3">
      <c r="B24" s="6" t="s">
        <v>261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0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262</v>
      </c>
      <c r="B1" s="8" t="s">
        <v>263</v>
      </c>
      <c r="C1" s="8" t="s">
        <v>264</v>
      </c>
      <c r="D1" s="8" t="s">
        <v>185</v>
      </c>
      <c r="E1" s="8" t="s">
        <v>71</v>
      </c>
      <c r="F1" s="8" t="s">
        <v>74</v>
      </c>
      <c r="G1" s="8" t="s">
        <v>265</v>
      </c>
      <c r="H1" s="8" t="s">
        <v>266</v>
      </c>
      <c r="I1" s="8" t="s">
        <v>153</v>
      </c>
    </row>
    <row r="2" spans="1:9" x14ac:dyDescent="0.3">
      <c r="A2" s="19" t="s">
        <v>38</v>
      </c>
      <c r="B2" s="19" t="s">
        <v>267</v>
      </c>
      <c r="C2" s="19" t="s">
        <v>69</v>
      </c>
      <c r="D2" s="19" t="s">
        <v>268</v>
      </c>
      <c r="E2" s="19" t="s">
        <v>269</v>
      </c>
      <c r="F2" s="19" t="s">
        <v>270</v>
      </c>
      <c r="G2" s="19"/>
      <c r="H2" s="19" t="s">
        <v>170</v>
      </c>
      <c r="I2" s="19" t="s">
        <v>271</v>
      </c>
    </row>
    <row r="3" spans="1:9" ht="26.4" x14ac:dyDescent="0.3">
      <c r="A3" s="19" t="s">
        <v>38</v>
      </c>
      <c r="B3" s="19" t="s">
        <v>267</v>
      </c>
      <c r="C3" s="19" t="s">
        <v>70</v>
      </c>
      <c r="D3" s="19" t="s">
        <v>272</v>
      </c>
      <c r="E3" s="19" t="s">
        <v>269</v>
      </c>
      <c r="F3" s="19" t="s">
        <v>273</v>
      </c>
      <c r="G3" s="19"/>
      <c r="H3" s="19" t="s">
        <v>170</v>
      </c>
      <c r="I3" s="19"/>
    </row>
    <row r="4" spans="1:9" x14ac:dyDescent="0.3">
      <c r="A4" s="19" t="s">
        <v>38</v>
      </c>
      <c r="B4" s="19" t="s">
        <v>267</v>
      </c>
      <c r="C4" s="19" t="s">
        <v>71</v>
      </c>
      <c r="D4" s="19" t="s">
        <v>268</v>
      </c>
      <c r="E4" s="19" t="s">
        <v>269</v>
      </c>
      <c r="F4" s="19" t="s">
        <v>274</v>
      </c>
      <c r="G4" s="19"/>
      <c r="H4" s="19" t="s">
        <v>170</v>
      </c>
      <c r="I4" s="19"/>
    </row>
    <row r="5" spans="1:9" x14ac:dyDescent="0.3">
      <c r="A5" s="19" t="s">
        <v>38</v>
      </c>
      <c r="B5" s="19" t="s">
        <v>267</v>
      </c>
      <c r="C5" s="19" t="s">
        <v>72</v>
      </c>
      <c r="D5" s="19" t="s">
        <v>268</v>
      </c>
      <c r="E5" s="19" t="s">
        <v>269</v>
      </c>
      <c r="F5" s="19" t="s">
        <v>275</v>
      </c>
      <c r="G5" s="19"/>
      <c r="H5" s="19" t="s">
        <v>170</v>
      </c>
      <c r="I5" s="19"/>
    </row>
    <row r="6" spans="1:9" x14ac:dyDescent="0.3">
      <c r="A6" s="19" t="s">
        <v>38</v>
      </c>
      <c r="B6" s="19" t="s">
        <v>267</v>
      </c>
      <c r="C6" s="19" t="s">
        <v>73</v>
      </c>
      <c r="D6" s="19" t="s">
        <v>268</v>
      </c>
      <c r="E6" s="19" t="s">
        <v>269</v>
      </c>
      <c r="F6" s="19" t="s">
        <v>276</v>
      </c>
      <c r="G6" s="19"/>
      <c r="H6" s="19" t="s">
        <v>170</v>
      </c>
      <c r="I6" s="19"/>
    </row>
    <row r="7" spans="1:9" x14ac:dyDescent="0.3">
      <c r="A7" s="19" t="s">
        <v>38</v>
      </c>
      <c r="B7" s="19" t="s">
        <v>267</v>
      </c>
      <c r="C7" s="19" t="s">
        <v>74</v>
      </c>
      <c r="D7" s="19" t="s">
        <v>268</v>
      </c>
      <c r="E7" s="19" t="s">
        <v>269</v>
      </c>
      <c r="F7" s="19" t="s">
        <v>277</v>
      </c>
      <c r="G7" s="19"/>
      <c r="H7" s="19" t="s">
        <v>170</v>
      </c>
      <c r="I7" s="19"/>
    </row>
    <row r="8" spans="1:9" x14ac:dyDescent="0.3">
      <c r="A8" s="19" t="s">
        <v>38</v>
      </c>
      <c r="B8" s="19" t="s">
        <v>267</v>
      </c>
      <c r="C8" s="19" t="s">
        <v>75</v>
      </c>
      <c r="D8" s="19" t="s">
        <v>268</v>
      </c>
      <c r="E8" s="19" t="s">
        <v>269</v>
      </c>
      <c r="F8" s="19" t="s">
        <v>278</v>
      </c>
      <c r="G8" s="19"/>
      <c r="H8" s="19" t="s">
        <v>170</v>
      </c>
      <c r="I8" s="19"/>
    </row>
    <row r="9" spans="1:9" x14ac:dyDescent="0.3">
      <c r="A9" s="19" t="s">
        <v>38</v>
      </c>
      <c r="B9" s="19" t="s">
        <v>267</v>
      </c>
      <c r="C9" s="19" t="s">
        <v>76</v>
      </c>
      <c r="D9" s="19" t="s">
        <v>268</v>
      </c>
      <c r="E9" s="19" t="s">
        <v>269</v>
      </c>
      <c r="F9" s="19" t="s">
        <v>279</v>
      </c>
      <c r="G9" s="19"/>
      <c r="H9" s="19" t="s">
        <v>170</v>
      </c>
      <c r="I9" s="19"/>
    </row>
    <row r="10" spans="1:9" x14ac:dyDescent="0.3">
      <c r="A10" s="19" t="s">
        <v>38</v>
      </c>
      <c r="B10" s="19" t="s">
        <v>267</v>
      </c>
      <c r="C10" s="19" t="s">
        <v>77</v>
      </c>
      <c r="D10" s="19" t="s">
        <v>268</v>
      </c>
      <c r="E10" s="19" t="s">
        <v>269</v>
      </c>
      <c r="F10" s="19" t="s">
        <v>280</v>
      </c>
      <c r="G10" s="19"/>
      <c r="H10" s="19" t="s">
        <v>170</v>
      </c>
      <c r="I10" s="19"/>
    </row>
    <row r="11" spans="1:9" x14ac:dyDescent="0.3">
      <c r="A11" s="19" t="s">
        <v>38</v>
      </c>
      <c r="B11" s="19" t="s">
        <v>267</v>
      </c>
      <c r="C11" s="19" t="s">
        <v>78</v>
      </c>
      <c r="D11" s="19" t="s">
        <v>268</v>
      </c>
      <c r="E11" s="19" t="s">
        <v>269</v>
      </c>
      <c r="F11" s="19" t="s">
        <v>281</v>
      </c>
      <c r="G11" s="19"/>
      <c r="H11" s="19" t="s">
        <v>170</v>
      </c>
      <c r="I11" s="19"/>
    </row>
    <row r="12" spans="1:9" x14ac:dyDescent="0.3">
      <c r="A12" s="19" t="s">
        <v>38</v>
      </c>
      <c r="B12" s="19" t="s">
        <v>267</v>
      </c>
      <c r="C12" s="19" t="s">
        <v>79</v>
      </c>
      <c r="D12" s="19" t="s">
        <v>268</v>
      </c>
      <c r="E12" s="19" t="s">
        <v>269</v>
      </c>
      <c r="F12" s="19" t="s">
        <v>282</v>
      </c>
      <c r="G12" s="19"/>
      <c r="H12" s="19" t="s">
        <v>170</v>
      </c>
      <c r="I12" s="19"/>
    </row>
    <row r="13" spans="1:9" x14ac:dyDescent="0.3">
      <c r="A13" s="19" t="s">
        <v>38</v>
      </c>
      <c r="B13" s="19" t="s">
        <v>267</v>
      </c>
      <c r="C13" s="19" t="s">
        <v>80</v>
      </c>
      <c r="D13" s="19" t="s">
        <v>268</v>
      </c>
      <c r="E13" s="19" t="s">
        <v>269</v>
      </c>
      <c r="F13" s="19" t="s">
        <v>283</v>
      </c>
      <c r="G13" s="19"/>
      <c r="H13" s="19" t="s">
        <v>170</v>
      </c>
      <c r="I13" s="19"/>
    </row>
    <row r="14" spans="1:9" x14ac:dyDescent="0.3">
      <c r="A14" s="19" t="s">
        <v>38</v>
      </c>
      <c r="B14" s="19" t="s">
        <v>267</v>
      </c>
      <c r="C14" s="19" t="s">
        <v>81</v>
      </c>
      <c r="D14" s="19" t="s">
        <v>268</v>
      </c>
      <c r="E14" s="19" t="s">
        <v>269</v>
      </c>
      <c r="F14" s="19" t="s">
        <v>284</v>
      </c>
      <c r="G14" s="19"/>
      <c r="H14" s="19" t="s">
        <v>170</v>
      </c>
      <c r="I14" s="19"/>
    </row>
    <row r="15" spans="1:9" x14ac:dyDescent="0.3">
      <c r="A15" s="19" t="s">
        <v>38</v>
      </c>
      <c r="B15" s="19" t="s">
        <v>267</v>
      </c>
      <c r="C15" s="19" t="s">
        <v>82</v>
      </c>
      <c r="D15" s="19" t="s">
        <v>268</v>
      </c>
      <c r="E15" s="19" t="s">
        <v>269</v>
      </c>
      <c r="F15" s="19" t="s">
        <v>285</v>
      </c>
      <c r="G15" s="19"/>
      <c r="H15" s="19" t="s">
        <v>170</v>
      </c>
      <c r="I15" s="19"/>
    </row>
    <row r="16" spans="1:9" x14ac:dyDescent="0.3">
      <c r="A16" s="19" t="s">
        <v>38</v>
      </c>
      <c r="B16" s="19" t="s">
        <v>267</v>
      </c>
      <c r="C16" s="19" t="s">
        <v>83</v>
      </c>
      <c r="D16" s="19" t="s">
        <v>268</v>
      </c>
      <c r="E16" s="19" t="s">
        <v>269</v>
      </c>
      <c r="F16" s="19" t="s">
        <v>286</v>
      </c>
      <c r="G16" s="19"/>
      <c r="H16" s="19" t="s">
        <v>170</v>
      </c>
      <c r="I16" s="19"/>
    </row>
    <row r="17" spans="1:9" x14ac:dyDescent="0.3">
      <c r="A17" s="19" t="s">
        <v>38</v>
      </c>
      <c r="B17" s="19" t="s">
        <v>267</v>
      </c>
      <c r="C17" s="19" t="s">
        <v>84</v>
      </c>
      <c r="D17" s="19" t="s">
        <v>268</v>
      </c>
      <c r="E17" s="19" t="s">
        <v>269</v>
      </c>
      <c r="F17" s="19" t="s">
        <v>287</v>
      </c>
      <c r="G17" s="19"/>
      <c r="H17" s="19" t="s">
        <v>170</v>
      </c>
      <c r="I17" s="19"/>
    </row>
    <row r="18" spans="1:9" x14ac:dyDescent="0.3">
      <c r="A18" s="19" t="s">
        <v>38</v>
      </c>
      <c r="B18" s="19" t="s">
        <v>267</v>
      </c>
      <c r="C18" s="19" t="s">
        <v>85</v>
      </c>
      <c r="D18" s="19" t="s">
        <v>268</v>
      </c>
      <c r="E18" s="19" t="s">
        <v>269</v>
      </c>
      <c r="F18" s="19" t="s">
        <v>288</v>
      </c>
      <c r="G18" s="19" t="s">
        <v>289</v>
      </c>
      <c r="H18" s="19" t="s">
        <v>170</v>
      </c>
      <c r="I18" s="19"/>
    </row>
    <row r="19" spans="1:9" ht="26.4" x14ac:dyDescent="0.3">
      <c r="A19" s="19" t="s">
        <v>38</v>
      </c>
      <c r="B19" s="19" t="s">
        <v>267</v>
      </c>
      <c r="C19" s="19" t="s">
        <v>86</v>
      </c>
      <c r="D19" s="19" t="s">
        <v>272</v>
      </c>
      <c r="E19" s="19" t="s">
        <v>269</v>
      </c>
      <c r="F19" s="19" t="s">
        <v>290</v>
      </c>
      <c r="G19" s="19"/>
      <c r="H19" s="19" t="s">
        <v>170</v>
      </c>
      <c r="I19" s="19"/>
    </row>
    <row r="20" spans="1:9" x14ac:dyDescent="0.3">
      <c r="A20" s="19" t="s">
        <v>38</v>
      </c>
      <c r="B20" s="19" t="s">
        <v>267</v>
      </c>
      <c r="C20" s="19" t="s">
        <v>14</v>
      </c>
      <c r="D20" s="19" t="s">
        <v>268</v>
      </c>
      <c r="E20" s="19" t="s">
        <v>269</v>
      </c>
      <c r="F20" s="19" t="s">
        <v>291</v>
      </c>
      <c r="G20" s="19"/>
      <c r="H20" s="19" t="s">
        <v>170</v>
      </c>
      <c r="I20" s="19"/>
    </row>
    <row r="21" spans="1:9" ht="26.4" x14ac:dyDescent="0.3">
      <c r="A21" s="19" t="s">
        <v>38</v>
      </c>
      <c r="B21" s="19" t="s">
        <v>267</v>
      </c>
      <c r="C21" s="19" t="s">
        <v>87</v>
      </c>
      <c r="D21" s="19" t="s">
        <v>272</v>
      </c>
      <c r="E21" s="19" t="s">
        <v>269</v>
      </c>
      <c r="F21" s="19" t="s">
        <v>292</v>
      </c>
      <c r="G21" s="19"/>
      <c r="H21" s="19" t="s">
        <v>135</v>
      </c>
      <c r="I21" s="19"/>
    </row>
    <row r="22" spans="1:9" x14ac:dyDescent="0.3">
      <c r="A22" s="19" t="s">
        <v>38</v>
      </c>
      <c r="B22" s="19" t="s">
        <v>267</v>
      </c>
      <c r="C22" s="19" t="s">
        <v>88</v>
      </c>
      <c r="D22" s="19" t="s">
        <v>268</v>
      </c>
      <c r="E22" s="19" t="s">
        <v>269</v>
      </c>
      <c r="F22" s="19" t="s">
        <v>293</v>
      </c>
      <c r="G22" s="19" t="s">
        <v>294</v>
      </c>
      <c r="H22" s="19" t="s">
        <v>170</v>
      </c>
      <c r="I22" s="19"/>
    </row>
    <row r="23" spans="1:9" ht="26.4" x14ac:dyDescent="0.3">
      <c r="A23" s="19" t="s">
        <v>38</v>
      </c>
      <c r="B23" s="19" t="s">
        <v>267</v>
      </c>
      <c r="C23" s="19" t="s">
        <v>89</v>
      </c>
      <c r="D23" s="19" t="s">
        <v>272</v>
      </c>
      <c r="E23" s="19" t="s">
        <v>269</v>
      </c>
      <c r="F23" s="19" t="s">
        <v>295</v>
      </c>
      <c r="G23" s="19"/>
      <c r="H23" s="19" t="s">
        <v>135</v>
      </c>
      <c r="I23" s="19"/>
    </row>
    <row r="24" spans="1:9" x14ac:dyDescent="0.3">
      <c r="A24" s="19" t="s">
        <v>38</v>
      </c>
      <c r="B24" s="19" t="s">
        <v>267</v>
      </c>
      <c r="C24" s="19" t="s">
        <v>90</v>
      </c>
      <c r="D24" s="19" t="s">
        <v>296</v>
      </c>
      <c r="E24" s="19" t="s">
        <v>297</v>
      </c>
      <c r="F24" s="19" t="s">
        <v>298</v>
      </c>
      <c r="G24" s="19"/>
      <c r="H24" s="19" t="s">
        <v>170</v>
      </c>
      <c r="I24" s="19"/>
    </row>
    <row r="25" spans="1:9" x14ac:dyDescent="0.3">
      <c r="A25" s="19" t="s">
        <v>38</v>
      </c>
      <c r="B25" s="19" t="s">
        <v>267</v>
      </c>
      <c r="C25" s="19" t="s">
        <v>91</v>
      </c>
      <c r="D25" s="19" t="s">
        <v>268</v>
      </c>
      <c r="E25" s="19" t="s">
        <v>297</v>
      </c>
      <c r="F25" s="19" t="s">
        <v>299</v>
      </c>
      <c r="G25" s="19"/>
      <c r="H25" s="19" t="s">
        <v>170</v>
      </c>
      <c r="I25" s="19"/>
    </row>
    <row r="26" spans="1:9" x14ac:dyDescent="0.3">
      <c r="A26" s="19" t="s">
        <v>40</v>
      </c>
      <c r="B26" s="19" t="s">
        <v>300</v>
      </c>
      <c r="C26" s="19" t="s">
        <v>69</v>
      </c>
      <c r="D26" s="19" t="s">
        <v>268</v>
      </c>
      <c r="E26" s="19" t="s">
        <v>269</v>
      </c>
      <c r="F26" s="19" t="s">
        <v>270</v>
      </c>
      <c r="G26" s="19"/>
      <c r="H26" s="19" t="s">
        <v>170</v>
      </c>
      <c r="I26" s="19" t="s">
        <v>301</v>
      </c>
    </row>
    <row r="27" spans="1:9" x14ac:dyDescent="0.3">
      <c r="A27" s="19" t="s">
        <v>40</v>
      </c>
      <c r="B27" s="19" t="s">
        <v>300</v>
      </c>
      <c r="C27" s="19" t="s">
        <v>152</v>
      </c>
      <c r="D27" s="19" t="s">
        <v>296</v>
      </c>
      <c r="E27" s="19" t="s">
        <v>269</v>
      </c>
      <c r="F27" s="19" t="s">
        <v>302</v>
      </c>
      <c r="G27" s="19"/>
      <c r="H27" s="19" t="s">
        <v>170</v>
      </c>
      <c r="I27" s="19"/>
    </row>
    <row r="28" spans="1:9" x14ac:dyDescent="0.3">
      <c r="A28" s="19" t="s">
        <v>40</v>
      </c>
      <c r="B28" s="19" t="s">
        <v>300</v>
      </c>
      <c r="C28" s="19" t="s">
        <v>153</v>
      </c>
      <c r="D28" s="19" t="s">
        <v>268</v>
      </c>
      <c r="E28" s="19" t="s">
        <v>297</v>
      </c>
      <c r="F28" s="19" t="s">
        <v>303</v>
      </c>
      <c r="G28" s="19"/>
      <c r="H28" s="19" t="s">
        <v>170</v>
      </c>
      <c r="I28" s="19" t="s">
        <v>271</v>
      </c>
    </row>
    <row r="29" spans="1:9" x14ac:dyDescent="0.3">
      <c r="A29" s="19" t="s">
        <v>40</v>
      </c>
      <c r="B29" s="19" t="s">
        <v>300</v>
      </c>
      <c r="C29" s="19" t="s">
        <v>154</v>
      </c>
      <c r="D29" s="19" t="s">
        <v>268</v>
      </c>
      <c r="E29" s="19" t="s">
        <v>269</v>
      </c>
      <c r="F29" s="19" t="s">
        <v>304</v>
      </c>
      <c r="G29" s="19"/>
      <c r="H29" s="19" t="s">
        <v>170</v>
      </c>
      <c r="I29" s="19"/>
    </row>
    <row r="30" spans="1:9" x14ac:dyDescent="0.3">
      <c r="A30" s="19" t="s">
        <v>40</v>
      </c>
      <c r="B30" s="19" t="s">
        <v>300</v>
      </c>
      <c r="C30" s="19" t="s">
        <v>155</v>
      </c>
      <c r="D30" s="19" t="s">
        <v>268</v>
      </c>
      <c r="E30" s="19" t="s">
        <v>269</v>
      </c>
      <c r="F30" s="19" t="s">
        <v>305</v>
      </c>
      <c r="G30" s="19"/>
      <c r="H30" s="19" t="s">
        <v>170</v>
      </c>
      <c r="I30" s="19"/>
    </row>
    <row r="31" spans="1:9" x14ac:dyDescent="0.3">
      <c r="A31" s="19" t="s">
        <v>40</v>
      </c>
      <c r="B31" s="19" t="s">
        <v>300</v>
      </c>
      <c r="C31" s="19" t="s">
        <v>156</v>
      </c>
      <c r="D31" s="19" t="s">
        <v>268</v>
      </c>
      <c r="E31" s="19" t="s">
        <v>269</v>
      </c>
      <c r="F31" s="19" t="s">
        <v>278</v>
      </c>
      <c r="G31" s="19"/>
      <c r="H31" s="19" t="s">
        <v>170</v>
      </c>
      <c r="I31" s="19"/>
    </row>
    <row r="32" spans="1:9" x14ac:dyDescent="0.3">
      <c r="A32" s="19" t="s">
        <v>40</v>
      </c>
      <c r="B32" s="19" t="s">
        <v>300</v>
      </c>
      <c r="C32" s="19" t="s">
        <v>157</v>
      </c>
      <c r="D32" s="19" t="s">
        <v>268</v>
      </c>
      <c r="E32" s="19" t="s">
        <v>269</v>
      </c>
      <c r="F32" s="19" t="s">
        <v>306</v>
      </c>
      <c r="G32" s="19"/>
      <c r="H32" s="19" t="s">
        <v>170</v>
      </c>
      <c r="I32" s="19"/>
    </row>
    <row r="33" spans="1:9" x14ac:dyDescent="0.3">
      <c r="A33" s="19" t="s">
        <v>42</v>
      </c>
      <c r="B33" s="19" t="s">
        <v>307</v>
      </c>
      <c r="C33" s="19" t="s">
        <v>184</v>
      </c>
      <c r="D33" s="19" t="s">
        <v>268</v>
      </c>
      <c r="E33" s="19" t="s">
        <v>269</v>
      </c>
      <c r="F33" s="19" t="s">
        <v>308</v>
      </c>
      <c r="G33" s="19"/>
      <c r="H33" s="19" t="s">
        <v>170</v>
      </c>
      <c r="I33" s="19" t="s">
        <v>271</v>
      </c>
    </row>
    <row r="34" spans="1:9" x14ac:dyDescent="0.3">
      <c r="A34" s="19" t="s">
        <v>42</v>
      </c>
      <c r="B34" s="19" t="s">
        <v>307</v>
      </c>
      <c r="C34" s="19" t="s">
        <v>185</v>
      </c>
      <c r="D34" s="19" t="s">
        <v>268</v>
      </c>
      <c r="E34" s="19" t="s">
        <v>269</v>
      </c>
      <c r="F34" s="19" t="s">
        <v>309</v>
      </c>
      <c r="G34" s="19"/>
      <c r="H34" s="19" t="s">
        <v>170</v>
      </c>
      <c r="I34" s="19"/>
    </row>
    <row r="35" spans="1:9" x14ac:dyDescent="0.3">
      <c r="A35" s="19" t="s">
        <v>42</v>
      </c>
      <c r="B35" s="19" t="s">
        <v>307</v>
      </c>
      <c r="C35" s="19" t="s">
        <v>186</v>
      </c>
      <c r="D35" s="19" t="s">
        <v>268</v>
      </c>
      <c r="E35" s="19" t="s">
        <v>269</v>
      </c>
      <c r="F35" s="19" t="s">
        <v>310</v>
      </c>
      <c r="G35" s="19"/>
      <c r="H35" s="19" t="s">
        <v>170</v>
      </c>
      <c r="I35" s="19"/>
    </row>
    <row r="36" spans="1:9" x14ac:dyDescent="0.3">
      <c r="A36" s="19" t="s">
        <v>42</v>
      </c>
      <c r="B36" s="19" t="s">
        <v>307</v>
      </c>
      <c r="C36" s="19" t="s">
        <v>187</v>
      </c>
      <c r="D36" s="19" t="s">
        <v>268</v>
      </c>
      <c r="E36" s="19" t="s">
        <v>269</v>
      </c>
      <c r="F36" s="19" t="s">
        <v>311</v>
      </c>
      <c r="G36" s="19"/>
      <c r="H36" s="19" t="s">
        <v>170</v>
      </c>
      <c r="I36" s="19"/>
    </row>
    <row r="37" spans="1:9" x14ac:dyDescent="0.3">
      <c r="A37" s="19" t="s">
        <v>42</v>
      </c>
      <c r="B37" s="19" t="s">
        <v>307</v>
      </c>
      <c r="C37" s="19" t="s">
        <v>188</v>
      </c>
      <c r="D37" s="19" t="s">
        <v>312</v>
      </c>
      <c r="E37" s="19" t="s">
        <v>269</v>
      </c>
      <c r="F37" s="19" t="s">
        <v>313</v>
      </c>
      <c r="G37" s="19"/>
      <c r="H37" s="19" t="s">
        <v>135</v>
      </c>
      <c r="I37" s="19"/>
    </row>
    <row r="38" spans="1:9" x14ac:dyDescent="0.3">
      <c r="A38" s="19" t="s">
        <v>42</v>
      </c>
      <c r="B38" s="19" t="s">
        <v>307</v>
      </c>
      <c r="C38" s="19" t="s">
        <v>189</v>
      </c>
      <c r="D38" s="19" t="s">
        <v>268</v>
      </c>
      <c r="E38" s="19" t="s">
        <v>269</v>
      </c>
      <c r="F38" s="19" t="s">
        <v>314</v>
      </c>
      <c r="G38" s="19"/>
      <c r="H38" s="19" t="s">
        <v>170</v>
      </c>
      <c r="I38" s="19"/>
    </row>
    <row r="39" spans="1:9" x14ac:dyDescent="0.3">
      <c r="A39" s="19" t="s">
        <v>42</v>
      </c>
      <c r="B39" s="19" t="s">
        <v>307</v>
      </c>
      <c r="C39" s="19" t="s">
        <v>190</v>
      </c>
      <c r="D39" s="19" t="s">
        <v>268</v>
      </c>
      <c r="E39" s="19" t="s">
        <v>269</v>
      </c>
      <c r="F39" s="19" t="s">
        <v>315</v>
      </c>
      <c r="G39" s="19"/>
      <c r="H39" s="19" t="s">
        <v>170</v>
      </c>
      <c r="I39" s="19"/>
    </row>
    <row r="40" spans="1:9" x14ac:dyDescent="0.3">
      <c r="A40" s="19" t="s">
        <v>42</v>
      </c>
      <c r="B40" s="19" t="s">
        <v>307</v>
      </c>
      <c r="C40" s="19" t="s">
        <v>191</v>
      </c>
      <c r="D40" s="19" t="s">
        <v>268</v>
      </c>
      <c r="E40" s="19" t="s">
        <v>269</v>
      </c>
      <c r="F40" s="19" t="s">
        <v>316</v>
      </c>
      <c r="G40" s="19"/>
      <c r="H40" s="19" t="s">
        <v>170</v>
      </c>
      <c r="I40" s="19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6</vt:i4>
      </vt:variant>
      <vt:variant>
        <vt:lpstr>Intervalos com Nome</vt:lpstr>
      </vt:variant>
      <vt:variant>
        <vt:i4>7</vt:i4>
      </vt:variant>
    </vt:vector>
  </HeadingPairs>
  <TitlesOfParts>
    <vt:vector size="13" baseType="lpstr">
      <vt:lpstr>00_LEIA-ME</vt:lpstr>
      <vt:lpstr>Nao_Conformidades</vt:lpstr>
      <vt:lpstr>Cinco_Porques</vt:lpstr>
      <vt:lpstr>Melhoria_Continua</vt:lpstr>
      <vt:lpstr>Listas</vt:lpstr>
      <vt:lpstr>Dicionario_Dados</vt:lpstr>
      <vt:lpstr>DataRef</vt:lpstr>
      <vt:lpstr>lst_DataReferencia</vt:lpstr>
      <vt:lpstr>lst_Eficacia</vt:lpstr>
      <vt:lpstr>lst_Funcao</vt:lpstr>
      <vt:lpstr>Cinco_Porques!Títulos_de_Impressão</vt:lpstr>
      <vt:lpstr>Melhoria_Continua!Títulos_de_Impressão</vt:lpstr>
      <vt:lpstr>Nao_Conformidades!Títulos_de_Impressão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RG-SGE-14 Não Conformidades, Ação Corretiva e Melhoria Contínua do SGE</dc:title>
  <dc:subject>SGE NP EN ISO 50001:2019 (ISO 50001:2018 + Amd 1:2024) — Plasticom</dc:subject>
  <dc:creator>Gestor(a) de Energia</dc:creator>
  <cp:lastModifiedBy>Aline Meireles</cp:lastModifiedBy>
  <dcterms:created xsi:type="dcterms:W3CDTF">2026-09-30T13:11:44Z</dcterms:created>
  <dcterms:modified xsi:type="dcterms:W3CDTF">2026-09-30T13:11:49Z</dcterms:modified>
</cp:coreProperties>
</file>