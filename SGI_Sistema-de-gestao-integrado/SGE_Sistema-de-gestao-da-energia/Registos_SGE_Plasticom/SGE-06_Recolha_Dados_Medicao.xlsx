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BE9A7BB8-268D-4F01-8ABF-0F19E94F378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Arvore_Contadores" sheetId="2" r:id="rId2"/>
    <sheet name="Plano_Recolha_Dados" sheetId="3" r:id="rId3"/>
    <sheet name="Plano_Monitorizacao" sheetId="4" r:id="rId4"/>
    <sheet name="Equipamentos_Medicao" sheetId="5" r:id="rId5"/>
    <sheet name="Reconciliacao_Mensal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EstadoCont">Listas!$C$3:$C$5</definedName>
    <definedName name="lst_Funcao">Listas!$B$3:$B$24</definedName>
    <definedName name="_xlnm.Print_Titles" localSheetId="1">Arvore_Contadores!$4:$4</definedName>
    <definedName name="_xlnm.Print_Titles" localSheetId="4">Equipamentos_Medicao!$4:$4</definedName>
    <definedName name="_xlnm.Print_Titles" localSheetId="3">Plano_Monitorizacao!$4:$4</definedName>
    <definedName name="_xlnm.Print_Titles" localSheetId="2">Plano_Recolha_Dados!$4:$4</definedName>
    <definedName name="_xlnm.Print_Titles" localSheetId="5">Reconciliacao_Mensal!$4:$4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6" l="1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C21" i="3"/>
  <c r="C20" i="3"/>
  <c r="C19" i="3"/>
  <c r="C18" i="3"/>
  <c r="C17" i="3"/>
  <c r="J18" i="2"/>
  <c r="L15" i="2"/>
  <c r="L14" i="2"/>
  <c r="L13" i="2"/>
  <c r="L12" i="2"/>
  <c r="L11" i="2"/>
  <c r="L10" i="2"/>
  <c r="L9" i="2"/>
  <c r="L8" i="2"/>
  <c r="L7" i="2"/>
  <c r="L6" i="2"/>
  <c r="J17" i="2" s="1"/>
  <c r="L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Ponto de medida.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Contador / analisador.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0 fronteira; 1 quadro/USE; 2 equipamento.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Contador a montante (árvore).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Usos medidos.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Classe de exatidão.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Data de instalação / prevista.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Fração da eletricidade de 2026 que o ponto mede.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Equipamento (tbl_equipamentos).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Em serviço à data de referência?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Dado.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Dado a recolher.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Alínea de 6.6 (a–e).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Característica-chave de 9.1.1 a) 1)–4).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Fonte / medidor.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Como é recolhido.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Com que frequência se recolhe.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Com que frequência se analisa.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Tempo de retenção (6.6).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Medido / estimado (EN 17267).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Onde fica retido.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Linha do plano de monitorização.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 que monitorizar (9.1.1 a).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Medir / calcular / avaliar.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Método (9.1.1 b).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Equipamentos.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Quando medir (9.1.1 c).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IDE.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Valor esperado / meta.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[Só SGE] Quando analisar e avaliar (9.1.1 d).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[Só SGE] Característica-chave (9.1.1 a 1–4).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[Só SGE] O que é um desvio significativo (9.1.1; M-9).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[Só SGE] Resposta ao desvio.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Linhas do plano que servem.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Calibração / verificação.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Última calibração/verificação.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Intervalo.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Quem calibra.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Certificado / registo.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Próxima.
[calculado]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Estado.
[calculado]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[Só SGE] Classe / exatidão (6.6).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[Só SGE] Incerteza declarada.</t>
        </r>
      </text>
    </comment>
    <comment ref="M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[Só SGE] Como se confirma a repetibilidade (6.6).</t>
        </r>
      </text>
    </comment>
    <comment ref="N4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[Só SGE] Registo dono do equipamento (fonte única).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kWh da fatura (RG-SGA-13).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Leitura interna do contador M00 (simulada).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Diferença relativa.
[calculado]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Critério: |diferença| ≤ 1%.
[calculado]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Quem leu.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Nota.</t>
        </r>
      </text>
    </comment>
  </commentList>
</comments>
</file>

<file path=xl/sharedStrings.xml><?xml version="1.0" encoding="utf-8"?>
<sst xmlns="http://schemas.openxmlformats.org/spreadsheetml/2006/main" count="1047" uniqueCount="529">
  <si>
    <t>RG-SGE-06 — Recolha de Dados Energéticos, Medição e Monitorização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</si>
  <si>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</si>
  <si>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</si>
  <si>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</si>
  <si>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RG-SGE-06</t>
  </si>
  <si>
    <t>Título</t>
  </si>
  <si>
    <t>Recolha de Dados Energéticos, Medição e Monitorização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</si>
  <si>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</si>
  <si>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</si>
  <si>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</si>
  <si>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</si>
  <si>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</si>
  <si>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</si>
  <si>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</si>
  <si>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</si>
  <si>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</si>
  <si>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</si>
  <si>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</si>
  <si>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</si>
  <si>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</si>
  <si>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</si>
  <si>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</si>
  <si>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Árvore de contadores com cobertura medida vs estimada; plano de recolha de dados 6.6 a–e; plano de monitorização 9.1.1 (mesma estrutura do RG-SGA-13) com critério de desvio significativo; equipamentos de medição com exatidão, repetibilidade e estado de calibração calculado; reconciliação mensal leitura interna × fatura.</t>
  </si>
  <si>
    <t>Utilização / atividades</t>
  </si>
  <si>
    <t>Identificar, medir, monitorizar e analisar as características-chave que afetam o desempenho energético; planear a recolha de dados (o quê, como, com que frequência, retenção); assegurar dados exatos e repetíveis; plano de monitorização e medição (9.1.1).</t>
  </si>
  <si>
    <t>Requisitos ISO 50001:2018</t>
  </si>
  <si>
    <t>6.6 (plano de recolha de dados; a) variáveis relevantes dos USE, b) consumo dos USE e da organização, c) características operacionais dos USE, d) fatores estáticos, e) dados dos planos de ação; plano revisto em intervalos definidos; equipamentos com dados exatos e repetíveis — reter); 9.1.1 a) 1)–4), b), c), d).</t>
  </si>
  <si>
    <t>NORMAS DE ORIENTAÇÃO E REFERÊNCIAS APLICADAS (orientação — não são requisitos auditáveis da ISO 50001)</t>
  </si>
  <si>
    <t>EN 17267:2019</t>
  </si>
  <si>
    <t>Plano de medição e monitorização: contexto, situação atual, priorização, implementação, uso e manutenção dos dados; árvore de contadores.</t>
  </si>
  <si>
    <t>ISO 50006:2023 §5.6</t>
  </si>
  <si>
    <t>Recolha de dados, qualidade e frequência coerentes com os IDE.</t>
  </si>
  <si>
    <t>ISO 50015:2014</t>
  </si>
  <si>
    <t>Exatidão, incerteza e plano de medição para M&amp;V.</t>
  </si>
  <si>
    <t>IEC 62053-22 / IEC 61557-12</t>
  </si>
  <si>
    <t>Classes de exatidão de contadores (0,5S) e analisadores (classe 1).</t>
  </si>
  <si>
    <t>M-9 Medição e indicadores (curso Bureau Veritas)</t>
  </si>
  <si>
    <t>Conteúdo do plano de medição: o quê, porquê, como, frequência, valores esperados, responsável, registo, desvio e ação.</t>
  </si>
  <si>
    <t>REQUISITOS LEGAIS E OUTROS REQUISITOS APLICADOS (4.2, 9.1.2 — lista completa no RG-SGE-11)</t>
  </si>
  <si>
    <t>Diretiva 2014/32/UE (MID — instrumentos de medição) e controlo metrológico legal do IPQ</t>
  </si>
  <si>
    <t>Contador de faturação sujeito a controlo metrológico legal; verificado pelo operador de rede (EQP-01).</t>
  </si>
  <si>
    <t>ESTRUTURA DO FICHEIRO</t>
  </si>
  <si>
    <t>Arvore_Contadores</t>
  </si>
  <si>
    <t>Árvore de contadores e cobertura da medição (EN 17267).</t>
  </si>
  <si>
    <t>Plano_Recolha_Dados</t>
  </si>
  <si>
    <t>Plano de recolha de dados energéticos (6.6 a–e) — revisto anualmente com a revisão energética.</t>
  </si>
  <si>
    <t>Plano_Monitorizacao</t>
  </si>
  <si>
    <t>Plano de monitorização, medição, análise e avaliação (9.1.1) — mesmas colunas iniciais do RG-SGA-13.</t>
  </si>
  <si>
    <t>Equipamentos_Medicao</t>
  </si>
  <si>
    <t>Equipamentos de medição de energia: exatidão, repetibilidade e confirmação (6.6 — reter).</t>
  </si>
  <si>
    <t>Reconciliacao_Mensal</t>
  </si>
  <si>
    <t>Reconciliação mensal leitura interna × fatura (repetibilidade e exatidão dos dados — 6.6).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</si>
  <si>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</si>
  <si>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</si>
  <si>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</si>
  <si>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</si>
  <si>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</si>
  <si>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</si>
  <si>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</si>
  <si>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</si>
  <si>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</si>
  <si>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</si>
  <si>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</si>
  <si>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</si>
  <si>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</si>
  <si>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</si>
  <si>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</si>
  <si>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</si>
  <si>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</si>
  <si>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</si>
  <si>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RG-SGA-13</t>
  </si>
  <si>
    <t>Dono dos equipamentos EQP-01 a EQP-05 (cópia aqui para o SGE) e dos consumos mensais.</t>
  </si>
  <si>
    <t>RG-SGE-05</t>
  </si>
  <si>
    <t>IDE alimentados (ID_KPI).</t>
  </si>
  <si>
    <t>RG-SGE-11</t>
  </si>
  <si>
    <t>Desvios significativos e dados de M&amp;V.</t>
  </si>
  <si>
    <t>RG-SGQ-09</t>
  </si>
  <si>
    <t>Gestão metrológica do SGI (mesma lógica de confirmação).</t>
  </si>
  <si>
    <t>ÁRVORE DE CONTADORES (EN 17267) — cobertura da medição</t>
  </si>
  <si>
    <t>Nível 0 = fronteira; nível 1 = quadros dos USE (em serviço desde 15/12/2026 — PA-E-01); nível 2 = equipamento / campanha</t>
  </si>
  <si>
    <t>ID_Contador</t>
  </si>
  <si>
    <t>Descricao</t>
  </si>
  <si>
    <t>Nivel</t>
  </si>
  <si>
    <t>Pai</t>
  </si>
  <si>
    <t>Usos</t>
  </si>
  <si>
    <t>Tipo</t>
  </si>
  <si>
    <t>Classe_Exatidao</t>
  </si>
  <si>
    <t>Data_Instalacao</t>
  </si>
  <si>
    <t>Fracao_Consumo</t>
  </si>
  <si>
    <t>ID_Equipamento</t>
  </si>
  <si>
    <t>Mede_Hoje</t>
  </si>
  <si>
    <t>M00</t>
  </si>
  <si>
    <t>Contador geral de MT do operador de rede (fatura)</t>
  </si>
  <si>
    <t>—</t>
  </si>
  <si>
    <t>Todos (eletricidade)</t>
  </si>
  <si>
    <t>Fixo — faturação</t>
  </si>
  <si>
    <t>0,5S (IEC 62053-22)</t>
  </si>
  <si>
    <t>Instalado</t>
  </si>
  <si>
    <t>EQP-01</t>
  </si>
  <si>
    <t>M01</t>
  </si>
  <si>
    <t>Analisador QGBT-SOP (naves de sopro)</t>
  </si>
  <si>
    <t>SOP</t>
  </si>
  <si>
    <t>Fixo — submedição</t>
  </si>
  <si>
    <t>0,5S</t>
  </si>
  <si>
    <t>EQP-03</t>
  </si>
  <si>
    <t>M02</t>
  </si>
  <si>
    <t>Analisador QGBT-INJ (nave de injeção)</t>
  </si>
  <si>
    <t>INJ</t>
  </si>
  <si>
    <t>M03</t>
  </si>
  <si>
    <t>Analisador QGBT-DEC (serigrafia + hot foil)</t>
  </si>
  <si>
    <t>SER; HFS</t>
  </si>
  <si>
    <t>M04</t>
  </si>
  <si>
    <t>Analisador Q-AR (compressores e secadores)</t>
  </si>
  <si>
    <t>UTL-AR</t>
  </si>
  <si>
    <t>M05</t>
  </si>
  <si>
    <t>Analisador Q-FRIO (chiller, torre, bombas)</t>
  </si>
  <si>
    <t>UTL-FRIO</t>
  </si>
  <si>
    <t>M06</t>
  </si>
  <si>
    <t>Analisador Q-SERV (iluminação, AVAC, escritórios)</t>
  </si>
  <si>
    <t>GER</t>
  </si>
  <si>
    <t>M07</t>
  </si>
  <si>
    <t>Caudalímetro de ar comprimido na saída dos compressores</t>
  </si>
  <si>
    <t>UTL-AR (Nm³)</t>
  </si>
  <si>
    <t>Fixo — variável</t>
  </si>
  <si>
    <t>±2% da leitura</t>
  </si>
  <si>
    <t>EQP-04</t>
  </si>
  <si>
    <t>M08</t>
  </si>
  <si>
    <t>Analisador portátil PA-01 (campanhas por máquina)</t>
  </si>
  <si>
    <t>M01; M02; M03; M04</t>
  </si>
  <si>
    <t>Máquinas individuais</t>
  </si>
  <si>
    <t>Portátil — campanha</t>
  </si>
  <si>
    <t>1 (IEC 61557-12)</t>
  </si>
  <si>
    <t>EQE-01</t>
  </si>
  <si>
    <t>M09</t>
  </si>
  <si>
    <t>Cartão de frota (litros por abastecimento)</t>
  </si>
  <si>
    <t>FRO</t>
  </si>
  <si>
    <t>Fatura</t>
  </si>
  <si>
    <t>Bomba certificada</t>
  </si>
  <si>
    <t>M10</t>
  </si>
  <si>
    <t>Contador da UPAC (produção fotovoltaica)</t>
  </si>
  <si>
    <t>Autoconsumo</t>
  </si>
  <si>
    <t>Fixo — produção</t>
  </si>
  <si>
    <t>Planeado</t>
  </si>
  <si>
    <t>KPI-E-01</t>
  </si>
  <si>
    <t>Eletricidade medida por submedição fixa em serviço (nível 1) ÷ total</t>
  </si>
  <si>
    <t>Cobertura quando os analisadores M01–M06 estiverem em serviço</t>
  </si>
  <si>
    <t>PLANO DE RECOLHA DE DADOS ENERGÉTICOS (6.6)</t>
  </si>
  <si>
    <t>Revisto em intervalos definidos (anual) e quando mudam os USE ou os contadores · Categorias a) a e) de 6.6 todas cobertas</t>
  </si>
  <si>
    <t>ID_Dado</t>
  </si>
  <si>
    <t>Dado</t>
  </si>
  <si>
    <t>Categoria_6_6</t>
  </si>
  <si>
    <t>Caracteristica_9_1_1</t>
  </si>
  <si>
    <t>Fonte_Medidor</t>
  </si>
  <si>
    <t>Metodo</t>
  </si>
  <si>
    <t>Frequencia_Recolha</t>
  </si>
  <si>
    <t>Frequencia_Analise</t>
  </si>
  <si>
    <t>Retencao</t>
  </si>
  <si>
    <t>Responsavel</t>
  </si>
  <si>
    <t>Qualidade_Dados</t>
  </si>
  <si>
    <t>Registo</t>
  </si>
  <si>
    <t>DAD-01</t>
  </si>
  <si>
    <t>Eletricidade total (kWh, kW, kvarh) e potência tomada</t>
  </si>
  <si>
    <t>b) consumo da organização</t>
  </si>
  <si>
    <t>4) consumo real vs esperado</t>
  </si>
  <si>
    <t>M00 (fatura) + leitura interna mensal</t>
  </si>
  <si>
    <t>Leitura do contador no último dia útil; download da fatura</t>
  </si>
  <si>
    <t>Mensal (diária a partir de 12/2026)</t>
  </si>
  <si>
    <t>Mensal</t>
  </si>
  <si>
    <t>10 anos</t>
  </si>
  <si>
    <t>Gestor(a) de Energia (líder da equipa de gestão de energia)</t>
  </si>
  <si>
    <t>Medido</t>
  </si>
  <si>
    <t>RG-SGA-13; RG-SGE-09 tbl_faturas</t>
  </si>
  <si>
    <t>DAD-02</t>
  </si>
  <si>
    <t>Unidades produzidas por máquina (INJ, SOP)</t>
  </si>
  <si>
    <t>a) variáveis relevantes dos USE</t>
  </si>
  <si>
    <t>2) IDE</t>
  </si>
  <si>
    <t>MES (dataset de produção)</t>
  </si>
  <si>
    <t>Contagem automática por ordem</t>
  </si>
  <si>
    <t>Por ordem</t>
  </si>
  <si>
    <t>Gerente de Produção</t>
  </si>
  <si>
    <t>RG-SGE-05 tbl_base_energia</t>
  </si>
  <si>
    <t>DAD-03</t>
  </si>
  <si>
    <t>Eletricidade por USE (SOP, INJ, decoração)</t>
  </si>
  <si>
    <t>b) consumo dos USE</t>
  </si>
  <si>
    <t>3) operação dos USE</t>
  </si>
  <si>
    <t>Rateio RG-SGA-13 até 15/12/2026; depois M01–M03</t>
  </si>
  <si>
    <t>Rateio horas × kW → analisadores (15 min)</t>
  </si>
  <si>
    <t>Mensal → 15 min</t>
  </si>
  <si>
    <t>Mensal / semanal</t>
  </si>
  <si>
    <t>Estimado (até 12/2026)</t>
  </si>
  <si>
    <t>RG-SGE-04 tbl_consumo_uso</t>
  </si>
  <si>
    <t>DAD-04</t>
  </si>
  <si>
    <t>Eletricidade do arrefecimento e temperatura da água gelada</t>
  </si>
  <si>
    <t>b) consumo dos USE; c) características operacionais</t>
  </si>
  <si>
    <t>Rateio → M05 (desde 15/12/2026); sonda do chiller</t>
  </si>
  <si>
    <t>Leitura do controlador do chiller</t>
  </si>
  <si>
    <t>Diária</t>
  </si>
  <si>
    <t>5 anos</t>
  </si>
  <si>
    <t>Técnico de Utilidades</t>
  </si>
  <si>
    <t>RG-SGE-08 tbl_rondas_energia</t>
  </si>
  <si>
    <t>DAD-05</t>
  </si>
  <si>
    <t>Ar comprimido: kWh, Nm³, pressão, fugas (teste de vazio)</t>
  </si>
  <si>
    <t>b) c) consumo e características operacionais do USE</t>
  </si>
  <si>
    <t>2) IDE-08; 3) operação</t>
  </si>
  <si>
    <t>M04 + M07 + teste de vazio</t>
  </si>
  <si>
    <t>Registo contínuo; teste de vazio ao domingo</t>
  </si>
  <si>
    <t>Contínua / mensal</t>
  </si>
  <si>
    <t>Medido (Nm³); estimado (kWh até 12/2026)</t>
  </si>
  <si>
    <t>RG-SGE-11 tbl_ar_mv</t>
  </si>
  <si>
    <t>DAD-06</t>
  </si>
  <si>
    <t>Temperatura exterior (graus-dia base 15 °C)</t>
  </si>
  <si>
    <t>a) variáveis relevantes</t>
  </si>
  <si>
    <t>2) IDE (normalização)</t>
  </si>
  <si>
    <t>IPMA — estação de Leiria</t>
  </si>
  <si>
    <t>Download mensal</t>
  </si>
  <si>
    <t>Medido (externo)</t>
  </si>
  <si>
    <t>DAD-07</t>
  </si>
  <si>
    <t>Gasóleo da frota e do gerador (L)</t>
  </si>
  <si>
    <t>4) consumo</t>
  </si>
  <si>
    <t>Cartão de frota; registo de testes do GE-01</t>
  </si>
  <si>
    <t>Faturas; registo manual</t>
  </si>
  <si>
    <t>Anual</t>
  </si>
  <si>
    <t>Diretor Financeiro</t>
  </si>
  <si>
    <t>Medido / estimado</t>
  </si>
  <si>
    <t>RG-SGA-19</t>
  </si>
  <si>
    <t>DAD-08</t>
  </si>
  <si>
    <t>Garantias de origem e produção da UPAC</t>
  </si>
  <si>
    <t>2) IDE-10</t>
  </si>
  <si>
    <t>Rótulo do comercializador; M10</t>
  </si>
  <si>
    <t>Documento anual; contador</t>
  </si>
  <si>
    <t>Anual → 15 min (2027)</t>
  </si>
  <si>
    <t>RG-SGE-09</t>
  </si>
  <si>
    <t>DAD-09</t>
  </si>
  <si>
    <t>Fatores estáticos (n.º de máquinas, turnos, mix)</t>
  </si>
  <si>
    <t>d) fatores estáticos</t>
  </si>
  <si>
    <t>2) IDE (validade da LBE)</t>
  </si>
  <si>
    <t>Planeamento; RG-SGA-18</t>
  </si>
  <si>
    <t>Revisão trimestral</t>
  </si>
  <si>
    <t>Trimestral</t>
  </si>
  <si>
    <t>RG-SGE-05 tbl_fatores_estaticos</t>
  </si>
  <si>
    <t>DAD-10</t>
  </si>
  <si>
    <t>Dados dos planos de ação (kW antes/depois, horas, custos)</t>
  </si>
  <si>
    <t>e) dados especificados nos planos de ação</t>
  </si>
  <si>
    <t>1) eficácia dos planos</t>
  </si>
  <si>
    <t>PA-01; analisadores; faturas de compra</t>
  </si>
  <si>
    <t>Plano de M&amp;V de cada ação</t>
  </si>
  <si>
    <t>Por ação</t>
  </si>
  <si>
    <t>Vida da medida + 5 anos</t>
  </si>
  <si>
    <t>RG-SGE-11 tbl_mv_planos</t>
  </si>
  <si>
    <t>DAD-11</t>
  </si>
  <si>
    <t>Horas de marcha e paragens por máquina</t>
  </si>
  <si>
    <t>c) características operacionais dos USE</t>
  </si>
  <si>
    <t>MES (dataset)</t>
  </si>
  <si>
    <t>Automático</t>
  </si>
  <si>
    <t>RG-SGE-04 tbl_energia_maquina</t>
  </si>
  <si>
    <t>Categoria 6.6 a) coberta?</t>
  </si>
  <si>
    <t>Categoria 6.6 b) coberta?</t>
  </si>
  <si>
    <t>Categoria 6.6 c) coberta?</t>
  </si>
  <si>
    <t>Categoria 6.6 d) coberta?</t>
  </si>
  <si>
    <t>Categoria 6.6 e) coberta?</t>
  </si>
  <si>
    <t>PLANO DE MONITORIZAÇÃO E MEDIÇÃO DO SGE (9.1.1)</t>
  </si>
  <si>
    <t>As 4 características-chave mínimas de 9.1.1 a) estão cobertas (eficácia dos planos, IDE, operação dos USE, real vs esperado)</t>
  </si>
  <si>
    <t>ID_MED</t>
  </si>
  <si>
    <t>O_Que_Medir</t>
  </si>
  <si>
    <t>Unidade</t>
  </si>
  <si>
    <t>Como_Medir</t>
  </si>
  <si>
    <t>Equipamentos</t>
  </si>
  <si>
    <t>Quando_Medir</t>
  </si>
  <si>
    <t>Quem_Mede</t>
  </si>
  <si>
    <t>ID_KPI</t>
  </si>
  <si>
    <t>Criterio_Meta</t>
  </si>
  <si>
    <t>Quando_Analisar</t>
  </si>
  <si>
    <t>Desvio_Significativo</t>
  </si>
  <si>
    <t>Acao_Desvio</t>
  </si>
  <si>
    <t>MEDE-01</t>
  </si>
  <si>
    <t>Desempenho energético da instalação (IDE-01)</t>
  </si>
  <si>
    <t>% vs LBE-01</t>
  </si>
  <si>
    <t>Calcular</t>
  </si>
  <si>
    <t>Modelo da LBE-01 com unidades e graus-dia</t>
  </si>
  <si>
    <t>M00; MES; IPMA</t>
  </si>
  <si>
    <t>IDE-01</t>
  </si>
  <si>
    <t>Melhoria ≥ 2% (2026) e ≥ 5% (2027)</t>
  </si>
  <si>
    <t>Mensal (reunião da EGE)</t>
  </si>
  <si>
    <t>2) IDE; 4) real vs esperado</t>
  </si>
  <si>
    <t>|real − esperado| &gt; t × erro-padrão (≈ 35 000 kWh/mês)</t>
  </si>
  <si>
    <t>Investigar em ≤ 30 dias (RG-SGE-11 tbl_desvios)</t>
  </si>
  <si>
    <t>MEDE-02</t>
  </si>
  <si>
    <t>Consumo específico da instalação (IDE-02)</t>
  </si>
  <si>
    <t>kWh/1.000 un</t>
  </si>
  <si>
    <t>kWh ÷ unidades</t>
  </si>
  <si>
    <t>M00; MES</t>
  </si>
  <si>
    <t>Gerente de Manutenção</t>
  </si>
  <si>
    <t>IDE-02</t>
  </si>
  <si>
    <t>≤ 101 até 12/2027</t>
  </si>
  <si>
    <t>&gt; LBE + 5% em 2 meses seguidos</t>
  </si>
  <si>
    <t>Analisar causas no quadro SQDC</t>
  </si>
  <si>
    <t>MEDE-03</t>
  </si>
  <si>
    <t>Operação do sopro (kW por máquina, standby)</t>
  </si>
  <si>
    <t>kW; h</t>
  </si>
  <si>
    <t>Medir</t>
  </si>
  <si>
    <t>Campanha PA-01 → M01</t>
  </si>
  <si>
    <t>EQE-01; EQP-03</t>
  </si>
  <si>
    <t>Semestral (campanha) → contínua</t>
  </si>
  <si>
    <t>IDE-03</t>
  </si>
  <si>
    <t>Espera ≤ 30% da potência de marcha nas elétricas</t>
  </si>
  <si>
    <t>Máquina &gt; média do processo + 15%</t>
  </si>
  <si>
    <t>Verificar parâmetros e manutenção</t>
  </si>
  <si>
    <t>MEDE-04</t>
  </si>
  <si>
    <t>Operação da injeção (kW por máquina, standby)</t>
  </si>
  <si>
    <t>Campanha PA-01 → M02</t>
  </si>
  <si>
    <t>Semestral → contínua</t>
  </si>
  <si>
    <t>IDE-04</t>
  </si>
  <si>
    <t>Standby aplicado em 100% das pausas &gt; 30 min</t>
  </si>
  <si>
    <t>Standby não aplicado em ronda</t>
  </si>
  <si>
    <t>Corrigir no turno; formação</t>
  </si>
  <si>
    <t>MEDE-05</t>
  </si>
  <si>
    <t>Ar comprimido: potência específica e fugas</t>
  </si>
  <si>
    <t>kWh/Nm³; %</t>
  </si>
  <si>
    <t>M04 + M07; teste de vazio ao domingo; ultrassom</t>
  </si>
  <si>
    <t>EQP-04; EQP-05; EQE-01</t>
  </si>
  <si>
    <t>IDE-08</t>
  </si>
  <si>
    <t>≤ 0,105 kWh/Nm³; fugas ≤ 10%</t>
  </si>
  <si>
    <t>2) IDE; 3) operação</t>
  </si>
  <si>
    <t>Fugas &gt; 15% ou pressão &gt; 7,2 bar</t>
  </si>
  <si>
    <t>Campanha de fugas em ≤ 5 dias</t>
  </si>
  <si>
    <t>MEDE-06</t>
  </si>
  <si>
    <t>Frio: rácio e setpoint</t>
  </si>
  <si>
    <t>fração; °C</t>
  </si>
  <si>
    <t>Rateio → M05; controlador do chiller</t>
  </si>
  <si>
    <t>Diária (setpoint) / mensal</t>
  </si>
  <si>
    <t>IDE-06</t>
  </si>
  <si>
    <t>≤ 0,095; setpoint ≥ 10 °C</t>
  </si>
  <si>
    <t>Setpoint &lt; 9 °C sem justificação</t>
  </si>
  <si>
    <t>Repor e registar</t>
  </si>
  <si>
    <t>MEDE-07</t>
  </si>
  <si>
    <t>Eficácia dos planos de ação</t>
  </si>
  <si>
    <t>MWh poupados</t>
  </si>
  <si>
    <t>Plano de M&amp;V por ação (IPMVP)</t>
  </si>
  <si>
    <t>Conforme o plano</t>
  </si>
  <si>
    <t>KPI-E-03</t>
  </si>
  <si>
    <t>Poupança verificada ≥ 80% da prevista</t>
  </si>
  <si>
    <t>1) eficácia dos planos de ação</t>
  </si>
  <si>
    <t>Poupança verificada &lt; 50% da prevista</t>
  </si>
  <si>
    <t>Rever a ação (10.1)</t>
  </si>
  <si>
    <t>MEDE-08</t>
  </si>
  <si>
    <t>Potência tomada vs contratada</t>
  </si>
  <si>
    <t>kW</t>
  </si>
  <si>
    <t>Fatura / analisador geral</t>
  </si>
  <si>
    <t>Mensal (15 min a partir de 12/2026)</t>
  </si>
  <si>
    <t>≤ 90% da contratada</t>
  </si>
  <si>
    <t>3) operação</t>
  </si>
  <si>
    <t>&gt; 95% da contratada</t>
  </si>
  <si>
    <t>Deslastre; rever o contrato</t>
  </si>
  <si>
    <t>MEDE-09</t>
  </si>
  <si>
    <t>Conformidade legal (SGCIE)</t>
  </si>
  <si>
    <t>Avaliar</t>
  </si>
  <si>
    <t>Checklist legal</t>
  </si>
  <si>
    <t>Semestral</t>
  </si>
  <si>
    <t>100% conforme</t>
  </si>
  <si>
    <t>— (9.1.2)</t>
  </si>
  <si>
    <t>Obrigação vencida</t>
  </si>
  <si>
    <t>Tratar como NC (RG-SGE-14)</t>
  </si>
  <si>
    <t>EQUIPAMENTOS DE MEDIÇÃO DE ENERGIA (6.6)</t>
  </si>
  <si>
    <t>EQP-xx = registados no RG-SGA-13 (dono) · EQE-xx = novos do SGE</t>
  </si>
  <si>
    <t>Equipamento</t>
  </si>
  <si>
    <t>IDs_MED</t>
  </si>
  <si>
    <t>Tipo_Controlo</t>
  </si>
  <si>
    <t>Ultima_Calibracao</t>
  </si>
  <si>
    <t>Periodicidade_Meses</t>
  </si>
  <si>
    <t>Entidade</t>
  </si>
  <si>
    <t>Evidencia</t>
  </si>
  <si>
    <t>Proxima_Calibracao</t>
  </si>
  <si>
    <t>Incerteza</t>
  </si>
  <si>
    <t>Verificacao_Repetibilidade</t>
  </si>
  <si>
    <t>Registo_Dono</t>
  </si>
  <si>
    <t>Contador geral de eletricidade (operador de rede)</t>
  </si>
  <si>
    <t>MEDE-01; MEDE-02; MEDE-08</t>
  </si>
  <si>
    <t>Verificação metrológica pelo operador de rede</t>
  </si>
  <si>
    <t>Operador de rede</t>
  </si>
  <si>
    <t>Selo e verificação periódica</t>
  </si>
  <si>
    <t>±0,5%</t>
  </si>
  <si>
    <t>Comparação mensal leitura interna × fatura (tbl_reconciliacao)</t>
  </si>
  <si>
    <t>Analisadores de energia (6 un.) — M01 a M06</t>
  </si>
  <si>
    <t>MEDE-03 a MEDE-06</t>
  </si>
  <si>
    <t>Verificação inicial na instalação + comparação com EQE-01</t>
  </si>
  <si>
    <t>Instalador certificado</t>
  </si>
  <si>
    <t>Relatório de comissionamento RC-2026-12 (Σ M01–M06 = M00 −0,6%)</t>
  </si>
  <si>
    <t>Σ M01–M06 vs M00 (±2%)</t>
  </si>
  <si>
    <t>Medidor de caudal de ar comprimido</t>
  </si>
  <si>
    <t>Calibração</t>
  </si>
  <si>
    <t>Laboratório acreditado</t>
  </si>
  <si>
    <t>Certificado CAL-2025-331</t>
  </si>
  <si>
    <t>±2%</t>
  </si>
  <si>
    <t>Teste de vazio repetido (2 domingos)</t>
  </si>
  <si>
    <t>EQP-05</t>
  </si>
  <si>
    <t>Detetor ultrassónico de fugas</t>
  </si>
  <si>
    <t>Verificação funcional</t>
  </si>
  <si>
    <t>Fornecedor</t>
  </si>
  <si>
    <t>Relatório de verificação</t>
  </si>
  <si>
    <t>Qualitativo</t>
  </si>
  <si>
    <t>Fuga-padrão de referência</t>
  </si>
  <si>
    <t>Analisador portátil PA-01 com pinças flexíveis (3 × 3 000 A)</t>
  </si>
  <si>
    <t>MEDE-03; MEDE-04; MEDE-05; MEDE-07</t>
  </si>
  <si>
    <t>Laboratório acreditado (IPAC)</t>
  </si>
  <si>
    <t>Certificado CAL-2026-118</t>
  </si>
  <si>
    <t>±1% + erro das pinças ±1%</t>
  </si>
  <si>
    <t>Medição repetida em 2 máquinas iguais (IM-005/006)</t>
  </si>
  <si>
    <t>EQE-02</t>
  </si>
  <si>
    <t>Sonda de temperatura da água gelada (chiller)</t>
  </si>
  <si>
    <t>Verificação com termómetro de referência</t>
  </si>
  <si>
    <t>Interna (termómetro calibrado)</t>
  </si>
  <si>
    <t>Registo VT-2026-03</t>
  </si>
  <si>
    <t>±0,5 °C</t>
  </si>
  <si>
    <t>Duas leituras com 1 h</t>
  </si>
  <si>
    <t>RECONCILIAÇÃO MENSAL — LEITURA INTERNA × FATURA (6.6)</t>
  </si>
  <si>
    <t>Leituras internas simuladas · Desde 15/12/2026 também Σ analisadores M01–M06 × M00 (±2%): −0,6% no comissionamento</t>
  </si>
  <si>
    <t>Mes</t>
  </si>
  <si>
    <t>kWh_Fatura</t>
  </si>
  <si>
    <t>kWh_Leitura_Interna</t>
  </si>
  <si>
    <t>Diferenca_Pct</t>
  </si>
  <si>
    <t>Resultado</t>
  </si>
  <si>
    <t>Leitor</t>
  </si>
  <si>
    <t>Observacao</t>
  </si>
  <si>
    <t>Erro de transcrição (dígito trocado) corrigido em 03/12/2025</t>
  </si>
  <si>
    <t>LISTAS CONTROLADAS (domínios de validação de dados) — editar aqui para alterar opções</t>
  </si>
  <si>
    <t>DataReferencia</t>
  </si>
  <si>
    <t>Funcao</t>
  </si>
  <si>
    <t>EstadoCont</t>
  </si>
  <si>
    <t>Diretor Geral (Gestão de Topo)</t>
  </si>
  <si>
    <t>Diretor Industrial</t>
  </si>
  <si>
    <t>Em instalação</t>
  </si>
  <si>
    <t>Gestor do SGA / EHS (Responsável Ambiental)</t>
  </si>
  <si>
    <t>Gerente da Qualidade</t>
  </si>
  <si>
    <t>Responsável de Compras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</si>
  <si>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</si>
  <si>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</si>
  <si>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</si>
  <si>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</si>
  <si>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</si>
  <si>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</si>
  <si>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</si>
  <si>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</si>
  <si>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</si>
  <si>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</si>
  <si>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</si>
  <si>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</si>
  <si>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</si>
  <si>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</si>
  <si>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</si>
  <si>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Origem</t>
  </si>
  <si>
    <t>Dominio_Unidade</t>
  </si>
  <si>
    <t>Obrigatorio</t>
  </si>
  <si>
    <t>Chave</t>
  </si>
  <si>
    <t>tbl_contadores</t>
  </si>
  <si>
    <t>Texto</t>
  </si>
  <si>
    <t>Entrada</t>
  </si>
  <si>
    <t>Ponto de medida.</t>
  </si>
  <si>
    <t>Sim</t>
  </si>
  <si>
    <t>PK</t>
  </si>
  <si>
    <t>Contador / analisador.</t>
  </si>
  <si>
    <t>Inteiro</t>
  </si>
  <si>
    <t>0 fronteira; 1 quadro/USE; 2 equipamento.</t>
  </si>
  <si>
    <t>Contador a montante (árvore).</t>
  </si>
  <si>
    <t>Usos medidos.</t>
  </si>
  <si>
    <t>Tipo.</t>
  </si>
  <si>
    <t>Classe de exatidão.</t>
  </si>
  <si>
    <t>Estado.</t>
  </si>
  <si>
    <t>Lista lst_EstadoCont</t>
  </si>
  <si>
    <t>Data (aaaa-mm-dd)</t>
  </si>
  <si>
    <t>Data de instalação / prevista.</t>
  </si>
  <si>
    <t>Percentagem (fração 0-1)</t>
  </si>
  <si>
    <t>Fração da eletricidade de 2026 que o ponto mede.</t>
  </si>
  <si>
    <t>Não</t>
  </si>
  <si>
    <t>Equipamento (tbl_equipamentos).</t>
  </si>
  <si>
    <t>FK → tbl_equipamentos</t>
  </si>
  <si>
    <t>Calculado (fórmula)</t>
  </si>
  <si>
    <t>Em serviço à data de referência?</t>
  </si>
  <si>
    <t>tbl_plano_recolha</t>
  </si>
  <si>
    <t>Dado.</t>
  </si>
  <si>
    <t>Dado a recolher.</t>
  </si>
  <si>
    <t>Alínea de 6.6 (a–e).</t>
  </si>
  <si>
    <t>Característica-chave de 9.1.1 a) 1)–4).</t>
  </si>
  <si>
    <t>Fonte / medidor.</t>
  </si>
  <si>
    <t>Como é recolhido.</t>
  </si>
  <si>
    <t>Com que frequência se recolhe.</t>
  </si>
  <si>
    <t>Com que frequência se analisa.</t>
  </si>
  <si>
    <t>Tempo de retenção (6.6).</t>
  </si>
  <si>
    <t>Responsável.</t>
  </si>
  <si>
    <t>Lista lst_Funcao</t>
  </si>
  <si>
    <t>Medido / estimado (EN 17267).</t>
  </si>
  <si>
    <t>Onde fica retido.</t>
  </si>
  <si>
    <t>tbl_plano_monitorizacao</t>
  </si>
  <si>
    <t>Linha do plano de monitorização.</t>
  </si>
  <si>
    <t>O que monitorizar (9.1.1 a).</t>
  </si>
  <si>
    <t>Unidade.</t>
  </si>
  <si>
    <t>Medir / calcular / avaliar.</t>
  </si>
  <si>
    <t>Método (9.1.1 b).</t>
  </si>
  <si>
    <t>Equipamentos.</t>
  </si>
  <si>
    <t>Quando medir (9.1.1 c).</t>
  </si>
  <si>
    <t>IDE.</t>
  </si>
  <si>
    <t>FK → RG-SGE-05 tbl_kpi</t>
  </si>
  <si>
    <t>Valor esperado / meta.</t>
  </si>
  <si>
    <t>[Só SGE] Quando analisar e avaliar (9.1.1 d).</t>
  </si>
  <si>
    <t>[Só SGE] Característica-chave (9.1.1 a 1–4).</t>
  </si>
  <si>
    <t>[Só SGE] O que é um desvio significativo (9.1.1; M-9).</t>
  </si>
  <si>
    <t>[Só SGE] Resposta ao desvio.</t>
  </si>
  <si>
    <t>tbl_equipamentos</t>
  </si>
  <si>
    <t>Equipamento.</t>
  </si>
  <si>
    <t>Descrição.</t>
  </si>
  <si>
    <t>Linhas do plano que servem.</t>
  </si>
  <si>
    <t>Calibração / verificação.</t>
  </si>
  <si>
    <t>Última calibração/verificação.</t>
  </si>
  <si>
    <t>Intervalo.</t>
  </si>
  <si>
    <t>Quem calibra.</t>
  </si>
  <si>
    <t>Certificado / registo.</t>
  </si>
  <si>
    <t>Próxima.</t>
  </si>
  <si>
    <t>[Só SGE] Classe / exatidão (6.6).</t>
  </si>
  <si>
    <t>[Só SGE] Incerteza declarada.</t>
  </si>
  <si>
    <t>[Só SGE] Como se confirma a repetibilidade (6.6).</t>
  </si>
  <si>
    <t>[Só SGE] Registo dono do equipamento (fonte única).</t>
  </si>
  <si>
    <t>tbl_reconciliacao</t>
  </si>
  <si>
    <t>Mês.</t>
  </si>
  <si>
    <t>kwh</t>
  </si>
  <si>
    <t>kWh da fatura (RG-SGA-13).</t>
  </si>
  <si>
    <t>Leitura interna do contador M00 (simulada).</t>
  </si>
  <si>
    <t>Diferença relativa.</t>
  </si>
  <si>
    <t>Critério: |diferença| ≤ 1%.</t>
  </si>
  <si>
    <t>Quem leu.</t>
  </si>
  <si>
    <t>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</si>
</sst>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1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ntadores" displayName="tbl_contadores" ref="A4:L15">
  <autoFilter ref="A4:L15" xr:uid="{00000000-0009-0000-0100-000001000000}"/>
  <tableColumns count="12">
    <tableColumn id="1" xr3:uid="{00000000-0010-0000-0000-000001000000}" name="ID_Contador"/>
    <tableColumn id="2" xr3:uid="{00000000-0010-0000-0000-000002000000}" name="Descricao"/>
    <tableColumn id="3" xr3:uid="{00000000-0010-0000-0000-000003000000}" name="Nivel"/>
    <tableColumn id="4" xr3:uid="{00000000-0010-0000-0000-000004000000}" name="Pai"/>
    <tableColumn id="5" xr3:uid="{00000000-0010-0000-0000-000005000000}" name="Usos"/>
    <tableColumn id="6" xr3:uid="{00000000-0010-0000-0000-000006000000}" name="Tipo"/>
    <tableColumn id="7" xr3:uid="{00000000-0010-0000-0000-000007000000}" name="Classe_Exatidao"/>
    <tableColumn id="8" xr3:uid="{00000000-0010-0000-0000-000008000000}" name="Estado"/>
    <tableColumn id="9" xr3:uid="{00000000-0010-0000-0000-000009000000}" name="Data_Instalacao"/>
    <tableColumn id="10" xr3:uid="{00000000-0010-0000-0000-00000A000000}" name="Fracao_Consumo"/>
    <tableColumn id="11" xr3:uid="{00000000-0010-0000-0000-00000B000000}" name="ID_Equipamento"/>
    <tableColumn id="12" xr3:uid="{00000000-0010-0000-0000-00000C000000}" name="Mede_Hoj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lano_recolha" displayName="tbl_plano_recolha" ref="A4:L15">
  <autoFilter ref="A4:L15" xr:uid="{00000000-0009-0000-0100-000002000000}"/>
  <tableColumns count="12">
    <tableColumn id="1" xr3:uid="{00000000-0010-0000-0100-000001000000}" name="ID_Dado"/>
    <tableColumn id="2" xr3:uid="{00000000-0010-0000-0100-000002000000}" name="Dado"/>
    <tableColumn id="3" xr3:uid="{00000000-0010-0000-0100-000003000000}" name="Categoria_6_6"/>
    <tableColumn id="4" xr3:uid="{00000000-0010-0000-0100-000004000000}" name="Caracteristica_9_1_1"/>
    <tableColumn id="5" xr3:uid="{00000000-0010-0000-0100-000005000000}" name="Fonte_Medidor"/>
    <tableColumn id="6" xr3:uid="{00000000-0010-0000-0100-000006000000}" name="Metodo"/>
    <tableColumn id="7" xr3:uid="{00000000-0010-0000-0100-000007000000}" name="Frequencia_Recolha"/>
    <tableColumn id="8" xr3:uid="{00000000-0010-0000-0100-000008000000}" name="Frequencia_Analise"/>
    <tableColumn id="9" xr3:uid="{00000000-0010-0000-0100-000009000000}" name="Retencao"/>
    <tableColumn id="10" xr3:uid="{00000000-0010-0000-0100-00000A000000}" name="Responsavel"/>
    <tableColumn id="11" xr3:uid="{00000000-0010-0000-0100-00000B000000}" name="Qualidade_Dados"/>
    <tableColumn id="12" xr3:uid="{00000000-0010-0000-0100-00000C000000}" name="Regist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lano_monitorizacao" displayName="tbl_plano_monitorizacao" ref="A4:N13">
  <autoFilter ref="A4:N13" xr:uid="{00000000-0009-0000-0100-000003000000}"/>
  <tableColumns count="14">
    <tableColumn id="1" xr3:uid="{00000000-0010-0000-0200-000001000000}" name="ID_MED"/>
    <tableColumn id="2" xr3:uid="{00000000-0010-0000-0200-000002000000}" name="O_Que_Medir"/>
    <tableColumn id="3" xr3:uid="{00000000-0010-0000-0200-000003000000}" name="Unidade"/>
    <tableColumn id="4" xr3:uid="{00000000-0010-0000-0200-000004000000}" name="Tipo"/>
    <tableColumn id="5" xr3:uid="{00000000-0010-0000-0200-000005000000}" name="Como_Medir"/>
    <tableColumn id="6" xr3:uid="{00000000-0010-0000-0200-000006000000}" name="Equipamentos"/>
    <tableColumn id="7" xr3:uid="{00000000-0010-0000-0200-000007000000}" name="Quando_Medir"/>
    <tableColumn id="8" xr3:uid="{00000000-0010-0000-0200-000008000000}" name="Quem_Mede"/>
    <tableColumn id="9" xr3:uid="{00000000-0010-0000-0200-000009000000}" name="ID_KPI"/>
    <tableColumn id="10" xr3:uid="{00000000-0010-0000-0200-00000A000000}" name="Criterio_Meta"/>
    <tableColumn id="11" xr3:uid="{00000000-0010-0000-0200-00000B000000}" name="Quando_Analisar"/>
    <tableColumn id="12" xr3:uid="{00000000-0010-0000-0200-00000C000000}" name="Caracteristica_9_1_1"/>
    <tableColumn id="13" xr3:uid="{00000000-0010-0000-0200-00000D000000}" name="Desvio_Significativo"/>
    <tableColumn id="14" xr3:uid="{00000000-0010-0000-0200-00000E000000}" name="Acao_Desvi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quipamentos" displayName="tbl_equipamentos" ref="A4:N10">
  <autoFilter ref="A4:N10" xr:uid="{00000000-0009-0000-0100-000004000000}"/>
  <tableColumns count="14">
    <tableColumn id="1" xr3:uid="{00000000-0010-0000-0300-000001000000}" name="ID_Equipamento"/>
    <tableColumn id="2" xr3:uid="{00000000-0010-0000-0300-000002000000}" name="Equipamento"/>
    <tableColumn id="3" xr3:uid="{00000000-0010-0000-0300-000003000000}" name="IDs_MED"/>
    <tableColumn id="4" xr3:uid="{00000000-0010-0000-0300-000004000000}" name="Tipo_Controlo"/>
    <tableColumn id="5" xr3:uid="{00000000-0010-0000-0300-000005000000}" name="Ultima_Calibracao"/>
    <tableColumn id="6" xr3:uid="{00000000-0010-0000-0300-000006000000}" name="Periodicidade_Meses"/>
    <tableColumn id="7" xr3:uid="{00000000-0010-0000-0300-000007000000}" name="Entidade"/>
    <tableColumn id="8" xr3:uid="{00000000-0010-0000-0300-000008000000}" name="Evidencia"/>
    <tableColumn id="9" xr3:uid="{00000000-0010-0000-0300-000009000000}" name="Proxima_Calibracao"/>
    <tableColumn id="10" xr3:uid="{00000000-0010-0000-0300-00000A000000}" name="Estado"/>
    <tableColumn id="11" xr3:uid="{00000000-0010-0000-0300-00000B000000}" name="Classe_Exatidao"/>
    <tableColumn id="12" xr3:uid="{00000000-0010-0000-0300-00000C000000}" name="Incerteza"/>
    <tableColumn id="13" xr3:uid="{00000000-0010-0000-0300-00000D000000}" name="Verificacao_Repetibilidade"/>
    <tableColumn id="14" xr3:uid="{00000000-0010-0000-0300-00000E000000}" name="Registo_Don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conciliacao" displayName="tbl_reconciliacao" ref="A4:G26">
  <autoFilter ref="A4:G26" xr:uid="{00000000-0009-0000-0100-000005000000}"/>
  <tableColumns count="7">
    <tableColumn id="1" xr3:uid="{00000000-0010-0000-0400-000001000000}" name="Mes"/>
    <tableColumn id="2" xr3:uid="{00000000-0010-0000-0400-000002000000}" name="kWh_Fatura"/>
    <tableColumn id="3" xr3:uid="{00000000-0010-0000-0400-000003000000}" name="kWh_Leitura_Interna"/>
    <tableColumn id="4" xr3:uid="{00000000-0010-0000-0400-000004000000}" name="Diferenca_Pct"/>
    <tableColumn id="5" xr3:uid="{00000000-0010-0000-0400-000005000000}" name="Resultado"/>
    <tableColumn id="6" xr3:uid="{00000000-0010-0000-0400-000006000000}" name="Leitor"/>
    <tableColumn id="7" xr3:uid="{00000000-0010-0000-0400-000007000000}" name="Observaca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60">
  <autoFilter ref="A1:I60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ht="26.4" x14ac:dyDescent="0.3">
      <c r="A25" s="5" t="s">
        <v>36</v>
      </c>
      <c r="B25" s="6" t="s">
        <v>37</v>
      </c>
    </row>
    <row r="27" spans="1:2" x14ac:dyDescent="0.3">
      <c r="A27" s="3" t="s">
        <v>38</v>
      </c>
      <c r="B27" s="4"/>
    </row>
    <row r="28" spans="1:2" ht="52.8" x14ac:dyDescent="0.3">
      <c r="A28" s="5" t="s">
        <v>39</v>
      </c>
      <c r="B28" s="6" t="s">
        <v>40</v>
      </c>
    </row>
    <row r="30" spans="1:2" x14ac:dyDescent="0.3">
      <c r="A30" s="3" t="s">
        <v>41</v>
      </c>
      <c r="B30" s="4"/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9" spans="1:2" x14ac:dyDescent="0.3">
      <c r="A39" s="3" t="s">
        <v>56</v>
      </c>
      <c r="B39" s="4"/>
    </row>
    <row r="40" spans="1:2" ht="26.4" x14ac:dyDescent="0.3">
      <c r="A40" s="5" t="s">
        <v>57</v>
      </c>
      <c r="B40" s="6" t="s">
        <v>58</v>
      </c>
    </row>
    <row r="41" spans="1:2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ht="26.4" x14ac:dyDescent="0.3">
      <c r="A43" s="5" t="s">
        <v>63</v>
      </c>
      <c r="B43" s="6" t="s">
        <v>64</v>
      </c>
    </row>
    <row r="44" spans="1:2" ht="26.4" x14ac:dyDescent="0.3">
      <c r="A44" s="5" t="s">
        <v>65</v>
      </c>
      <c r="B44" s="6" t="s">
        <v>66</v>
      </c>
    </row>
    <row r="45" spans="1:2" ht="52.8" x14ac:dyDescent="0.3">
      <c r="A45" s="5" t="s">
        <v>67</v>
      </c>
      <c r="B45" s="6" t="s">
        <v>68</v>
      </c>
    </row>
    <row r="47" spans="1:2" x14ac:dyDescent="0.3">
      <c r="A47" s="3" t="s">
        <v>69</v>
      </c>
      <c r="B47" s="4"/>
    </row>
    <row r="48" spans="1:2" x14ac:dyDescent="0.3">
      <c r="A48" s="5" t="s">
        <v>70</v>
      </c>
      <c r="B48" s="6" t="s">
        <v>71</v>
      </c>
    </row>
    <row r="49" spans="1:2" x14ac:dyDescent="0.3">
      <c r="A49" s="5" t="s">
        <v>72</v>
      </c>
      <c r="B49" s="6" t="s">
        <v>73</v>
      </c>
    </row>
    <row r="50" spans="1:2" x14ac:dyDescent="0.3">
      <c r="A50" s="5" t="s">
        <v>74</v>
      </c>
      <c r="B50" s="6" t="s">
        <v>75</v>
      </c>
    </row>
    <row r="51" spans="1:2" x14ac:dyDescent="0.3">
      <c r="A51" s="5" t="s">
        <v>76</v>
      </c>
      <c r="B51" s="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6" customWidth="1"/>
    <col min="4" max="4" width="12" customWidth="1"/>
    <col min="5" max="5" width="18" customWidth="1"/>
    <col min="6" max="6" width="20" customWidth="1"/>
    <col min="7" max="7" width="14" customWidth="1"/>
    <col min="8" max="8" width="12" customWidth="1"/>
    <col min="9" max="9" width="11" customWidth="1"/>
    <col min="10" max="11" width="9" customWidth="1"/>
    <col min="12" max="12" width="8" customWidth="1"/>
  </cols>
  <sheetData>
    <row r="1" spans="1:12" ht="17.399999999999999" x14ac:dyDescent="0.3">
      <c r="A1" s="1" t="s">
        <v>78</v>
      </c>
    </row>
    <row r="2" spans="1:12" x14ac:dyDescent="0.3">
      <c r="A2" s="2" t="s">
        <v>79</v>
      </c>
    </row>
    <row r="4" spans="1:12" ht="39.6" x14ac:dyDescent="0.3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14</v>
      </c>
      <c r="I4" s="8" t="s">
        <v>87</v>
      </c>
      <c r="J4" s="8" t="s">
        <v>88</v>
      </c>
      <c r="K4" s="8" t="s">
        <v>89</v>
      </c>
      <c r="L4" s="9" t="s">
        <v>90</v>
      </c>
    </row>
    <row r="5" spans="1:12" ht="18" customHeight="1" x14ac:dyDescent="0.3">
      <c r="A5" s="10" t="s">
        <v>91</v>
      </c>
      <c r="B5" s="10" t="s">
        <v>92</v>
      </c>
      <c r="C5" s="11">
        <v>0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  <c r="I5" s="12">
        <v>43525</v>
      </c>
      <c r="J5" s="13">
        <v>1</v>
      </c>
      <c r="K5" s="10" t="s">
        <v>98</v>
      </c>
      <c r="L5" s="14" t="str">
        <f t="shared" ref="L5:L15" si="0">IF(A5="","",IF(AND(H5="Instalado",I5&lt;=DataRef),"Sim","Não"))</f>
        <v>Sim</v>
      </c>
    </row>
    <row r="6" spans="1:12" ht="18" customHeight="1" x14ac:dyDescent="0.3">
      <c r="A6" s="10" t="s">
        <v>99</v>
      </c>
      <c r="B6" s="10" t="s">
        <v>100</v>
      </c>
      <c r="C6" s="11">
        <v>1</v>
      </c>
      <c r="D6" s="10" t="s">
        <v>91</v>
      </c>
      <c r="E6" s="10" t="s">
        <v>101</v>
      </c>
      <c r="F6" s="10" t="s">
        <v>102</v>
      </c>
      <c r="G6" s="10" t="s">
        <v>103</v>
      </c>
      <c r="H6" s="10" t="s">
        <v>97</v>
      </c>
      <c r="I6" s="12">
        <v>46371</v>
      </c>
      <c r="J6" s="13">
        <v>0.4032</v>
      </c>
      <c r="K6" s="10" t="s">
        <v>104</v>
      </c>
      <c r="L6" s="14" t="str">
        <f t="shared" si="0"/>
        <v>Sim</v>
      </c>
    </row>
    <row r="7" spans="1:12" ht="18" customHeight="1" x14ac:dyDescent="0.3">
      <c r="A7" s="10" t="s">
        <v>105</v>
      </c>
      <c r="B7" s="10" t="s">
        <v>106</v>
      </c>
      <c r="C7" s="11">
        <v>1</v>
      </c>
      <c r="D7" s="10" t="s">
        <v>91</v>
      </c>
      <c r="E7" s="10" t="s">
        <v>107</v>
      </c>
      <c r="F7" s="10" t="s">
        <v>102</v>
      </c>
      <c r="G7" s="10" t="s">
        <v>103</v>
      </c>
      <c r="H7" s="10" t="s">
        <v>97</v>
      </c>
      <c r="I7" s="12">
        <v>46371</v>
      </c>
      <c r="J7" s="13">
        <v>0.28089999999999998</v>
      </c>
      <c r="K7" s="10" t="s">
        <v>104</v>
      </c>
      <c r="L7" s="14" t="str">
        <f t="shared" si="0"/>
        <v>Sim</v>
      </c>
    </row>
    <row r="8" spans="1:12" ht="18" customHeight="1" x14ac:dyDescent="0.3">
      <c r="A8" s="10" t="s">
        <v>108</v>
      </c>
      <c r="B8" s="10" t="s">
        <v>109</v>
      </c>
      <c r="C8" s="11">
        <v>1</v>
      </c>
      <c r="D8" s="10" t="s">
        <v>91</v>
      </c>
      <c r="E8" s="10" t="s">
        <v>110</v>
      </c>
      <c r="F8" s="10" t="s">
        <v>102</v>
      </c>
      <c r="G8" s="10" t="s">
        <v>103</v>
      </c>
      <c r="H8" s="10" t="s">
        <v>97</v>
      </c>
      <c r="I8" s="12">
        <v>46371</v>
      </c>
      <c r="J8" s="13">
        <v>3.6499999999999998E-2</v>
      </c>
      <c r="K8" s="10" t="s">
        <v>104</v>
      </c>
      <c r="L8" s="14" t="str">
        <f t="shared" si="0"/>
        <v>Sim</v>
      </c>
    </row>
    <row r="9" spans="1:12" ht="18" customHeight="1" x14ac:dyDescent="0.3">
      <c r="A9" s="10" t="s">
        <v>111</v>
      </c>
      <c r="B9" s="10" t="s">
        <v>112</v>
      </c>
      <c r="C9" s="11">
        <v>1</v>
      </c>
      <c r="D9" s="10" t="s">
        <v>91</v>
      </c>
      <c r="E9" s="10" t="s">
        <v>113</v>
      </c>
      <c r="F9" s="10" t="s">
        <v>102</v>
      </c>
      <c r="G9" s="10" t="s">
        <v>103</v>
      </c>
      <c r="H9" s="10" t="s">
        <v>97</v>
      </c>
      <c r="I9" s="12">
        <v>46371</v>
      </c>
      <c r="J9" s="13">
        <v>0.13300000000000001</v>
      </c>
      <c r="K9" s="10" t="s">
        <v>104</v>
      </c>
      <c r="L9" s="14" t="str">
        <f t="shared" si="0"/>
        <v>Sim</v>
      </c>
    </row>
    <row r="10" spans="1:12" ht="18" customHeight="1" x14ac:dyDescent="0.3">
      <c r="A10" s="10" t="s">
        <v>114</v>
      </c>
      <c r="B10" s="10" t="s">
        <v>115</v>
      </c>
      <c r="C10" s="11">
        <v>1</v>
      </c>
      <c r="D10" s="10" t="s">
        <v>91</v>
      </c>
      <c r="E10" s="10" t="s">
        <v>116</v>
      </c>
      <c r="F10" s="10" t="s">
        <v>102</v>
      </c>
      <c r="G10" s="10" t="s">
        <v>103</v>
      </c>
      <c r="H10" s="10" t="s">
        <v>97</v>
      </c>
      <c r="I10" s="12">
        <v>46371</v>
      </c>
      <c r="J10" s="13">
        <v>7.5200000000000003E-2</v>
      </c>
      <c r="K10" s="10" t="s">
        <v>104</v>
      </c>
      <c r="L10" s="14" t="str">
        <f t="shared" si="0"/>
        <v>Sim</v>
      </c>
    </row>
    <row r="11" spans="1:12" ht="18" customHeight="1" x14ac:dyDescent="0.3">
      <c r="A11" s="10" t="s">
        <v>117</v>
      </c>
      <c r="B11" s="10" t="s">
        <v>118</v>
      </c>
      <c r="C11" s="11">
        <v>1</v>
      </c>
      <c r="D11" s="10" t="s">
        <v>91</v>
      </c>
      <c r="E11" s="10" t="s">
        <v>119</v>
      </c>
      <c r="F11" s="10" t="s">
        <v>102</v>
      </c>
      <c r="G11" s="10" t="s">
        <v>103</v>
      </c>
      <c r="H11" s="10" t="s">
        <v>97</v>
      </c>
      <c r="I11" s="12">
        <v>46371</v>
      </c>
      <c r="J11" s="13">
        <v>7.1199999999999999E-2</v>
      </c>
      <c r="K11" s="10" t="s">
        <v>104</v>
      </c>
      <c r="L11" s="14" t="str">
        <f t="shared" si="0"/>
        <v>Sim</v>
      </c>
    </row>
    <row r="12" spans="1:12" ht="18" customHeight="1" x14ac:dyDescent="0.3">
      <c r="A12" s="10" t="s">
        <v>120</v>
      </c>
      <c r="B12" s="10" t="s">
        <v>121</v>
      </c>
      <c r="C12" s="11">
        <v>2</v>
      </c>
      <c r="D12" s="10" t="s">
        <v>111</v>
      </c>
      <c r="E12" s="10" t="s">
        <v>122</v>
      </c>
      <c r="F12" s="10" t="s">
        <v>123</v>
      </c>
      <c r="G12" s="10" t="s">
        <v>124</v>
      </c>
      <c r="H12" s="10" t="s">
        <v>97</v>
      </c>
      <c r="I12" s="12">
        <v>45945</v>
      </c>
      <c r="J12" s="13"/>
      <c r="K12" s="10" t="s">
        <v>125</v>
      </c>
      <c r="L12" s="14" t="str">
        <f t="shared" si="0"/>
        <v>Sim</v>
      </c>
    </row>
    <row r="13" spans="1:12" ht="18" customHeight="1" x14ac:dyDescent="0.3">
      <c r="A13" s="10" t="s">
        <v>126</v>
      </c>
      <c r="B13" s="10" t="s">
        <v>127</v>
      </c>
      <c r="C13" s="11">
        <v>2</v>
      </c>
      <c r="D13" s="10" t="s">
        <v>128</v>
      </c>
      <c r="E13" s="10" t="s">
        <v>129</v>
      </c>
      <c r="F13" s="10" t="s">
        <v>130</v>
      </c>
      <c r="G13" s="10" t="s">
        <v>131</v>
      </c>
      <c r="H13" s="10" t="s">
        <v>97</v>
      </c>
      <c r="I13" s="12">
        <v>46162</v>
      </c>
      <c r="J13" s="13"/>
      <c r="K13" s="10" t="s">
        <v>132</v>
      </c>
      <c r="L13" s="14" t="str">
        <f t="shared" si="0"/>
        <v>Sim</v>
      </c>
    </row>
    <row r="14" spans="1:12" ht="18" customHeight="1" x14ac:dyDescent="0.3">
      <c r="A14" s="10" t="s">
        <v>133</v>
      </c>
      <c r="B14" s="10" t="s">
        <v>134</v>
      </c>
      <c r="C14" s="11">
        <v>0</v>
      </c>
      <c r="D14" s="10" t="s">
        <v>93</v>
      </c>
      <c r="E14" s="10" t="s">
        <v>135</v>
      </c>
      <c r="F14" s="10" t="s">
        <v>136</v>
      </c>
      <c r="G14" s="10" t="s">
        <v>137</v>
      </c>
      <c r="H14" s="10" t="s">
        <v>97</v>
      </c>
      <c r="I14" s="12">
        <v>43831</v>
      </c>
      <c r="J14" s="13"/>
      <c r="K14" s="10" t="s">
        <v>93</v>
      </c>
      <c r="L14" s="14" t="str">
        <f t="shared" si="0"/>
        <v>Sim</v>
      </c>
    </row>
    <row r="15" spans="1:12" ht="18" customHeight="1" x14ac:dyDescent="0.3">
      <c r="A15" s="10" t="s">
        <v>138</v>
      </c>
      <c r="B15" s="10" t="s">
        <v>139</v>
      </c>
      <c r="C15" s="11">
        <v>0</v>
      </c>
      <c r="D15" s="10" t="s">
        <v>93</v>
      </c>
      <c r="E15" s="10" t="s">
        <v>140</v>
      </c>
      <c r="F15" s="10" t="s">
        <v>141</v>
      </c>
      <c r="G15" s="10" t="s">
        <v>103</v>
      </c>
      <c r="H15" s="10" t="s">
        <v>142</v>
      </c>
      <c r="I15" s="12">
        <v>46568</v>
      </c>
      <c r="J15" s="13"/>
      <c r="K15" s="10" t="s">
        <v>93</v>
      </c>
      <c r="L15" s="14" t="str">
        <f t="shared" si="0"/>
        <v>Não</v>
      </c>
    </row>
    <row r="17" spans="1:10" ht="26.4" x14ac:dyDescent="0.3">
      <c r="A17" s="15" t="s">
        <v>143</v>
      </c>
      <c r="B17" s="6" t="s">
        <v>144</v>
      </c>
      <c r="J17" s="16">
        <f>SUMIFS(tbl_contadores[Fracao_Consumo],tbl_contadores[Nivel],1,tbl_contadores[Mede_Hoje],"Sim")</f>
        <v>1</v>
      </c>
    </row>
    <row r="18" spans="1:10" ht="26.4" x14ac:dyDescent="0.3">
      <c r="B18" s="6" t="s">
        <v>145</v>
      </c>
      <c r="J18" s="16">
        <f>SUMIFS(tbl_contadores[Fracao_Consumo],tbl_contadores[Nivel],1)</f>
        <v>1</v>
      </c>
    </row>
  </sheetData>
  <conditionalFormatting sqref="H5:H215">
    <cfRule type="expression" dxfId="10" priority="1">
      <formula>ISNUMBER(SEARCH("Em instalação",H5))</formula>
    </cfRule>
    <cfRule type="expression" dxfId="9" priority="2">
      <formula>ISNUMBER(SEARCH("Planeado",H5))</formula>
    </cfRule>
    <cfRule type="expression" dxfId="8" priority="3">
      <formula>ISNUMBER(SEARCH("Instalado",H5))</formula>
    </cfRule>
  </conditionalFormatting>
  <dataValidations count="1">
    <dataValidation type="list" allowBlank="1" showErrorMessage="1" errorTitle="Valor inválido" error="Valor fora da lista controlada (ver folha Listas)." sqref="H5:H215" xr:uid="{00000000-0002-0000-0100-000000000000}">
      <formula1>lst_EstadoCont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28" customWidth="1"/>
    <col min="4" max="4" width="24" customWidth="1"/>
    <col min="5" max="5" width="32" customWidth="1"/>
    <col min="6" max="6" width="34" customWidth="1"/>
    <col min="7" max="7" width="18" customWidth="1"/>
    <col min="8" max="8" width="14" customWidth="1"/>
    <col min="9" max="9" width="12" customWidth="1"/>
    <col min="10" max="10" width="22" customWidth="1"/>
    <col min="11" max="11" width="18" customWidth="1"/>
    <col min="12" max="12" width="30" customWidth="1"/>
  </cols>
  <sheetData>
    <row r="1" spans="1:12" ht="17.399999999999999" x14ac:dyDescent="0.3">
      <c r="A1" s="1" t="s">
        <v>146</v>
      </c>
    </row>
    <row r="2" spans="1:12" x14ac:dyDescent="0.3">
      <c r="A2" s="2" t="s">
        <v>147</v>
      </c>
    </row>
    <row r="4" spans="1:12" ht="26.4" x14ac:dyDescent="0.3">
      <c r="A4" s="8" t="s">
        <v>148</v>
      </c>
      <c r="B4" s="8" t="s">
        <v>149</v>
      </c>
      <c r="C4" s="8" t="s">
        <v>150</v>
      </c>
      <c r="D4" s="8" t="s">
        <v>151</v>
      </c>
      <c r="E4" s="8" t="s">
        <v>152</v>
      </c>
      <c r="F4" s="8" t="s">
        <v>153</v>
      </c>
      <c r="G4" s="8" t="s">
        <v>154</v>
      </c>
      <c r="H4" s="8" t="s">
        <v>155</v>
      </c>
      <c r="I4" s="8" t="s">
        <v>156</v>
      </c>
      <c r="J4" s="8" t="s">
        <v>157</v>
      </c>
      <c r="K4" s="8" t="s">
        <v>158</v>
      </c>
      <c r="L4" s="8" t="s">
        <v>159</v>
      </c>
    </row>
    <row r="5" spans="1:12" ht="36" customHeight="1" x14ac:dyDescent="0.3">
      <c r="A5" s="10" t="s">
        <v>160</v>
      </c>
      <c r="B5" s="10" t="s">
        <v>161</v>
      </c>
      <c r="C5" s="10" t="s">
        <v>162</v>
      </c>
      <c r="D5" s="10" t="s">
        <v>163</v>
      </c>
      <c r="E5" s="10" t="s">
        <v>164</v>
      </c>
      <c r="F5" s="10" t="s">
        <v>165</v>
      </c>
      <c r="G5" s="10" t="s">
        <v>166</v>
      </c>
      <c r="H5" s="10" t="s">
        <v>167</v>
      </c>
      <c r="I5" s="10" t="s">
        <v>168</v>
      </c>
      <c r="J5" s="10" t="s">
        <v>169</v>
      </c>
      <c r="K5" s="10" t="s">
        <v>170</v>
      </c>
      <c r="L5" s="10" t="s">
        <v>171</v>
      </c>
    </row>
    <row r="6" spans="1:12" ht="36" customHeight="1" x14ac:dyDescent="0.3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167</v>
      </c>
      <c r="I6" s="10" t="s">
        <v>168</v>
      </c>
      <c r="J6" s="10" t="s">
        <v>179</v>
      </c>
      <c r="K6" s="10" t="s">
        <v>170</v>
      </c>
      <c r="L6" s="10" t="s">
        <v>180</v>
      </c>
    </row>
    <row r="7" spans="1:12" ht="36" customHeight="1" x14ac:dyDescent="0.3">
      <c r="A7" s="10" t="s">
        <v>181</v>
      </c>
      <c r="B7" s="10" t="s">
        <v>182</v>
      </c>
      <c r="C7" s="10" t="s">
        <v>183</v>
      </c>
      <c r="D7" s="10" t="s">
        <v>184</v>
      </c>
      <c r="E7" s="10" t="s">
        <v>185</v>
      </c>
      <c r="F7" s="10" t="s">
        <v>186</v>
      </c>
      <c r="G7" s="10" t="s">
        <v>187</v>
      </c>
      <c r="H7" s="10" t="s">
        <v>188</v>
      </c>
      <c r="I7" s="10" t="s">
        <v>168</v>
      </c>
      <c r="J7" s="10" t="s">
        <v>169</v>
      </c>
      <c r="K7" s="10" t="s">
        <v>189</v>
      </c>
      <c r="L7" s="10" t="s">
        <v>190</v>
      </c>
    </row>
    <row r="8" spans="1:12" ht="36" customHeight="1" x14ac:dyDescent="0.3">
      <c r="A8" s="10" t="s">
        <v>191</v>
      </c>
      <c r="B8" s="10" t="s">
        <v>192</v>
      </c>
      <c r="C8" s="10" t="s">
        <v>193</v>
      </c>
      <c r="D8" s="10" t="s">
        <v>184</v>
      </c>
      <c r="E8" s="10" t="s">
        <v>194</v>
      </c>
      <c r="F8" s="10" t="s">
        <v>195</v>
      </c>
      <c r="G8" s="10" t="s">
        <v>196</v>
      </c>
      <c r="H8" s="10" t="s">
        <v>167</v>
      </c>
      <c r="I8" s="10" t="s">
        <v>197</v>
      </c>
      <c r="J8" s="10" t="s">
        <v>198</v>
      </c>
      <c r="K8" s="10" t="s">
        <v>189</v>
      </c>
      <c r="L8" s="10" t="s">
        <v>199</v>
      </c>
    </row>
    <row r="9" spans="1:12" ht="36" customHeight="1" x14ac:dyDescent="0.3">
      <c r="A9" s="10" t="s">
        <v>200</v>
      </c>
      <c r="B9" s="10" t="s">
        <v>201</v>
      </c>
      <c r="C9" s="10" t="s">
        <v>202</v>
      </c>
      <c r="D9" s="10" t="s">
        <v>203</v>
      </c>
      <c r="E9" s="10" t="s">
        <v>204</v>
      </c>
      <c r="F9" s="10" t="s">
        <v>205</v>
      </c>
      <c r="G9" s="10" t="s">
        <v>206</v>
      </c>
      <c r="H9" s="10" t="s">
        <v>167</v>
      </c>
      <c r="I9" s="10" t="s">
        <v>197</v>
      </c>
      <c r="J9" s="10" t="s">
        <v>198</v>
      </c>
      <c r="K9" s="10" t="s">
        <v>207</v>
      </c>
      <c r="L9" s="10" t="s">
        <v>208</v>
      </c>
    </row>
    <row r="10" spans="1:12" ht="36" customHeight="1" x14ac:dyDescent="0.3">
      <c r="A10" s="10" t="s">
        <v>209</v>
      </c>
      <c r="B10" s="10" t="s">
        <v>210</v>
      </c>
      <c r="C10" s="10" t="s">
        <v>211</v>
      </c>
      <c r="D10" s="10" t="s">
        <v>212</v>
      </c>
      <c r="E10" s="10" t="s">
        <v>213</v>
      </c>
      <c r="F10" s="10" t="s">
        <v>214</v>
      </c>
      <c r="G10" s="10" t="s">
        <v>167</v>
      </c>
      <c r="H10" s="10" t="s">
        <v>167</v>
      </c>
      <c r="I10" s="10" t="s">
        <v>168</v>
      </c>
      <c r="J10" s="10" t="s">
        <v>169</v>
      </c>
      <c r="K10" s="10" t="s">
        <v>215</v>
      </c>
      <c r="L10" s="10" t="s">
        <v>180</v>
      </c>
    </row>
    <row r="11" spans="1:12" ht="36" customHeight="1" x14ac:dyDescent="0.3">
      <c r="A11" s="10" t="s">
        <v>216</v>
      </c>
      <c r="B11" s="10" t="s">
        <v>217</v>
      </c>
      <c r="C11" s="10" t="s">
        <v>162</v>
      </c>
      <c r="D11" s="10" t="s">
        <v>218</v>
      </c>
      <c r="E11" s="10" t="s">
        <v>219</v>
      </c>
      <c r="F11" s="10" t="s">
        <v>220</v>
      </c>
      <c r="G11" s="10" t="s">
        <v>167</v>
      </c>
      <c r="H11" s="10" t="s">
        <v>221</v>
      </c>
      <c r="I11" s="10" t="s">
        <v>168</v>
      </c>
      <c r="J11" s="10" t="s">
        <v>222</v>
      </c>
      <c r="K11" s="10" t="s">
        <v>223</v>
      </c>
      <c r="L11" s="10" t="s">
        <v>224</v>
      </c>
    </row>
    <row r="12" spans="1:12" ht="36" customHeight="1" x14ac:dyDescent="0.3">
      <c r="A12" s="10" t="s">
        <v>225</v>
      </c>
      <c r="B12" s="10" t="s">
        <v>226</v>
      </c>
      <c r="C12" s="10" t="s">
        <v>162</v>
      </c>
      <c r="D12" s="10" t="s">
        <v>227</v>
      </c>
      <c r="E12" s="10" t="s">
        <v>228</v>
      </c>
      <c r="F12" s="10" t="s">
        <v>229</v>
      </c>
      <c r="G12" s="10" t="s">
        <v>230</v>
      </c>
      <c r="H12" s="10" t="s">
        <v>221</v>
      </c>
      <c r="I12" s="10" t="s">
        <v>168</v>
      </c>
      <c r="J12" s="10" t="s">
        <v>222</v>
      </c>
      <c r="K12" s="10" t="s">
        <v>170</v>
      </c>
      <c r="L12" s="10" t="s">
        <v>231</v>
      </c>
    </row>
    <row r="13" spans="1:12" ht="36" customHeight="1" x14ac:dyDescent="0.3">
      <c r="A13" s="10" t="s">
        <v>232</v>
      </c>
      <c r="B13" s="10" t="s">
        <v>233</v>
      </c>
      <c r="C13" s="10" t="s">
        <v>234</v>
      </c>
      <c r="D13" s="10" t="s">
        <v>235</v>
      </c>
      <c r="E13" s="10" t="s">
        <v>236</v>
      </c>
      <c r="F13" s="10" t="s">
        <v>237</v>
      </c>
      <c r="G13" s="10" t="s">
        <v>238</v>
      </c>
      <c r="H13" s="10" t="s">
        <v>238</v>
      </c>
      <c r="I13" s="10" t="s">
        <v>168</v>
      </c>
      <c r="J13" s="10" t="s">
        <v>169</v>
      </c>
      <c r="K13" s="10" t="s">
        <v>159</v>
      </c>
      <c r="L13" s="10" t="s">
        <v>239</v>
      </c>
    </row>
    <row r="14" spans="1:12" ht="36" customHeight="1" x14ac:dyDescent="0.3">
      <c r="A14" s="10" t="s">
        <v>240</v>
      </c>
      <c r="B14" s="10" t="s">
        <v>241</v>
      </c>
      <c r="C14" s="10" t="s">
        <v>242</v>
      </c>
      <c r="D14" s="10" t="s">
        <v>243</v>
      </c>
      <c r="E14" s="10" t="s">
        <v>244</v>
      </c>
      <c r="F14" s="10" t="s">
        <v>245</v>
      </c>
      <c r="G14" s="10" t="s">
        <v>246</v>
      </c>
      <c r="H14" s="10" t="s">
        <v>246</v>
      </c>
      <c r="I14" s="10" t="s">
        <v>247</v>
      </c>
      <c r="J14" s="10" t="s">
        <v>169</v>
      </c>
      <c r="K14" s="10" t="s">
        <v>170</v>
      </c>
      <c r="L14" s="10" t="s">
        <v>248</v>
      </c>
    </row>
    <row r="15" spans="1:12" ht="36" customHeight="1" x14ac:dyDescent="0.3">
      <c r="A15" s="10" t="s">
        <v>249</v>
      </c>
      <c r="B15" s="10" t="s">
        <v>250</v>
      </c>
      <c r="C15" s="10" t="s">
        <v>251</v>
      </c>
      <c r="D15" s="10" t="s">
        <v>184</v>
      </c>
      <c r="E15" s="10" t="s">
        <v>252</v>
      </c>
      <c r="F15" s="10" t="s">
        <v>253</v>
      </c>
      <c r="G15" s="10" t="s">
        <v>178</v>
      </c>
      <c r="H15" s="10" t="s">
        <v>167</v>
      </c>
      <c r="I15" s="10" t="s">
        <v>168</v>
      </c>
      <c r="J15" s="10" t="s">
        <v>179</v>
      </c>
      <c r="K15" s="10" t="s">
        <v>170</v>
      </c>
      <c r="L15" s="10" t="s">
        <v>254</v>
      </c>
    </row>
    <row r="17" spans="2:3" x14ac:dyDescent="0.3">
      <c r="B17" s="6" t="s">
        <v>255</v>
      </c>
      <c r="C17" s="15" t="str">
        <f>IF(COUNTIF(tbl_plano_recolha[Categoria_6_6],"*a)*")&gt;0,"Sim","Não")</f>
        <v>Sim</v>
      </c>
    </row>
    <row r="18" spans="2:3" x14ac:dyDescent="0.3">
      <c r="B18" s="6" t="s">
        <v>256</v>
      </c>
      <c r="C18" s="15" t="str">
        <f>IF(COUNTIF(tbl_plano_recolha[Categoria_6_6],"*b)*")&gt;0,"Sim","Não")</f>
        <v>Sim</v>
      </c>
    </row>
    <row r="19" spans="2:3" x14ac:dyDescent="0.3">
      <c r="B19" s="6" t="s">
        <v>257</v>
      </c>
      <c r="C19" s="15" t="str">
        <f>IF(COUNTIF(tbl_plano_recolha[Categoria_6_6],"*c)*")&gt;0,"Sim","Não")</f>
        <v>Sim</v>
      </c>
    </row>
    <row r="20" spans="2:3" x14ac:dyDescent="0.3">
      <c r="B20" s="6" t="s">
        <v>258</v>
      </c>
      <c r="C20" s="15" t="str">
        <f>IF(COUNTIF(tbl_plano_recolha[Categoria_6_6],"*d)*")&gt;0,"Sim","Não")</f>
        <v>Sim</v>
      </c>
    </row>
    <row r="21" spans="2:3" x14ac:dyDescent="0.3">
      <c r="B21" s="6" t="s">
        <v>259</v>
      </c>
      <c r="C21" s="15" t="str">
        <f>IF(COUNTIF(tbl_plano_recolha[Categoria_6_6],"*e)*")&gt;0,"Sim","Não")</f>
        <v>Sim</v>
      </c>
    </row>
  </sheetData>
  <conditionalFormatting sqref="K5:K215">
    <cfRule type="expression" dxfId="7" priority="1">
      <formula>ISNUMBER(SEARCH("Estimado",K5))</formula>
    </cfRule>
    <cfRule type="expression" dxfId="6" priority="2">
      <formula>ISNUMBER(SEARCH("Medido",K5))</formula>
    </cfRule>
  </conditionalFormatting>
  <dataValidations count="1">
    <dataValidation type="list" allowBlank="1" showErrorMessage="1" errorTitle="Valor inválido" error="Valor fora da lista controlada (ver folha Listas)." sqref="J5:J215" xr:uid="{00000000-0002-0000-02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6" customWidth="1"/>
    <col min="3" max="3" width="12" customWidth="1"/>
    <col min="4" max="4" width="8" customWidth="1"/>
    <col min="5" max="5" width="36" customWidth="1"/>
    <col min="6" max="6" width="18" customWidth="1"/>
    <col min="7" max="8" width="22" customWidth="1"/>
    <col min="9" max="9" width="9" customWidth="1"/>
    <col min="10" max="10" width="28" customWidth="1"/>
    <col min="11" max="11" width="18" customWidth="1"/>
    <col min="12" max="12" width="22" customWidth="1"/>
    <col min="13" max="13" width="32" customWidth="1"/>
    <col min="14" max="14" width="30" customWidth="1"/>
  </cols>
  <sheetData>
    <row r="1" spans="1:14" ht="17.399999999999999" x14ac:dyDescent="0.3">
      <c r="A1" s="1" t="s">
        <v>260</v>
      </c>
    </row>
    <row r="2" spans="1:14" x14ac:dyDescent="0.3">
      <c r="A2" s="2" t="s">
        <v>261</v>
      </c>
    </row>
    <row r="4" spans="1:14" x14ac:dyDescent="0.3">
      <c r="A4" s="8" t="s">
        <v>262</v>
      </c>
      <c r="B4" s="8" t="s">
        <v>263</v>
      </c>
      <c r="C4" s="8" t="s">
        <v>264</v>
      </c>
      <c r="D4" s="8" t="s">
        <v>85</v>
      </c>
      <c r="E4" s="8" t="s">
        <v>265</v>
      </c>
      <c r="F4" s="8" t="s">
        <v>266</v>
      </c>
      <c r="G4" s="8" t="s">
        <v>267</v>
      </c>
      <c r="H4" s="8" t="s">
        <v>268</v>
      </c>
      <c r="I4" s="8" t="s">
        <v>269</v>
      </c>
      <c r="J4" s="8" t="s">
        <v>270</v>
      </c>
      <c r="K4" s="8" t="s">
        <v>271</v>
      </c>
      <c r="L4" s="8" t="s">
        <v>151</v>
      </c>
      <c r="M4" s="8" t="s">
        <v>272</v>
      </c>
      <c r="N4" s="8" t="s">
        <v>273</v>
      </c>
    </row>
    <row r="5" spans="1:14" ht="40.049999999999997" customHeight="1" x14ac:dyDescent="0.3">
      <c r="A5" s="10" t="s">
        <v>274</v>
      </c>
      <c r="B5" s="10" t="s">
        <v>275</v>
      </c>
      <c r="C5" s="10" t="s">
        <v>276</v>
      </c>
      <c r="D5" s="10" t="s">
        <v>277</v>
      </c>
      <c r="E5" s="10" t="s">
        <v>278</v>
      </c>
      <c r="F5" s="10" t="s">
        <v>279</v>
      </c>
      <c r="G5" s="10" t="s">
        <v>167</v>
      </c>
      <c r="H5" s="10" t="s">
        <v>169</v>
      </c>
      <c r="I5" s="10" t="s">
        <v>280</v>
      </c>
      <c r="J5" s="10" t="s">
        <v>281</v>
      </c>
      <c r="K5" s="10" t="s">
        <v>282</v>
      </c>
      <c r="L5" s="10" t="s">
        <v>283</v>
      </c>
      <c r="M5" s="10" t="s">
        <v>284</v>
      </c>
      <c r="N5" s="10" t="s">
        <v>285</v>
      </c>
    </row>
    <row r="6" spans="1:14" ht="40.049999999999997" customHeight="1" x14ac:dyDescent="0.3">
      <c r="A6" s="10" t="s">
        <v>286</v>
      </c>
      <c r="B6" s="10" t="s">
        <v>287</v>
      </c>
      <c r="C6" s="10" t="s">
        <v>288</v>
      </c>
      <c r="D6" s="10" t="s">
        <v>277</v>
      </c>
      <c r="E6" s="10" t="s">
        <v>289</v>
      </c>
      <c r="F6" s="10" t="s">
        <v>290</v>
      </c>
      <c r="G6" s="10" t="s">
        <v>167</v>
      </c>
      <c r="H6" s="10" t="s">
        <v>291</v>
      </c>
      <c r="I6" s="10" t="s">
        <v>292</v>
      </c>
      <c r="J6" s="10" t="s">
        <v>293</v>
      </c>
      <c r="K6" s="10" t="s">
        <v>167</v>
      </c>
      <c r="L6" s="10" t="s">
        <v>175</v>
      </c>
      <c r="M6" s="10" t="s">
        <v>294</v>
      </c>
      <c r="N6" s="10" t="s">
        <v>295</v>
      </c>
    </row>
    <row r="7" spans="1:14" ht="40.049999999999997" customHeight="1" x14ac:dyDescent="0.3">
      <c r="A7" s="10" t="s">
        <v>296</v>
      </c>
      <c r="B7" s="10" t="s">
        <v>297</v>
      </c>
      <c r="C7" s="10" t="s">
        <v>298</v>
      </c>
      <c r="D7" s="10" t="s">
        <v>299</v>
      </c>
      <c r="E7" s="10" t="s">
        <v>300</v>
      </c>
      <c r="F7" s="10" t="s">
        <v>301</v>
      </c>
      <c r="G7" s="10" t="s">
        <v>302</v>
      </c>
      <c r="H7" s="10" t="s">
        <v>179</v>
      </c>
      <c r="I7" s="10" t="s">
        <v>303</v>
      </c>
      <c r="J7" s="10" t="s">
        <v>304</v>
      </c>
      <c r="K7" s="10" t="s">
        <v>167</v>
      </c>
      <c r="L7" s="10" t="s">
        <v>184</v>
      </c>
      <c r="M7" s="10" t="s">
        <v>305</v>
      </c>
      <c r="N7" s="10" t="s">
        <v>306</v>
      </c>
    </row>
    <row r="8" spans="1:14" ht="40.049999999999997" customHeight="1" x14ac:dyDescent="0.3">
      <c r="A8" s="10" t="s">
        <v>307</v>
      </c>
      <c r="B8" s="10" t="s">
        <v>308</v>
      </c>
      <c r="C8" s="10" t="s">
        <v>298</v>
      </c>
      <c r="D8" s="10" t="s">
        <v>299</v>
      </c>
      <c r="E8" s="10" t="s">
        <v>309</v>
      </c>
      <c r="F8" s="10" t="s">
        <v>301</v>
      </c>
      <c r="G8" s="10" t="s">
        <v>310</v>
      </c>
      <c r="H8" s="10" t="s">
        <v>179</v>
      </c>
      <c r="I8" s="10" t="s">
        <v>311</v>
      </c>
      <c r="J8" s="10" t="s">
        <v>312</v>
      </c>
      <c r="K8" s="10" t="s">
        <v>167</v>
      </c>
      <c r="L8" s="10" t="s">
        <v>184</v>
      </c>
      <c r="M8" s="10" t="s">
        <v>313</v>
      </c>
      <c r="N8" s="10" t="s">
        <v>314</v>
      </c>
    </row>
    <row r="9" spans="1:14" ht="40.049999999999997" customHeight="1" x14ac:dyDescent="0.3">
      <c r="A9" s="10" t="s">
        <v>315</v>
      </c>
      <c r="B9" s="10" t="s">
        <v>316</v>
      </c>
      <c r="C9" s="10" t="s">
        <v>317</v>
      </c>
      <c r="D9" s="10" t="s">
        <v>299</v>
      </c>
      <c r="E9" s="10" t="s">
        <v>318</v>
      </c>
      <c r="F9" s="10" t="s">
        <v>319</v>
      </c>
      <c r="G9" s="10" t="s">
        <v>167</v>
      </c>
      <c r="H9" s="10" t="s">
        <v>198</v>
      </c>
      <c r="I9" s="10" t="s">
        <v>320</v>
      </c>
      <c r="J9" s="10" t="s">
        <v>321</v>
      </c>
      <c r="K9" s="10" t="s">
        <v>167</v>
      </c>
      <c r="L9" s="10" t="s">
        <v>322</v>
      </c>
      <c r="M9" s="10" t="s">
        <v>323</v>
      </c>
      <c r="N9" s="10" t="s">
        <v>324</v>
      </c>
    </row>
    <row r="10" spans="1:14" ht="40.049999999999997" customHeight="1" x14ac:dyDescent="0.3">
      <c r="A10" s="10" t="s">
        <v>325</v>
      </c>
      <c r="B10" s="10" t="s">
        <v>326</v>
      </c>
      <c r="C10" s="10" t="s">
        <v>327</v>
      </c>
      <c r="D10" s="10" t="s">
        <v>299</v>
      </c>
      <c r="E10" s="10" t="s">
        <v>328</v>
      </c>
      <c r="F10" s="10" t="s">
        <v>104</v>
      </c>
      <c r="G10" s="10" t="s">
        <v>329</v>
      </c>
      <c r="H10" s="10" t="s">
        <v>198</v>
      </c>
      <c r="I10" s="10" t="s">
        <v>330</v>
      </c>
      <c r="J10" s="10" t="s">
        <v>331</v>
      </c>
      <c r="K10" s="10" t="s">
        <v>167</v>
      </c>
      <c r="L10" s="10" t="s">
        <v>184</v>
      </c>
      <c r="M10" s="10" t="s">
        <v>332</v>
      </c>
      <c r="N10" s="10" t="s">
        <v>333</v>
      </c>
    </row>
    <row r="11" spans="1:14" ht="40.049999999999997" customHeight="1" x14ac:dyDescent="0.3">
      <c r="A11" s="10" t="s">
        <v>334</v>
      </c>
      <c r="B11" s="10" t="s">
        <v>335</v>
      </c>
      <c r="C11" s="10" t="s">
        <v>336</v>
      </c>
      <c r="D11" s="10" t="s">
        <v>277</v>
      </c>
      <c r="E11" s="10" t="s">
        <v>337</v>
      </c>
      <c r="F11" s="10" t="s">
        <v>338</v>
      </c>
      <c r="G11" s="10" t="s">
        <v>246</v>
      </c>
      <c r="H11" s="10" t="s">
        <v>169</v>
      </c>
      <c r="I11" s="10" t="s">
        <v>339</v>
      </c>
      <c r="J11" s="10" t="s">
        <v>340</v>
      </c>
      <c r="K11" s="10" t="s">
        <v>238</v>
      </c>
      <c r="L11" s="10" t="s">
        <v>341</v>
      </c>
      <c r="M11" s="10" t="s">
        <v>342</v>
      </c>
      <c r="N11" s="10" t="s">
        <v>343</v>
      </c>
    </row>
    <row r="12" spans="1:14" ht="40.049999999999997" customHeight="1" x14ac:dyDescent="0.3">
      <c r="A12" s="10" t="s">
        <v>344</v>
      </c>
      <c r="B12" s="10" t="s">
        <v>345</v>
      </c>
      <c r="C12" s="10" t="s">
        <v>346</v>
      </c>
      <c r="D12" s="10" t="s">
        <v>299</v>
      </c>
      <c r="E12" s="10" t="s">
        <v>347</v>
      </c>
      <c r="F12" s="10" t="s">
        <v>98</v>
      </c>
      <c r="G12" s="10" t="s">
        <v>348</v>
      </c>
      <c r="H12" s="10" t="s">
        <v>222</v>
      </c>
      <c r="I12" s="10" t="s">
        <v>93</v>
      </c>
      <c r="J12" s="10" t="s">
        <v>349</v>
      </c>
      <c r="K12" s="10" t="s">
        <v>167</v>
      </c>
      <c r="L12" s="10" t="s">
        <v>350</v>
      </c>
      <c r="M12" s="10" t="s">
        <v>351</v>
      </c>
      <c r="N12" s="10" t="s">
        <v>352</v>
      </c>
    </row>
    <row r="13" spans="1:14" ht="40.049999999999997" customHeight="1" x14ac:dyDescent="0.3">
      <c r="A13" s="10" t="s">
        <v>353</v>
      </c>
      <c r="B13" s="10" t="s">
        <v>354</v>
      </c>
      <c r="C13" s="10" t="s">
        <v>14</v>
      </c>
      <c r="D13" s="10" t="s">
        <v>355</v>
      </c>
      <c r="E13" s="10" t="s">
        <v>356</v>
      </c>
      <c r="F13" s="10" t="s">
        <v>93</v>
      </c>
      <c r="G13" s="10" t="s">
        <v>357</v>
      </c>
      <c r="H13" s="10" t="s">
        <v>169</v>
      </c>
      <c r="I13" s="10" t="s">
        <v>93</v>
      </c>
      <c r="J13" s="10" t="s">
        <v>358</v>
      </c>
      <c r="K13" s="10" t="s">
        <v>357</v>
      </c>
      <c r="L13" s="10" t="s">
        <v>359</v>
      </c>
      <c r="M13" s="10" t="s">
        <v>360</v>
      </c>
      <c r="N13" s="10" t="s">
        <v>361</v>
      </c>
    </row>
  </sheetData>
  <dataValidations count="1">
    <dataValidation type="list" allowBlank="1" showErrorMessage="1" errorTitle="Valor inválido" error="Valor fora da lista controlada (ver folha Listas)." sqref="H5:H213" xr:uid="{00000000-0002-0000-03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0" customWidth="1"/>
    <col min="3" max="3" width="20" customWidth="1"/>
    <col min="4" max="4" width="30" customWidth="1"/>
    <col min="5" max="5" width="11" customWidth="1"/>
    <col min="6" max="6" width="8" customWidth="1"/>
    <col min="7" max="7" width="22" customWidth="1"/>
    <col min="8" max="8" width="24" customWidth="1"/>
    <col min="9" max="9" width="11" customWidth="1"/>
    <col min="10" max="10" width="12" customWidth="1"/>
    <col min="11" max="11" width="14" customWidth="1"/>
    <col min="12" max="12" width="16" customWidth="1"/>
    <col min="13" max="13" width="34" customWidth="1"/>
    <col min="14" max="14" width="10" customWidth="1"/>
  </cols>
  <sheetData>
    <row r="1" spans="1:14" ht="17.399999999999999" x14ac:dyDescent="0.3">
      <c r="A1" s="1" t="s">
        <v>362</v>
      </c>
    </row>
    <row r="2" spans="1:14" x14ac:dyDescent="0.3">
      <c r="A2" s="2" t="s">
        <v>363</v>
      </c>
    </row>
    <row r="4" spans="1:14" ht="39.6" x14ac:dyDescent="0.3">
      <c r="A4" s="8" t="s">
        <v>89</v>
      </c>
      <c r="B4" s="8" t="s">
        <v>364</v>
      </c>
      <c r="C4" s="8" t="s">
        <v>365</v>
      </c>
      <c r="D4" s="8" t="s">
        <v>366</v>
      </c>
      <c r="E4" s="8" t="s">
        <v>367</v>
      </c>
      <c r="F4" s="8" t="s">
        <v>368</v>
      </c>
      <c r="G4" s="8" t="s">
        <v>369</v>
      </c>
      <c r="H4" s="8" t="s">
        <v>370</v>
      </c>
      <c r="I4" s="9" t="s">
        <v>371</v>
      </c>
      <c r="J4" s="9" t="s">
        <v>14</v>
      </c>
      <c r="K4" s="8" t="s">
        <v>86</v>
      </c>
      <c r="L4" s="8" t="s">
        <v>372</v>
      </c>
      <c r="M4" s="8" t="s">
        <v>373</v>
      </c>
      <c r="N4" s="8" t="s">
        <v>374</v>
      </c>
    </row>
    <row r="5" spans="1:14" ht="30" customHeight="1" x14ac:dyDescent="0.3">
      <c r="A5" s="10" t="s">
        <v>98</v>
      </c>
      <c r="B5" s="10" t="s">
        <v>375</v>
      </c>
      <c r="C5" s="10" t="s">
        <v>376</v>
      </c>
      <c r="D5" s="10" t="s">
        <v>377</v>
      </c>
      <c r="E5" s="12">
        <v>45422</v>
      </c>
      <c r="F5" s="11">
        <v>60</v>
      </c>
      <c r="G5" s="10" t="s">
        <v>378</v>
      </c>
      <c r="H5" s="10" t="s">
        <v>379</v>
      </c>
      <c r="I5" s="17">
        <f t="shared" ref="I5:I10" si="0">IF(OR(A5="",E5=""),"",EDATE(E5,F5))</f>
        <v>47248</v>
      </c>
      <c r="J5" s="14" t="str">
        <f t="shared" ref="J5:J10" si="1">IF(A5="","",IF(E5="","Por instalar",IF(I5&lt;DataRef,"Vencido",IF(I5-DataRef&lt;=60,"A vencer","Válido"))))</f>
        <v>Válido</v>
      </c>
      <c r="K5" s="10" t="s">
        <v>103</v>
      </c>
      <c r="L5" s="10" t="s">
        <v>380</v>
      </c>
      <c r="M5" s="10" t="s">
        <v>381</v>
      </c>
      <c r="N5" s="10" t="s">
        <v>70</v>
      </c>
    </row>
    <row r="6" spans="1:14" ht="30" customHeight="1" x14ac:dyDescent="0.3">
      <c r="A6" s="10" t="s">
        <v>104</v>
      </c>
      <c r="B6" s="10" t="s">
        <v>382</v>
      </c>
      <c r="C6" s="10" t="s">
        <v>383</v>
      </c>
      <c r="D6" s="10" t="s">
        <v>384</v>
      </c>
      <c r="E6" s="12">
        <v>46371</v>
      </c>
      <c r="F6" s="11">
        <v>24</v>
      </c>
      <c r="G6" s="10" t="s">
        <v>385</v>
      </c>
      <c r="H6" s="10" t="s">
        <v>386</v>
      </c>
      <c r="I6" s="17">
        <f t="shared" si="0"/>
        <v>47102</v>
      </c>
      <c r="J6" s="14" t="str">
        <f t="shared" si="1"/>
        <v>Válido</v>
      </c>
      <c r="K6" s="10" t="s">
        <v>103</v>
      </c>
      <c r="L6" s="10" t="s">
        <v>380</v>
      </c>
      <c r="M6" s="10" t="s">
        <v>387</v>
      </c>
      <c r="N6" s="10" t="s">
        <v>70</v>
      </c>
    </row>
    <row r="7" spans="1:14" ht="30" customHeight="1" x14ac:dyDescent="0.3">
      <c r="A7" s="10" t="s">
        <v>125</v>
      </c>
      <c r="B7" s="10" t="s">
        <v>388</v>
      </c>
      <c r="C7" s="10" t="s">
        <v>315</v>
      </c>
      <c r="D7" s="10" t="s">
        <v>389</v>
      </c>
      <c r="E7" s="12">
        <v>45945</v>
      </c>
      <c r="F7" s="11">
        <v>24</v>
      </c>
      <c r="G7" s="10" t="s">
        <v>390</v>
      </c>
      <c r="H7" s="10" t="s">
        <v>391</v>
      </c>
      <c r="I7" s="17">
        <f t="shared" si="0"/>
        <v>46675</v>
      </c>
      <c r="J7" s="14" t="str">
        <f t="shared" si="1"/>
        <v>Válido</v>
      </c>
      <c r="K7" s="10" t="s">
        <v>124</v>
      </c>
      <c r="L7" s="10" t="s">
        <v>392</v>
      </c>
      <c r="M7" s="10" t="s">
        <v>393</v>
      </c>
      <c r="N7" s="10" t="s">
        <v>70</v>
      </c>
    </row>
    <row r="8" spans="1:14" ht="30" customHeight="1" x14ac:dyDescent="0.3">
      <c r="A8" s="10" t="s">
        <v>394</v>
      </c>
      <c r="B8" s="10" t="s">
        <v>395</v>
      </c>
      <c r="C8" s="10" t="s">
        <v>315</v>
      </c>
      <c r="D8" s="10" t="s">
        <v>396</v>
      </c>
      <c r="E8" s="12">
        <v>46204</v>
      </c>
      <c r="F8" s="11">
        <v>12</v>
      </c>
      <c r="G8" s="10" t="s">
        <v>397</v>
      </c>
      <c r="H8" s="10" t="s">
        <v>398</v>
      </c>
      <c r="I8" s="17">
        <f t="shared" si="0"/>
        <v>46569</v>
      </c>
      <c r="J8" s="14" t="str">
        <f t="shared" si="1"/>
        <v>Válido</v>
      </c>
      <c r="K8" s="10" t="s">
        <v>93</v>
      </c>
      <c r="L8" s="10" t="s">
        <v>399</v>
      </c>
      <c r="M8" s="10" t="s">
        <v>400</v>
      </c>
      <c r="N8" s="10" t="s">
        <v>70</v>
      </c>
    </row>
    <row r="9" spans="1:14" ht="30" customHeight="1" x14ac:dyDescent="0.3">
      <c r="A9" s="10" t="s">
        <v>132</v>
      </c>
      <c r="B9" s="10" t="s">
        <v>401</v>
      </c>
      <c r="C9" s="10" t="s">
        <v>402</v>
      </c>
      <c r="D9" s="10" t="s">
        <v>389</v>
      </c>
      <c r="E9" s="12">
        <v>46162</v>
      </c>
      <c r="F9" s="11">
        <v>12</v>
      </c>
      <c r="G9" s="10" t="s">
        <v>403</v>
      </c>
      <c r="H9" s="10" t="s">
        <v>404</v>
      </c>
      <c r="I9" s="17">
        <f t="shared" si="0"/>
        <v>46527</v>
      </c>
      <c r="J9" s="14" t="str">
        <f t="shared" si="1"/>
        <v>Válido</v>
      </c>
      <c r="K9" s="10" t="s">
        <v>131</v>
      </c>
      <c r="L9" s="10" t="s">
        <v>405</v>
      </c>
      <c r="M9" s="10" t="s">
        <v>406</v>
      </c>
      <c r="N9" s="10" t="s">
        <v>4</v>
      </c>
    </row>
    <row r="10" spans="1:14" ht="30" customHeight="1" x14ac:dyDescent="0.3">
      <c r="A10" s="10" t="s">
        <v>407</v>
      </c>
      <c r="B10" s="10" t="s">
        <v>408</v>
      </c>
      <c r="C10" s="10" t="s">
        <v>325</v>
      </c>
      <c r="D10" s="10" t="s">
        <v>409</v>
      </c>
      <c r="E10" s="12">
        <v>46093</v>
      </c>
      <c r="F10" s="11">
        <v>12</v>
      </c>
      <c r="G10" s="10" t="s">
        <v>410</v>
      </c>
      <c r="H10" s="10" t="s">
        <v>411</v>
      </c>
      <c r="I10" s="17">
        <f t="shared" si="0"/>
        <v>46458</v>
      </c>
      <c r="J10" s="14" t="str">
        <f t="shared" si="1"/>
        <v>Válido</v>
      </c>
      <c r="K10" s="10" t="s">
        <v>412</v>
      </c>
      <c r="L10" s="10" t="s">
        <v>412</v>
      </c>
      <c r="M10" s="10" t="s">
        <v>413</v>
      </c>
      <c r="N10" s="10" t="s">
        <v>4</v>
      </c>
    </row>
  </sheetData>
  <conditionalFormatting sqref="J5:J210">
    <cfRule type="expression" dxfId="5" priority="1">
      <formula>ISNUMBER(SEARCH("Vencido",J5))</formula>
    </cfRule>
    <cfRule type="expression" dxfId="4" priority="2">
      <formula>ISNUMBER(SEARCH("A vencer",J5))</formula>
    </cfRule>
    <cfRule type="expression" dxfId="3" priority="3">
      <formula>ISNUMBER(SEARCH("Válido",J5))</formula>
    </cfRule>
    <cfRule type="expression" dxfId="2" priority="4">
      <formula>ISNUMBER(SEARCH("Por instalar",J5))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11" customWidth="1"/>
    <col min="4" max="4" width="9" customWidth="1"/>
    <col min="5" max="5" width="12" customWidth="1"/>
    <col min="6" max="6" width="22" customWidth="1"/>
    <col min="7" max="7" width="40" customWidth="1"/>
  </cols>
  <sheetData>
    <row r="1" spans="1:7" ht="17.399999999999999" x14ac:dyDescent="0.3">
      <c r="A1" s="1" t="s">
        <v>414</v>
      </c>
    </row>
    <row r="2" spans="1:7" x14ac:dyDescent="0.3">
      <c r="A2" s="2" t="s">
        <v>415</v>
      </c>
    </row>
    <row r="4" spans="1:7" ht="26.4" x14ac:dyDescent="0.3">
      <c r="A4" s="8" t="s">
        <v>416</v>
      </c>
      <c r="B4" s="8" t="s">
        <v>417</v>
      </c>
      <c r="C4" s="8" t="s">
        <v>418</v>
      </c>
      <c r="D4" s="9" t="s">
        <v>419</v>
      </c>
      <c r="E4" s="9" t="s">
        <v>420</v>
      </c>
      <c r="F4" s="8" t="s">
        <v>421</v>
      </c>
      <c r="G4" s="8" t="s">
        <v>422</v>
      </c>
    </row>
    <row r="5" spans="1:7" ht="16.05" customHeight="1" x14ac:dyDescent="0.3">
      <c r="A5" s="12">
        <v>45717</v>
      </c>
      <c r="B5" s="18">
        <v>568941</v>
      </c>
      <c r="C5" s="18">
        <v>568726</v>
      </c>
      <c r="D5" s="19">
        <f t="shared" ref="D5:D26" si="0">IF(A5="","",(C5-B5)/B5)</f>
        <v>-3.7789507172096933E-4</v>
      </c>
      <c r="E5" s="14" t="str">
        <f t="shared" ref="E5:E26" si="1">IF(A5="","",IF(ABS(D5)&lt;=0.01,"OK","Investigar"))</f>
        <v>OK</v>
      </c>
      <c r="F5" s="10" t="s">
        <v>198</v>
      </c>
      <c r="G5" s="10"/>
    </row>
    <row r="6" spans="1:7" ht="16.05" customHeight="1" x14ac:dyDescent="0.3">
      <c r="A6" s="12">
        <v>45748</v>
      </c>
      <c r="B6" s="18">
        <v>545354</v>
      </c>
      <c r="C6" s="18">
        <v>545989</v>
      </c>
      <c r="D6" s="19">
        <f t="shared" si="0"/>
        <v>1.1643813009531423E-3</v>
      </c>
      <c r="E6" s="14" t="str">
        <f t="shared" si="1"/>
        <v>OK</v>
      </c>
      <c r="F6" s="10" t="s">
        <v>198</v>
      </c>
      <c r="G6" s="10"/>
    </row>
    <row r="7" spans="1:7" ht="16.05" customHeight="1" x14ac:dyDescent="0.3">
      <c r="A7" s="12">
        <v>45778</v>
      </c>
      <c r="B7" s="18">
        <v>538026</v>
      </c>
      <c r="C7" s="18">
        <v>539686</v>
      </c>
      <c r="D7" s="19">
        <f t="shared" si="0"/>
        <v>3.0853527524692115E-3</v>
      </c>
      <c r="E7" s="14" t="str">
        <f t="shared" si="1"/>
        <v>OK</v>
      </c>
      <c r="F7" s="10" t="s">
        <v>198</v>
      </c>
      <c r="G7" s="10"/>
    </row>
    <row r="8" spans="1:7" ht="16.05" customHeight="1" x14ac:dyDescent="0.3">
      <c r="A8" s="12">
        <v>45809</v>
      </c>
      <c r="B8" s="18">
        <v>515423</v>
      </c>
      <c r="C8" s="18">
        <v>515041</v>
      </c>
      <c r="D8" s="19">
        <f t="shared" si="0"/>
        <v>-7.4113883160045247E-4</v>
      </c>
      <c r="E8" s="14" t="str">
        <f t="shared" si="1"/>
        <v>OK</v>
      </c>
      <c r="F8" s="10" t="s">
        <v>198</v>
      </c>
      <c r="G8" s="10"/>
    </row>
    <row r="9" spans="1:7" ht="16.05" customHeight="1" x14ac:dyDescent="0.3">
      <c r="A9" s="12">
        <v>45839</v>
      </c>
      <c r="B9" s="18">
        <v>620886</v>
      </c>
      <c r="C9" s="18">
        <v>622337</v>
      </c>
      <c r="D9" s="19">
        <f t="shared" si="0"/>
        <v>2.3369829566136134E-3</v>
      </c>
      <c r="E9" s="14" t="str">
        <f t="shared" si="1"/>
        <v>OK</v>
      </c>
      <c r="F9" s="10" t="s">
        <v>198</v>
      </c>
      <c r="G9" s="10"/>
    </row>
    <row r="10" spans="1:7" ht="16.05" customHeight="1" x14ac:dyDescent="0.3">
      <c r="A10" s="12">
        <v>45870</v>
      </c>
      <c r="B10" s="18">
        <v>586901</v>
      </c>
      <c r="C10" s="18">
        <v>585145</v>
      </c>
      <c r="D10" s="19">
        <f t="shared" si="0"/>
        <v>-2.9919867234848808E-3</v>
      </c>
      <c r="E10" s="14" t="str">
        <f t="shared" si="1"/>
        <v>OK</v>
      </c>
      <c r="F10" s="10" t="s">
        <v>198</v>
      </c>
      <c r="G10" s="10"/>
    </row>
    <row r="11" spans="1:7" ht="16.05" customHeight="1" x14ac:dyDescent="0.3">
      <c r="A11" s="12">
        <v>45901</v>
      </c>
      <c r="B11" s="18">
        <v>569448</v>
      </c>
      <c r="C11" s="18">
        <v>571710</v>
      </c>
      <c r="D11" s="19">
        <f t="shared" si="0"/>
        <v>3.9722678804737215E-3</v>
      </c>
      <c r="E11" s="14" t="str">
        <f t="shared" si="1"/>
        <v>OK</v>
      </c>
      <c r="F11" s="10" t="s">
        <v>198</v>
      </c>
      <c r="G11" s="10"/>
    </row>
    <row r="12" spans="1:7" ht="16.05" customHeight="1" x14ac:dyDescent="0.3">
      <c r="A12" s="12">
        <v>45931</v>
      </c>
      <c r="B12" s="18">
        <v>568762</v>
      </c>
      <c r="C12" s="18">
        <v>566953</v>
      </c>
      <c r="D12" s="19">
        <f t="shared" si="0"/>
        <v>-3.1805922336583668E-3</v>
      </c>
      <c r="E12" s="14" t="str">
        <f t="shared" si="1"/>
        <v>OK</v>
      </c>
      <c r="F12" s="10" t="s">
        <v>198</v>
      </c>
      <c r="G12" s="10"/>
    </row>
    <row r="13" spans="1:7" ht="16.05" customHeight="1" x14ac:dyDescent="0.3">
      <c r="A13" s="12">
        <v>45962</v>
      </c>
      <c r="B13" s="18">
        <v>561643</v>
      </c>
      <c r="C13" s="18">
        <v>571753</v>
      </c>
      <c r="D13" s="19">
        <f t="shared" si="0"/>
        <v>1.8000758488933361E-2</v>
      </c>
      <c r="E13" s="14" t="str">
        <f t="shared" si="1"/>
        <v>Investigar</v>
      </c>
      <c r="F13" s="10" t="s">
        <v>198</v>
      </c>
      <c r="G13" s="10" t="s">
        <v>423</v>
      </c>
    </row>
    <row r="14" spans="1:7" ht="16.05" customHeight="1" x14ac:dyDescent="0.3">
      <c r="A14" s="12">
        <v>45992</v>
      </c>
      <c r="B14" s="18">
        <v>582602</v>
      </c>
      <c r="C14" s="18">
        <v>585514</v>
      </c>
      <c r="D14" s="19">
        <f t="shared" si="0"/>
        <v>4.9982663979869623E-3</v>
      </c>
      <c r="E14" s="14" t="str">
        <f t="shared" si="1"/>
        <v>OK</v>
      </c>
      <c r="F14" s="10" t="s">
        <v>198</v>
      </c>
      <c r="G14" s="10"/>
    </row>
    <row r="15" spans="1:7" ht="16.05" customHeight="1" x14ac:dyDescent="0.3">
      <c r="A15" s="12">
        <v>46023</v>
      </c>
      <c r="B15" s="18">
        <v>567251</v>
      </c>
      <c r="C15" s="18">
        <v>566019</v>
      </c>
      <c r="D15" s="19">
        <f t="shared" si="0"/>
        <v>-2.1718780575089333E-3</v>
      </c>
      <c r="E15" s="14" t="str">
        <f t="shared" si="1"/>
        <v>OK</v>
      </c>
      <c r="F15" s="10" t="s">
        <v>198</v>
      </c>
      <c r="G15" s="10"/>
    </row>
    <row r="16" spans="1:7" ht="16.05" customHeight="1" x14ac:dyDescent="0.3">
      <c r="A16" s="12">
        <v>46054</v>
      </c>
      <c r="B16" s="18">
        <v>527749</v>
      </c>
      <c r="C16" s="18">
        <v>528326</v>
      </c>
      <c r="D16" s="19">
        <f t="shared" si="0"/>
        <v>1.0933227727575041E-3</v>
      </c>
      <c r="E16" s="14" t="str">
        <f t="shared" si="1"/>
        <v>OK</v>
      </c>
      <c r="F16" s="10" t="s">
        <v>198</v>
      </c>
      <c r="G16" s="10"/>
    </row>
    <row r="17" spans="1:7" ht="16.05" customHeight="1" x14ac:dyDescent="0.3">
      <c r="A17" s="12">
        <v>46082</v>
      </c>
      <c r="B17" s="18">
        <v>590162</v>
      </c>
      <c r="C17" s="18">
        <v>590684</v>
      </c>
      <c r="D17" s="19">
        <f t="shared" si="0"/>
        <v>8.8450289920394742E-4</v>
      </c>
      <c r="E17" s="14" t="str">
        <f t="shared" si="1"/>
        <v>OK</v>
      </c>
      <c r="F17" s="10" t="s">
        <v>198</v>
      </c>
      <c r="G17" s="10"/>
    </row>
    <row r="18" spans="1:7" ht="16.05" customHeight="1" x14ac:dyDescent="0.3">
      <c r="A18" s="12">
        <v>46113</v>
      </c>
      <c r="B18" s="18">
        <v>554352</v>
      </c>
      <c r="C18" s="18">
        <v>553542</v>
      </c>
      <c r="D18" s="19">
        <f t="shared" si="0"/>
        <v>-1.4611654688717638E-3</v>
      </c>
      <c r="E18" s="14" t="str">
        <f t="shared" si="1"/>
        <v>OK</v>
      </c>
      <c r="F18" s="10" t="s">
        <v>198</v>
      </c>
      <c r="G18" s="10"/>
    </row>
    <row r="19" spans="1:7" ht="16.05" customHeight="1" x14ac:dyDescent="0.3">
      <c r="A19" s="12">
        <v>46143</v>
      </c>
      <c r="B19" s="18">
        <v>588371</v>
      </c>
      <c r="C19" s="18">
        <v>588320</v>
      </c>
      <c r="D19" s="19">
        <f t="shared" si="0"/>
        <v>-8.6680002923325593E-5</v>
      </c>
      <c r="E19" s="14" t="str">
        <f t="shared" si="1"/>
        <v>OK</v>
      </c>
      <c r="F19" s="10" t="s">
        <v>198</v>
      </c>
      <c r="G19" s="10"/>
    </row>
    <row r="20" spans="1:7" ht="16.05" customHeight="1" x14ac:dyDescent="0.3">
      <c r="A20" s="12">
        <v>46174</v>
      </c>
      <c r="B20" s="18">
        <v>568979</v>
      </c>
      <c r="C20" s="18">
        <v>568794</v>
      </c>
      <c r="D20" s="19">
        <f t="shared" si="0"/>
        <v>-3.2514381022849699E-4</v>
      </c>
      <c r="E20" s="14" t="str">
        <f t="shared" si="1"/>
        <v>OK</v>
      </c>
      <c r="F20" s="10" t="s">
        <v>198</v>
      </c>
      <c r="G20" s="10"/>
    </row>
    <row r="21" spans="1:7" ht="16.05" customHeight="1" x14ac:dyDescent="0.3">
      <c r="A21" s="12">
        <v>46204</v>
      </c>
      <c r="B21" s="18">
        <v>727698</v>
      </c>
      <c r="C21" s="18">
        <v>729470</v>
      </c>
      <c r="D21" s="19">
        <f t="shared" si="0"/>
        <v>2.4350760892568072E-3</v>
      </c>
      <c r="E21" s="14" t="str">
        <f t="shared" si="1"/>
        <v>OK</v>
      </c>
      <c r="F21" s="10" t="s">
        <v>198</v>
      </c>
      <c r="G21" s="10"/>
    </row>
    <row r="22" spans="1:7" ht="16.05" customHeight="1" x14ac:dyDescent="0.3">
      <c r="A22" s="12">
        <v>46235</v>
      </c>
      <c r="B22" s="18">
        <v>804830</v>
      </c>
      <c r="C22" s="18">
        <v>808855</v>
      </c>
      <c r="D22" s="19">
        <f t="shared" si="0"/>
        <v>5.0010561236534428E-3</v>
      </c>
      <c r="E22" s="14" t="str">
        <f t="shared" si="1"/>
        <v>OK</v>
      </c>
      <c r="F22" s="10" t="s">
        <v>198</v>
      </c>
      <c r="G22" s="10"/>
    </row>
    <row r="23" spans="1:7" ht="16.05" customHeight="1" x14ac:dyDescent="0.3">
      <c r="A23" s="12">
        <v>46266</v>
      </c>
      <c r="B23" s="18">
        <v>736636</v>
      </c>
      <c r="C23" s="18">
        <v>734673</v>
      </c>
      <c r="D23" s="19">
        <f t="shared" si="0"/>
        <v>-2.6648168159036484E-3</v>
      </c>
      <c r="E23" s="14" t="str">
        <f t="shared" si="1"/>
        <v>OK</v>
      </c>
      <c r="F23" s="10" t="s">
        <v>198</v>
      </c>
      <c r="G23" s="10"/>
    </row>
    <row r="24" spans="1:7" ht="16.05" customHeight="1" x14ac:dyDescent="0.3">
      <c r="A24" s="12">
        <v>46296</v>
      </c>
      <c r="B24" s="18">
        <v>741703</v>
      </c>
      <c r="C24" s="18">
        <v>743301</v>
      </c>
      <c r="D24" s="19">
        <f t="shared" si="0"/>
        <v>2.1545011952223466E-3</v>
      </c>
      <c r="E24" s="14" t="str">
        <f t="shared" si="1"/>
        <v>OK</v>
      </c>
      <c r="F24" s="10" t="s">
        <v>198</v>
      </c>
      <c r="G24" s="10"/>
    </row>
    <row r="25" spans="1:7" ht="16.05" customHeight="1" x14ac:dyDescent="0.3">
      <c r="A25" s="12">
        <v>46327</v>
      </c>
      <c r="B25" s="18">
        <v>697661</v>
      </c>
      <c r="C25" s="18">
        <v>700859</v>
      </c>
      <c r="D25" s="19">
        <f t="shared" si="0"/>
        <v>4.5838881634490099E-3</v>
      </c>
      <c r="E25" s="14" t="str">
        <f t="shared" si="1"/>
        <v>OK</v>
      </c>
      <c r="F25" s="10" t="s">
        <v>198</v>
      </c>
      <c r="G25" s="10"/>
    </row>
    <row r="26" spans="1:7" ht="16.05" customHeight="1" x14ac:dyDescent="0.3">
      <c r="A26" s="12">
        <v>46357</v>
      </c>
      <c r="B26" s="18">
        <v>675973</v>
      </c>
      <c r="C26" s="18">
        <v>679027</v>
      </c>
      <c r="D26" s="19">
        <f t="shared" si="0"/>
        <v>4.5179319292338602E-3</v>
      </c>
      <c r="E26" s="14" t="str">
        <f t="shared" si="1"/>
        <v>OK</v>
      </c>
      <c r="F26" s="10" t="s">
        <v>198</v>
      </c>
      <c r="G26" s="10"/>
    </row>
  </sheetData>
  <conditionalFormatting sqref="E5:E226">
    <cfRule type="expression" dxfId="1" priority="1">
      <formula>ISNUMBER(SEARCH("Investigar",E5))</formula>
    </cfRule>
    <cfRule type="expression" dxfId="0" priority="2">
      <formula>ISNUMBER(SEARCH("OK",E5))</formula>
    </cfRule>
  </conditionalFormatting>
  <dataValidations count="1">
    <dataValidation type="list" allowBlank="1" showErrorMessage="1" errorTitle="Valor inválido" error="Valor fora da lista controlada (ver folha Listas)." sqref="F5:F226" xr:uid="{00000000-0002-0000-05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</cols>
  <sheetData>
    <row r="1" spans="1:3" x14ac:dyDescent="0.3">
      <c r="A1" s="20" t="s">
        <v>424</v>
      </c>
    </row>
    <row r="2" spans="1:3" x14ac:dyDescent="0.3">
      <c r="A2" s="21" t="s">
        <v>425</v>
      </c>
      <c r="B2" s="21" t="s">
        <v>426</v>
      </c>
      <c r="C2" s="21" t="s">
        <v>427</v>
      </c>
    </row>
    <row r="3" spans="1:3" x14ac:dyDescent="0.3">
      <c r="A3" s="22">
        <v>46387</v>
      </c>
      <c r="B3" s="6" t="s">
        <v>428</v>
      </c>
      <c r="C3" s="6" t="s">
        <v>97</v>
      </c>
    </row>
    <row r="4" spans="1:3" x14ac:dyDescent="0.3">
      <c r="B4" s="6" t="s">
        <v>429</v>
      </c>
      <c r="C4" s="6" t="s">
        <v>430</v>
      </c>
    </row>
    <row r="5" spans="1:3" ht="26.4" x14ac:dyDescent="0.3">
      <c r="B5" s="6" t="s">
        <v>169</v>
      </c>
      <c r="C5" s="6" t="s">
        <v>142</v>
      </c>
    </row>
    <row r="6" spans="1:3" x14ac:dyDescent="0.3">
      <c r="B6" s="6" t="s">
        <v>291</v>
      </c>
    </row>
    <row r="7" spans="1:3" x14ac:dyDescent="0.3">
      <c r="B7" s="6" t="s">
        <v>179</v>
      </c>
    </row>
    <row r="8" spans="1:3" x14ac:dyDescent="0.3">
      <c r="B8" s="6" t="s">
        <v>198</v>
      </c>
    </row>
    <row r="9" spans="1:3" x14ac:dyDescent="0.3">
      <c r="B9" s="6" t="s">
        <v>431</v>
      </c>
    </row>
    <row r="10" spans="1:3" x14ac:dyDescent="0.3">
      <c r="B10" s="6" t="s">
        <v>432</v>
      </c>
    </row>
    <row r="11" spans="1:3" x14ac:dyDescent="0.3">
      <c r="B11" s="6" t="s">
        <v>222</v>
      </c>
    </row>
    <row r="12" spans="1:3" x14ac:dyDescent="0.3">
      <c r="B12" s="6" t="s">
        <v>433</v>
      </c>
    </row>
    <row r="13" spans="1:3" x14ac:dyDescent="0.3">
      <c r="B13" s="6" t="s">
        <v>434</v>
      </c>
    </row>
    <row r="14" spans="1:3" x14ac:dyDescent="0.3">
      <c r="B14" s="6" t="s">
        <v>435</v>
      </c>
    </row>
    <row r="15" spans="1:3" x14ac:dyDescent="0.3">
      <c r="B15" s="6" t="s">
        <v>436</v>
      </c>
    </row>
    <row r="16" spans="1:3" x14ac:dyDescent="0.3">
      <c r="B16" s="6" t="s">
        <v>437</v>
      </c>
    </row>
    <row r="17" spans="2:2" x14ac:dyDescent="0.3">
      <c r="B17" s="6" t="s">
        <v>438</v>
      </c>
    </row>
    <row r="18" spans="2:2" x14ac:dyDescent="0.3">
      <c r="B18" s="6" t="s">
        <v>439</v>
      </c>
    </row>
    <row r="19" spans="2:2" x14ac:dyDescent="0.3">
      <c r="B19" s="6" t="s">
        <v>440</v>
      </c>
    </row>
    <row r="20" spans="2:2" x14ac:dyDescent="0.3">
      <c r="B20" s="6" t="s">
        <v>441</v>
      </c>
    </row>
    <row r="21" spans="2:2" x14ac:dyDescent="0.3">
      <c r="B21" s="6" t="s">
        <v>442</v>
      </c>
    </row>
    <row r="22" spans="2:2" x14ac:dyDescent="0.3">
      <c r="B22" s="6" t="s">
        <v>443</v>
      </c>
    </row>
    <row r="23" spans="2:2" x14ac:dyDescent="0.3">
      <c r="B23" s="6" t="s">
        <v>444</v>
      </c>
    </row>
    <row r="24" spans="2:2" x14ac:dyDescent="0.3">
      <c r="B24" s="6" t="s">
        <v>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446</v>
      </c>
      <c r="B1" s="8" t="s">
        <v>447</v>
      </c>
      <c r="C1" s="8" t="s">
        <v>448</v>
      </c>
      <c r="D1" s="8" t="s">
        <v>85</v>
      </c>
      <c r="E1" s="8" t="s">
        <v>449</v>
      </c>
      <c r="F1" s="8" t="s">
        <v>81</v>
      </c>
      <c r="G1" s="8" t="s">
        <v>450</v>
      </c>
      <c r="H1" s="8" t="s">
        <v>451</v>
      </c>
      <c r="I1" s="8" t="s">
        <v>452</v>
      </c>
    </row>
    <row r="2" spans="1:9" x14ac:dyDescent="0.3">
      <c r="A2" s="23" t="s">
        <v>42</v>
      </c>
      <c r="B2" s="23" t="s">
        <v>453</v>
      </c>
      <c r="C2" s="23" t="s">
        <v>80</v>
      </c>
      <c r="D2" s="23" t="s">
        <v>454</v>
      </c>
      <c r="E2" s="23" t="s">
        <v>455</v>
      </c>
      <c r="F2" s="23" t="s">
        <v>456</v>
      </c>
      <c r="G2" s="23"/>
      <c r="H2" s="23" t="s">
        <v>457</v>
      </c>
      <c r="I2" s="23" t="s">
        <v>458</v>
      </c>
    </row>
    <row r="3" spans="1:9" x14ac:dyDescent="0.3">
      <c r="A3" s="23" t="s">
        <v>42</v>
      </c>
      <c r="B3" s="23" t="s">
        <v>453</v>
      </c>
      <c r="C3" s="23" t="s">
        <v>81</v>
      </c>
      <c r="D3" s="23" t="s">
        <v>454</v>
      </c>
      <c r="E3" s="23" t="s">
        <v>455</v>
      </c>
      <c r="F3" s="23" t="s">
        <v>459</v>
      </c>
      <c r="G3" s="23"/>
      <c r="H3" s="23" t="s">
        <v>457</v>
      </c>
      <c r="I3" s="23"/>
    </row>
    <row r="4" spans="1:9" x14ac:dyDescent="0.3">
      <c r="A4" s="23" t="s">
        <v>42</v>
      </c>
      <c r="B4" s="23" t="s">
        <v>453</v>
      </c>
      <c r="C4" s="23" t="s">
        <v>82</v>
      </c>
      <c r="D4" s="23" t="s">
        <v>460</v>
      </c>
      <c r="E4" s="23" t="s">
        <v>455</v>
      </c>
      <c r="F4" s="23" t="s">
        <v>461</v>
      </c>
      <c r="G4" s="23"/>
      <c r="H4" s="23" t="s">
        <v>457</v>
      </c>
      <c r="I4" s="23"/>
    </row>
    <row r="5" spans="1:9" x14ac:dyDescent="0.3">
      <c r="A5" s="23" t="s">
        <v>42</v>
      </c>
      <c r="B5" s="23" t="s">
        <v>453</v>
      </c>
      <c r="C5" s="23" t="s">
        <v>83</v>
      </c>
      <c r="D5" s="23" t="s">
        <v>454</v>
      </c>
      <c r="E5" s="23" t="s">
        <v>455</v>
      </c>
      <c r="F5" s="23" t="s">
        <v>462</v>
      </c>
      <c r="G5" s="23"/>
      <c r="H5" s="23" t="s">
        <v>457</v>
      </c>
      <c r="I5" s="23"/>
    </row>
    <row r="6" spans="1:9" x14ac:dyDescent="0.3">
      <c r="A6" s="23" t="s">
        <v>42</v>
      </c>
      <c r="B6" s="23" t="s">
        <v>453</v>
      </c>
      <c r="C6" s="23" t="s">
        <v>84</v>
      </c>
      <c r="D6" s="23" t="s">
        <v>454</v>
      </c>
      <c r="E6" s="23" t="s">
        <v>455</v>
      </c>
      <c r="F6" s="23" t="s">
        <v>463</v>
      </c>
      <c r="G6" s="23"/>
      <c r="H6" s="23" t="s">
        <v>457</v>
      </c>
      <c r="I6" s="23"/>
    </row>
    <row r="7" spans="1:9" x14ac:dyDescent="0.3">
      <c r="A7" s="23" t="s">
        <v>42</v>
      </c>
      <c r="B7" s="23" t="s">
        <v>453</v>
      </c>
      <c r="C7" s="23" t="s">
        <v>85</v>
      </c>
      <c r="D7" s="23" t="s">
        <v>454</v>
      </c>
      <c r="E7" s="23" t="s">
        <v>455</v>
      </c>
      <c r="F7" s="23" t="s">
        <v>464</v>
      </c>
      <c r="G7" s="23"/>
      <c r="H7" s="23" t="s">
        <v>457</v>
      </c>
      <c r="I7" s="23"/>
    </row>
    <row r="8" spans="1:9" x14ac:dyDescent="0.3">
      <c r="A8" s="23" t="s">
        <v>42</v>
      </c>
      <c r="B8" s="23" t="s">
        <v>453</v>
      </c>
      <c r="C8" s="23" t="s">
        <v>86</v>
      </c>
      <c r="D8" s="23" t="s">
        <v>454</v>
      </c>
      <c r="E8" s="23" t="s">
        <v>455</v>
      </c>
      <c r="F8" s="23" t="s">
        <v>465</v>
      </c>
      <c r="G8" s="23"/>
      <c r="H8" s="23" t="s">
        <v>457</v>
      </c>
      <c r="I8" s="23"/>
    </row>
    <row r="9" spans="1:9" x14ac:dyDescent="0.3">
      <c r="A9" s="23" t="s">
        <v>42</v>
      </c>
      <c r="B9" s="23" t="s">
        <v>453</v>
      </c>
      <c r="C9" s="23" t="s">
        <v>14</v>
      </c>
      <c r="D9" s="23" t="s">
        <v>454</v>
      </c>
      <c r="E9" s="23" t="s">
        <v>455</v>
      </c>
      <c r="F9" s="23" t="s">
        <v>466</v>
      </c>
      <c r="G9" s="23" t="s">
        <v>467</v>
      </c>
      <c r="H9" s="23" t="s">
        <v>457</v>
      </c>
      <c r="I9" s="23"/>
    </row>
    <row r="10" spans="1:9" ht="26.4" x14ac:dyDescent="0.3">
      <c r="A10" s="23" t="s">
        <v>42</v>
      </c>
      <c r="B10" s="23" t="s">
        <v>453</v>
      </c>
      <c r="C10" s="23" t="s">
        <v>87</v>
      </c>
      <c r="D10" s="23" t="s">
        <v>468</v>
      </c>
      <c r="E10" s="23" t="s">
        <v>455</v>
      </c>
      <c r="F10" s="23" t="s">
        <v>469</v>
      </c>
      <c r="G10" s="23"/>
      <c r="H10" s="23" t="s">
        <v>457</v>
      </c>
      <c r="I10" s="23"/>
    </row>
    <row r="11" spans="1:9" ht="26.4" x14ac:dyDescent="0.3">
      <c r="A11" s="23" t="s">
        <v>42</v>
      </c>
      <c r="B11" s="23" t="s">
        <v>453</v>
      </c>
      <c r="C11" s="23" t="s">
        <v>88</v>
      </c>
      <c r="D11" s="23" t="s">
        <v>470</v>
      </c>
      <c r="E11" s="23" t="s">
        <v>455</v>
      </c>
      <c r="F11" s="23" t="s">
        <v>471</v>
      </c>
      <c r="G11" s="23"/>
      <c r="H11" s="23" t="s">
        <v>472</v>
      </c>
      <c r="I11" s="23"/>
    </row>
    <row r="12" spans="1:9" ht="39.6" x14ac:dyDescent="0.3">
      <c r="A12" s="23" t="s">
        <v>42</v>
      </c>
      <c r="B12" s="23" t="s">
        <v>453</v>
      </c>
      <c r="C12" s="23" t="s">
        <v>89</v>
      </c>
      <c r="D12" s="23" t="s">
        <v>454</v>
      </c>
      <c r="E12" s="23" t="s">
        <v>455</v>
      </c>
      <c r="F12" s="23" t="s">
        <v>473</v>
      </c>
      <c r="G12" s="23"/>
      <c r="H12" s="23" t="s">
        <v>457</v>
      </c>
      <c r="I12" s="23" t="s">
        <v>474</v>
      </c>
    </row>
    <row r="13" spans="1:9" x14ac:dyDescent="0.3">
      <c r="A13" s="23" t="s">
        <v>42</v>
      </c>
      <c r="B13" s="23" t="s">
        <v>453</v>
      </c>
      <c r="C13" s="23" t="s">
        <v>90</v>
      </c>
      <c r="D13" s="23" t="s">
        <v>454</v>
      </c>
      <c r="E13" s="23" t="s">
        <v>475</v>
      </c>
      <c r="F13" s="23" t="s">
        <v>476</v>
      </c>
      <c r="G13" s="23"/>
      <c r="H13" s="23" t="s">
        <v>457</v>
      </c>
      <c r="I13" s="23"/>
    </row>
    <row r="14" spans="1:9" x14ac:dyDescent="0.3">
      <c r="A14" s="23" t="s">
        <v>44</v>
      </c>
      <c r="B14" s="23" t="s">
        <v>477</v>
      </c>
      <c r="C14" s="23" t="s">
        <v>148</v>
      </c>
      <c r="D14" s="23" t="s">
        <v>454</v>
      </c>
      <c r="E14" s="23" t="s">
        <v>455</v>
      </c>
      <c r="F14" s="23" t="s">
        <v>478</v>
      </c>
      <c r="G14" s="23"/>
      <c r="H14" s="23" t="s">
        <v>457</v>
      </c>
      <c r="I14" s="23" t="s">
        <v>458</v>
      </c>
    </row>
    <row r="15" spans="1:9" x14ac:dyDescent="0.3">
      <c r="A15" s="23" t="s">
        <v>44</v>
      </c>
      <c r="B15" s="23" t="s">
        <v>477</v>
      </c>
      <c r="C15" s="23" t="s">
        <v>149</v>
      </c>
      <c r="D15" s="23" t="s">
        <v>454</v>
      </c>
      <c r="E15" s="23" t="s">
        <v>455</v>
      </c>
      <c r="F15" s="23" t="s">
        <v>479</v>
      </c>
      <c r="G15" s="23"/>
      <c r="H15" s="23" t="s">
        <v>457</v>
      </c>
      <c r="I15" s="23"/>
    </row>
    <row r="16" spans="1:9" x14ac:dyDescent="0.3">
      <c r="A16" s="23" t="s">
        <v>44</v>
      </c>
      <c r="B16" s="23" t="s">
        <v>477</v>
      </c>
      <c r="C16" s="23" t="s">
        <v>150</v>
      </c>
      <c r="D16" s="23" t="s">
        <v>454</v>
      </c>
      <c r="E16" s="23" t="s">
        <v>455</v>
      </c>
      <c r="F16" s="23" t="s">
        <v>480</v>
      </c>
      <c r="G16" s="23"/>
      <c r="H16" s="23" t="s">
        <v>457</v>
      </c>
      <c r="I16" s="23"/>
    </row>
    <row r="17" spans="1:9" x14ac:dyDescent="0.3">
      <c r="A17" s="23" t="s">
        <v>44</v>
      </c>
      <c r="B17" s="23" t="s">
        <v>477</v>
      </c>
      <c r="C17" s="23" t="s">
        <v>151</v>
      </c>
      <c r="D17" s="23" t="s">
        <v>454</v>
      </c>
      <c r="E17" s="23" t="s">
        <v>455</v>
      </c>
      <c r="F17" s="23" t="s">
        <v>481</v>
      </c>
      <c r="G17" s="23"/>
      <c r="H17" s="23" t="s">
        <v>457</v>
      </c>
      <c r="I17" s="23"/>
    </row>
    <row r="18" spans="1:9" x14ac:dyDescent="0.3">
      <c r="A18" s="23" t="s">
        <v>44</v>
      </c>
      <c r="B18" s="23" t="s">
        <v>477</v>
      </c>
      <c r="C18" s="23" t="s">
        <v>152</v>
      </c>
      <c r="D18" s="23" t="s">
        <v>454</v>
      </c>
      <c r="E18" s="23" t="s">
        <v>455</v>
      </c>
      <c r="F18" s="23" t="s">
        <v>482</v>
      </c>
      <c r="G18" s="23"/>
      <c r="H18" s="23" t="s">
        <v>457</v>
      </c>
      <c r="I18" s="23"/>
    </row>
    <row r="19" spans="1:9" x14ac:dyDescent="0.3">
      <c r="A19" s="23" t="s">
        <v>44</v>
      </c>
      <c r="B19" s="23" t="s">
        <v>477</v>
      </c>
      <c r="C19" s="23" t="s">
        <v>153</v>
      </c>
      <c r="D19" s="23" t="s">
        <v>454</v>
      </c>
      <c r="E19" s="23" t="s">
        <v>455</v>
      </c>
      <c r="F19" s="23" t="s">
        <v>483</v>
      </c>
      <c r="G19" s="23"/>
      <c r="H19" s="23" t="s">
        <v>457</v>
      </c>
      <c r="I19" s="23"/>
    </row>
    <row r="20" spans="1:9" x14ac:dyDescent="0.3">
      <c r="A20" s="23" t="s">
        <v>44</v>
      </c>
      <c r="B20" s="23" t="s">
        <v>477</v>
      </c>
      <c r="C20" s="23" t="s">
        <v>154</v>
      </c>
      <c r="D20" s="23" t="s">
        <v>454</v>
      </c>
      <c r="E20" s="23" t="s">
        <v>455</v>
      </c>
      <c r="F20" s="23" t="s">
        <v>484</v>
      </c>
      <c r="G20" s="23"/>
      <c r="H20" s="23" t="s">
        <v>457</v>
      </c>
      <c r="I20" s="23"/>
    </row>
    <row r="21" spans="1:9" x14ac:dyDescent="0.3">
      <c r="A21" s="23" t="s">
        <v>44</v>
      </c>
      <c r="B21" s="23" t="s">
        <v>477</v>
      </c>
      <c r="C21" s="23" t="s">
        <v>155</v>
      </c>
      <c r="D21" s="23" t="s">
        <v>454</v>
      </c>
      <c r="E21" s="23" t="s">
        <v>455</v>
      </c>
      <c r="F21" s="23" t="s">
        <v>485</v>
      </c>
      <c r="G21" s="23"/>
      <c r="H21" s="23" t="s">
        <v>457</v>
      </c>
      <c r="I21" s="23"/>
    </row>
    <row r="22" spans="1:9" x14ac:dyDescent="0.3">
      <c r="A22" s="23" t="s">
        <v>44</v>
      </c>
      <c r="B22" s="23" t="s">
        <v>477</v>
      </c>
      <c r="C22" s="23" t="s">
        <v>156</v>
      </c>
      <c r="D22" s="23" t="s">
        <v>454</v>
      </c>
      <c r="E22" s="23" t="s">
        <v>455</v>
      </c>
      <c r="F22" s="23" t="s">
        <v>486</v>
      </c>
      <c r="G22" s="23"/>
      <c r="H22" s="23" t="s">
        <v>457</v>
      </c>
      <c r="I22" s="23"/>
    </row>
    <row r="23" spans="1:9" x14ac:dyDescent="0.3">
      <c r="A23" s="23" t="s">
        <v>44</v>
      </c>
      <c r="B23" s="23" t="s">
        <v>477</v>
      </c>
      <c r="C23" s="23" t="s">
        <v>157</v>
      </c>
      <c r="D23" s="23" t="s">
        <v>454</v>
      </c>
      <c r="E23" s="23" t="s">
        <v>455</v>
      </c>
      <c r="F23" s="23" t="s">
        <v>487</v>
      </c>
      <c r="G23" s="23" t="s">
        <v>488</v>
      </c>
      <c r="H23" s="23" t="s">
        <v>457</v>
      </c>
      <c r="I23" s="23"/>
    </row>
    <row r="24" spans="1:9" x14ac:dyDescent="0.3">
      <c r="A24" s="23" t="s">
        <v>44</v>
      </c>
      <c r="B24" s="23" t="s">
        <v>477</v>
      </c>
      <c r="C24" s="23" t="s">
        <v>158</v>
      </c>
      <c r="D24" s="23" t="s">
        <v>454</v>
      </c>
      <c r="E24" s="23" t="s">
        <v>455</v>
      </c>
      <c r="F24" s="23" t="s">
        <v>489</v>
      </c>
      <c r="G24" s="23"/>
      <c r="H24" s="23" t="s">
        <v>457</v>
      </c>
      <c r="I24" s="23"/>
    </row>
    <row r="25" spans="1:9" x14ac:dyDescent="0.3">
      <c r="A25" s="23" t="s">
        <v>44</v>
      </c>
      <c r="B25" s="23" t="s">
        <v>477</v>
      </c>
      <c r="C25" s="23" t="s">
        <v>159</v>
      </c>
      <c r="D25" s="23" t="s">
        <v>454</v>
      </c>
      <c r="E25" s="23" t="s">
        <v>455</v>
      </c>
      <c r="F25" s="23" t="s">
        <v>490</v>
      </c>
      <c r="G25" s="23"/>
      <c r="H25" s="23" t="s">
        <v>457</v>
      </c>
      <c r="I25" s="23"/>
    </row>
    <row r="26" spans="1:9" x14ac:dyDescent="0.3">
      <c r="A26" s="23" t="s">
        <v>46</v>
      </c>
      <c r="B26" s="23" t="s">
        <v>491</v>
      </c>
      <c r="C26" s="23" t="s">
        <v>262</v>
      </c>
      <c r="D26" s="23" t="s">
        <v>454</v>
      </c>
      <c r="E26" s="23" t="s">
        <v>455</v>
      </c>
      <c r="F26" s="23" t="s">
        <v>492</v>
      </c>
      <c r="G26" s="23"/>
      <c r="H26" s="23" t="s">
        <v>457</v>
      </c>
      <c r="I26" s="23" t="s">
        <v>458</v>
      </c>
    </row>
    <row r="27" spans="1:9" x14ac:dyDescent="0.3">
      <c r="A27" s="23" t="s">
        <v>46</v>
      </c>
      <c r="B27" s="23" t="s">
        <v>491</v>
      </c>
      <c r="C27" s="23" t="s">
        <v>263</v>
      </c>
      <c r="D27" s="23" t="s">
        <v>454</v>
      </c>
      <c r="E27" s="23" t="s">
        <v>455</v>
      </c>
      <c r="F27" s="23" t="s">
        <v>493</v>
      </c>
      <c r="G27" s="23"/>
      <c r="H27" s="23" t="s">
        <v>457</v>
      </c>
      <c r="I27" s="23"/>
    </row>
    <row r="28" spans="1:9" x14ac:dyDescent="0.3">
      <c r="A28" s="23" t="s">
        <v>46</v>
      </c>
      <c r="B28" s="23" t="s">
        <v>491</v>
      </c>
      <c r="C28" s="23" t="s">
        <v>264</v>
      </c>
      <c r="D28" s="23" t="s">
        <v>454</v>
      </c>
      <c r="E28" s="23" t="s">
        <v>455</v>
      </c>
      <c r="F28" s="23" t="s">
        <v>494</v>
      </c>
      <c r="G28" s="23"/>
      <c r="H28" s="23" t="s">
        <v>457</v>
      </c>
      <c r="I28" s="23"/>
    </row>
    <row r="29" spans="1:9" x14ac:dyDescent="0.3">
      <c r="A29" s="23" t="s">
        <v>46</v>
      </c>
      <c r="B29" s="23" t="s">
        <v>491</v>
      </c>
      <c r="C29" s="23" t="s">
        <v>85</v>
      </c>
      <c r="D29" s="23" t="s">
        <v>454</v>
      </c>
      <c r="E29" s="23" t="s">
        <v>455</v>
      </c>
      <c r="F29" s="23" t="s">
        <v>495</v>
      </c>
      <c r="G29" s="23"/>
      <c r="H29" s="23" t="s">
        <v>457</v>
      </c>
      <c r="I29" s="23"/>
    </row>
    <row r="30" spans="1:9" x14ac:dyDescent="0.3">
      <c r="A30" s="23" t="s">
        <v>46</v>
      </c>
      <c r="B30" s="23" t="s">
        <v>491</v>
      </c>
      <c r="C30" s="23" t="s">
        <v>265</v>
      </c>
      <c r="D30" s="23" t="s">
        <v>454</v>
      </c>
      <c r="E30" s="23" t="s">
        <v>455</v>
      </c>
      <c r="F30" s="23" t="s">
        <v>496</v>
      </c>
      <c r="G30" s="23"/>
      <c r="H30" s="23" t="s">
        <v>457</v>
      </c>
      <c r="I30" s="23"/>
    </row>
    <row r="31" spans="1:9" ht="39.6" x14ac:dyDescent="0.3">
      <c r="A31" s="23" t="s">
        <v>46</v>
      </c>
      <c r="B31" s="23" t="s">
        <v>491</v>
      </c>
      <c r="C31" s="23" t="s">
        <v>266</v>
      </c>
      <c r="D31" s="23" t="s">
        <v>454</v>
      </c>
      <c r="E31" s="23" t="s">
        <v>455</v>
      </c>
      <c r="F31" s="23" t="s">
        <v>497</v>
      </c>
      <c r="G31" s="23"/>
      <c r="H31" s="23" t="s">
        <v>457</v>
      </c>
      <c r="I31" s="23" t="s">
        <v>474</v>
      </c>
    </row>
    <row r="32" spans="1:9" x14ac:dyDescent="0.3">
      <c r="A32" s="23" t="s">
        <v>46</v>
      </c>
      <c r="B32" s="23" t="s">
        <v>491</v>
      </c>
      <c r="C32" s="23" t="s">
        <v>267</v>
      </c>
      <c r="D32" s="23" t="s">
        <v>454</v>
      </c>
      <c r="E32" s="23" t="s">
        <v>455</v>
      </c>
      <c r="F32" s="23" t="s">
        <v>498</v>
      </c>
      <c r="G32" s="23"/>
      <c r="H32" s="23" t="s">
        <v>457</v>
      </c>
      <c r="I32" s="23"/>
    </row>
    <row r="33" spans="1:9" x14ac:dyDescent="0.3">
      <c r="A33" s="23" t="s">
        <v>46</v>
      </c>
      <c r="B33" s="23" t="s">
        <v>491</v>
      </c>
      <c r="C33" s="23" t="s">
        <v>268</v>
      </c>
      <c r="D33" s="23" t="s">
        <v>454</v>
      </c>
      <c r="E33" s="23" t="s">
        <v>455</v>
      </c>
      <c r="F33" s="23" t="s">
        <v>487</v>
      </c>
      <c r="G33" s="23" t="s">
        <v>488</v>
      </c>
      <c r="H33" s="23" t="s">
        <v>457</v>
      </c>
      <c r="I33" s="23"/>
    </row>
    <row r="34" spans="1:9" ht="39.6" x14ac:dyDescent="0.3">
      <c r="A34" s="23" t="s">
        <v>46</v>
      </c>
      <c r="B34" s="23" t="s">
        <v>491</v>
      </c>
      <c r="C34" s="23" t="s">
        <v>269</v>
      </c>
      <c r="D34" s="23" t="s">
        <v>454</v>
      </c>
      <c r="E34" s="23" t="s">
        <v>455</v>
      </c>
      <c r="F34" s="23" t="s">
        <v>499</v>
      </c>
      <c r="G34" s="23"/>
      <c r="H34" s="23" t="s">
        <v>472</v>
      </c>
      <c r="I34" s="23" t="s">
        <v>500</v>
      </c>
    </row>
    <row r="35" spans="1:9" x14ac:dyDescent="0.3">
      <c r="A35" s="23" t="s">
        <v>46</v>
      </c>
      <c r="B35" s="23" t="s">
        <v>491</v>
      </c>
      <c r="C35" s="23" t="s">
        <v>270</v>
      </c>
      <c r="D35" s="23" t="s">
        <v>454</v>
      </c>
      <c r="E35" s="23" t="s">
        <v>455</v>
      </c>
      <c r="F35" s="23" t="s">
        <v>501</v>
      </c>
      <c r="G35" s="23"/>
      <c r="H35" s="23" t="s">
        <v>457</v>
      </c>
      <c r="I35" s="23"/>
    </row>
    <row r="36" spans="1:9" x14ac:dyDescent="0.3">
      <c r="A36" s="23" t="s">
        <v>46</v>
      </c>
      <c r="B36" s="23" t="s">
        <v>491</v>
      </c>
      <c r="C36" s="23" t="s">
        <v>271</v>
      </c>
      <c r="D36" s="23" t="s">
        <v>454</v>
      </c>
      <c r="E36" s="23" t="s">
        <v>455</v>
      </c>
      <c r="F36" s="23" t="s">
        <v>502</v>
      </c>
      <c r="G36" s="23"/>
      <c r="H36" s="23" t="s">
        <v>457</v>
      </c>
      <c r="I36" s="23"/>
    </row>
    <row r="37" spans="1:9" x14ac:dyDescent="0.3">
      <c r="A37" s="23" t="s">
        <v>46</v>
      </c>
      <c r="B37" s="23" t="s">
        <v>491</v>
      </c>
      <c r="C37" s="23" t="s">
        <v>151</v>
      </c>
      <c r="D37" s="23" t="s">
        <v>454</v>
      </c>
      <c r="E37" s="23" t="s">
        <v>455</v>
      </c>
      <c r="F37" s="23" t="s">
        <v>503</v>
      </c>
      <c r="G37" s="23"/>
      <c r="H37" s="23" t="s">
        <v>457</v>
      </c>
      <c r="I37" s="23"/>
    </row>
    <row r="38" spans="1:9" x14ac:dyDescent="0.3">
      <c r="A38" s="23" t="s">
        <v>46</v>
      </c>
      <c r="B38" s="23" t="s">
        <v>491</v>
      </c>
      <c r="C38" s="23" t="s">
        <v>272</v>
      </c>
      <c r="D38" s="23" t="s">
        <v>454</v>
      </c>
      <c r="E38" s="23" t="s">
        <v>455</v>
      </c>
      <c r="F38" s="23" t="s">
        <v>504</v>
      </c>
      <c r="G38" s="23"/>
      <c r="H38" s="23" t="s">
        <v>457</v>
      </c>
      <c r="I38" s="23"/>
    </row>
    <row r="39" spans="1:9" x14ac:dyDescent="0.3">
      <c r="A39" s="23" t="s">
        <v>46</v>
      </c>
      <c r="B39" s="23" t="s">
        <v>491</v>
      </c>
      <c r="C39" s="23" t="s">
        <v>273</v>
      </c>
      <c r="D39" s="23" t="s">
        <v>454</v>
      </c>
      <c r="E39" s="23" t="s">
        <v>455</v>
      </c>
      <c r="F39" s="23" t="s">
        <v>505</v>
      </c>
      <c r="G39" s="23"/>
      <c r="H39" s="23" t="s">
        <v>457</v>
      </c>
      <c r="I39" s="23"/>
    </row>
    <row r="40" spans="1:9" x14ac:dyDescent="0.3">
      <c r="A40" s="23" t="s">
        <v>48</v>
      </c>
      <c r="B40" s="23" t="s">
        <v>506</v>
      </c>
      <c r="C40" s="23" t="s">
        <v>89</v>
      </c>
      <c r="D40" s="23" t="s">
        <v>454</v>
      </c>
      <c r="E40" s="23" t="s">
        <v>455</v>
      </c>
      <c r="F40" s="23" t="s">
        <v>507</v>
      </c>
      <c r="G40" s="23"/>
      <c r="H40" s="23" t="s">
        <v>457</v>
      </c>
      <c r="I40" s="23" t="s">
        <v>458</v>
      </c>
    </row>
    <row r="41" spans="1:9" x14ac:dyDescent="0.3">
      <c r="A41" s="23" t="s">
        <v>48</v>
      </c>
      <c r="B41" s="23" t="s">
        <v>506</v>
      </c>
      <c r="C41" s="23" t="s">
        <v>364</v>
      </c>
      <c r="D41" s="23" t="s">
        <v>454</v>
      </c>
      <c r="E41" s="23" t="s">
        <v>455</v>
      </c>
      <c r="F41" s="23" t="s">
        <v>508</v>
      </c>
      <c r="G41" s="23"/>
      <c r="H41" s="23" t="s">
        <v>457</v>
      </c>
      <c r="I41" s="23"/>
    </row>
    <row r="42" spans="1:9" x14ac:dyDescent="0.3">
      <c r="A42" s="23" t="s">
        <v>48</v>
      </c>
      <c r="B42" s="23" t="s">
        <v>506</v>
      </c>
      <c r="C42" s="23" t="s">
        <v>365</v>
      </c>
      <c r="D42" s="23" t="s">
        <v>454</v>
      </c>
      <c r="E42" s="23" t="s">
        <v>455</v>
      </c>
      <c r="F42" s="23" t="s">
        <v>509</v>
      </c>
      <c r="G42" s="23"/>
      <c r="H42" s="23" t="s">
        <v>457</v>
      </c>
      <c r="I42" s="23"/>
    </row>
    <row r="43" spans="1:9" x14ac:dyDescent="0.3">
      <c r="A43" s="23" t="s">
        <v>48</v>
      </c>
      <c r="B43" s="23" t="s">
        <v>506</v>
      </c>
      <c r="C43" s="23" t="s">
        <v>366</v>
      </c>
      <c r="D43" s="23" t="s">
        <v>454</v>
      </c>
      <c r="E43" s="23" t="s">
        <v>455</v>
      </c>
      <c r="F43" s="23" t="s">
        <v>510</v>
      </c>
      <c r="G43" s="23"/>
      <c r="H43" s="23" t="s">
        <v>457</v>
      </c>
      <c r="I43" s="23"/>
    </row>
    <row r="44" spans="1:9" ht="26.4" x14ac:dyDescent="0.3">
      <c r="A44" s="23" t="s">
        <v>48</v>
      </c>
      <c r="B44" s="23" t="s">
        <v>506</v>
      </c>
      <c r="C44" s="23" t="s">
        <v>367</v>
      </c>
      <c r="D44" s="23" t="s">
        <v>468</v>
      </c>
      <c r="E44" s="23" t="s">
        <v>455</v>
      </c>
      <c r="F44" s="23" t="s">
        <v>511</v>
      </c>
      <c r="G44" s="23"/>
      <c r="H44" s="23" t="s">
        <v>472</v>
      </c>
      <c r="I44" s="23"/>
    </row>
    <row r="45" spans="1:9" x14ac:dyDescent="0.3">
      <c r="A45" s="23" t="s">
        <v>48</v>
      </c>
      <c r="B45" s="23" t="s">
        <v>506</v>
      </c>
      <c r="C45" s="23" t="s">
        <v>368</v>
      </c>
      <c r="D45" s="23" t="s">
        <v>460</v>
      </c>
      <c r="E45" s="23" t="s">
        <v>455</v>
      </c>
      <c r="F45" s="23" t="s">
        <v>512</v>
      </c>
      <c r="G45" s="23"/>
      <c r="H45" s="23" t="s">
        <v>457</v>
      </c>
      <c r="I45" s="23"/>
    </row>
    <row r="46" spans="1:9" x14ac:dyDescent="0.3">
      <c r="A46" s="23" t="s">
        <v>48</v>
      </c>
      <c r="B46" s="23" t="s">
        <v>506</v>
      </c>
      <c r="C46" s="23" t="s">
        <v>369</v>
      </c>
      <c r="D46" s="23" t="s">
        <v>454</v>
      </c>
      <c r="E46" s="23" t="s">
        <v>455</v>
      </c>
      <c r="F46" s="23" t="s">
        <v>513</v>
      </c>
      <c r="G46" s="23"/>
      <c r="H46" s="23" t="s">
        <v>457</v>
      </c>
      <c r="I46" s="23"/>
    </row>
    <row r="47" spans="1:9" x14ac:dyDescent="0.3">
      <c r="A47" s="23" t="s">
        <v>48</v>
      </c>
      <c r="B47" s="23" t="s">
        <v>506</v>
      </c>
      <c r="C47" s="23" t="s">
        <v>370</v>
      </c>
      <c r="D47" s="23" t="s">
        <v>454</v>
      </c>
      <c r="E47" s="23" t="s">
        <v>455</v>
      </c>
      <c r="F47" s="23" t="s">
        <v>514</v>
      </c>
      <c r="G47" s="23"/>
      <c r="H47" s="23" t="s">
        <v>457</v>
      </c>
      <c r="I47" s="23"/>
    </row>
    <row r="48" spans="1:9" ht="26.4" x14ac:dyDescent="0.3">
      <c r="A48" s="23" t="s">
        <v>48</v>
      </c>
      <c r="B48" s="23" t="s">
        <v>506</v>
      </c>
      <c r="C48" s="23" t="s">
        <v>371</v>
      </c>
      <c r="D48" s="23" t="s">
        <v>468</v>
      </c>
      <c r="E48" s="23" t="s">
        <v>475</v>
      </c>
      <c r="F48" s="23" t="s">
        <v>515</v>
      </c>
      <c r="G48" s="23"/>
      <c r="H48" s="23" t="s">
        <v>457</v>
      </c>
      <c r="I48" s="23"/>
    </row>
    <row r="49" spans="1:9" x14ac:dyDescent="0.3">
      <c r="A49" s="23" t="s">
        <v>48</v>
      </c>
      <c r="B49" s="23" t="s">
        <v>506</v>
      </c>
      <c r="C49" s="23" t="s">
        <v>14</v>
      </c>
      <c r="D49" s="23" t="s">
        <v>454</v>
      </c>
      <c r="E49" s="23" t="s">
        <v>475</v>
      </c>
      <c r="F49" s="23" t="s">
        <v>466</v>
      </c>
      <c r="G49" s="23"/>
      <c r="H49" s="23" t="s">
        <v>457</v>
      </c>
      <c r="I49" s="23"/>
    </row>
    <row r="50" spans="1:9" x14ac:dyDescent="0.3">
      <c r="A50" s="23" t="s">
        <v>48</v>
      </c>
      <c r="B50" s="23" t="s">
        <v>506</v>
      </c>
      <c r="C50" s="23" t="s">
        <v>86</v>
      </c>
      <c r="D50" s="23" t="s">
        <v>454</v>
      </c>
      <c r="E50" s="23" t="s">
        <v>455</v>
      </c>
      <c r="F50" s="23" t="s">
        <v>516</v>
      </c>
      <c r="G50" s="23"/>
      <c r="H50" s="23" t="s">
        <v>457</v>
      </c>
      <c r="I50" s="23"/>
    </row>
    <row r="51" spans="1:9" x14ac:dyDescent="0.3">
      <c r="A51" s="23" t="s">
        <v>48</v>
      </c>
      <c r="B51" s="23" t="s">
        <v>506</v>
      </c>
      <c r="C51" s="23" t="s">
        <v>372</v>
      </c>
      <c r="D51" s="23" t="s">
        <v>454</v>
      </c>
      <c r="E51" s="23" t="s">
        <v>455</v>
      </c>
      <c r="F51" s="23" t="s">
        <v>517</v>
      </c>
      <c r="G51" s="23"/>
      <c r="H51" s="23" t="s">
        <v>457</v>
      </c>
      <c r="I51" s="23"/>
    </row>
    <row r="52" spans="1:9" x14ac:dyDescent="0.3">
      <c r="A52" s="23" t="s">
        <v>48</v>
      </c>
      <c r="B52" s="23" t="s">
        <v>506</v>
      </c>
      <c r="C52" s="23" t="s">
        <v>373</v>
      </c>
      <c r="D52" s="23" t="s">
        <v>454</v>
      </c>
      <c r="E52" s="23" t="s">
        <v>455</v>
      </c>
      <c r="F52" s="23" t="s">
        <v>518</v>
      </c>
      <c r="G52" s="23"/>
      <c r="H52" s="23" t="s">
        <v>457</v>
      </c>
      <c r="I52" s="23"/>
    </row>
    <row r="53" spans="1:9" x14ac:dyDescent="0.3">
      <c r="A53" s="23" t="s">
        <v>48</v>
      </c>
      <c r="B53" s="23" t="s">
        <v>506</v>
      </c>
      <c r="C53" s="23" t="s">
        <v>374</v>
      </c>
      <c r="D53" s="23" t="s">
        <v>454</v>
      </c>
      <c r="E53" s="23" t="s">
        <v>455</v>
      </c>
      <c r="F53" s="23" t="s">
        <v>519</v>
      </c>
      <c r="G53" s="23"/>
      <c r="H53" s="23" t="s">
        <v>457</v>
      </c>
      <c r="I53" s="23"/>
    </row>
    <row r="54" spans="1:9" ht="26.4" x14ac:dyDescent="0.3">
      <c r="A54" s="23" t="s">
        <v>50</v>
      </c>
      <c r="B54" s="23" t="s">
        <v>520</v>
      </c>
      <c r="C54" s="23" t="s">
        <v>416</v>
      </c>
      <c r="D54" s="23" t="s">
        <v>468</v>
      </c>
      <c r="E54" s="23" t="s">
        <v>455</v>
      </c>
      <c r="F54" s="23" t="s">
        <v>521</v>
      </c>
      <c r="G54" s="23"/>
      <c r="H54" s="23" t="s">
        <v>457</v>
      </c>
      <c r="I54" s="23" t="s">
        <v>458</v>
      </c>
    </row>
    <row r="55" spans="1:9" x14ac:dyDescent="0.3">
      <c r="A55" s="23" t="s">
        <v>50</v>
      </c>
      <c r="B55" s="23" t="s">
        <v>520</v>
      </c>
      <c r="C55" s="23" t="s">
        <v>417</v>
      </c>
      <c r="D55" s="23" t="s">
        <v>522</v>
      </c>
      <c r="E55" s="23" t="s">
        <v>455</v>
      </c>
      <c r="F55" s="23" t="s">
        <v>523</v>
      </c>
      <c r="G55" s="23"/>
      <c r="H55" s="23" t="s">
        <v>457</v>
      </c>
      <c r="I55" s="23"/>
    </row>
    <row r="56" spans="1:9" x14ac:dyDescent="0.3">
      <c r="A56" s="23" t="s">
        <v>50</v>
      </c>
      <c r="B56" s="23" t="s">
        <v>520</v>
      </c>
      <c r="C56" s="23" t="s">
        <v>418</v>
      </c>
      <c r="D56" s="23" t="s">
        <v>522</v>
      </c>
      <c r="E56" s="23" t="s">
        <v>455</v>
      </c>
      <c r="F56" s="23" t="s">
        <v>524</v>
      </c>
      <c r="G56" s="23"/>
      <c r="H56" s="23" t="s">
        <v>457</v>
      </c>
      <c r="I56" s="23"/>
    </row>
    <row r="57" spans="1:9" ht="26.4" x14ac:dyDescent="0.3">
      <c r="A57" s="23" t="s">
        <v>50</v>
      </c>
      <c r="B57" s="23" t="s">
        <v>520</v>
      </c>
      <c r="C57" s="23" t="s">
        <v>419</v>
      </c>
      <c r="D57" s="23" t="s">
        <v>470</v>
      </c>
      <c r="E57" s="23" t="s">
        <v>475</v>
      </c>
      <c r="F57" s="23" t="s">
        <v>525</v>
      </c>
      <c r="G57" s="23"/>
      <c r="H57" s="23" t="s">
        <v>457</v>
      </c>
      <c r="I57" s="23"/>
    </row>
    <row r="58" spans="1:9" x14ac:dyDescent="0.3">
      <c r="A58" s="23" t="s">
        <v>50</v>
      </c>
      <c r="B58" s="23" t="s">
        <v>520</v>
      </c>
      <c r="C58" s="23" t="s">
        <v>420</v>
      </c>
      <c r="D58" s="23" t="s">
        <v>454</v>
      </c>
      <c r="E58" s="23" t="s">
        <v>475</v>
      </c>
      <c r="F58" s="23" t="s">
        <v>526</v>
      </c>
      <c r="G58" s="23"/>
      <c r="H58" s="23" t="s">
        <v>457</v>
      </c>
      <c r="I58" s="23"/>
    </row>
    <row r="59" spans="1:9" x14ac:dyDescent="0.3">
      <c r="A59" s="23" t="s">
        <v>50</v>
      </c>
      <c r="B59" s="23" t="s">
        <v>520</v>
      </c>
      <c r="C59" s="23" t="s">
        <v>421</v>
      </c>
      <c r="D59" s="23" t="s">
        <v>454</v>
      </c>
      <c r="E59" s="23" t="s">
        <v>455</v>
      </c>
      <c r="F59" s="23" t="s">
        <v>527</v>
      </c>
      <c r="G59" s="23" t="s">
        <v>488</v>
      </c>
      <c r="H59" s="23" t="s">
        <v>457</v>
      </c>
      <c r="I59" s="23"/>
    </row>
    <row r="60" spans="1:9" x14ac:dyDescent="0.3">
      <c r="A60" s="23" t="s">
        <v>50</v>
      </c>
      <c r="B60" s="23" t="s">
        <v>520</v>
      </c>
      <c r="C60" s="23" t="s">
        <v>422</v>
      </c>
      <c r="D60" s="23" t="s">
        <v>454</v>
      </c>
      <c r="E60" s="23" t="s">
        <v>455</v>
      </c>
      <c r="F60" s="23" t="s">
        <v>528</v>
      </c>
      <c r="G60" s="23"/>
      <c r="H60" s="23" t="s">
        <v>472</v>
      </c>
      <c r="I60" s="2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9</vt:i4>
      </vt:variant>
    </vt:vector>
  </HeadingPairs>
  <TitlesOfParts>
    <vt:vector size="17" baseType="lpstr">
      <vt:lpstr>00_LEIA-ME</vt:lpstr>
      <vt:lpstr>Arvore_Contadores</vt:lpstr>
      <vt:lpstr>Plano_Recolha_Dados</vt:lpstr>
      <vt:lpstr>Plano_Monitorizacao</vt:lpstr>
      <vt:lpstr>Equipamentos_Medicao</vt:lpstr>
      <vt:lpstr>Reconciliacao_Mensal</vt:lpstr>
      <vt:lpstr>Listas</vt:lpstr>
      <vt:lpstr>Dicionario_Dados</vt:lpstr>
      <vt:lpstr>DataRef</vt:lpstr>
      <vt:lpstr>lst_DataReferencia</vt:lpstr>
      <vt:lpstr>lst_EstadoCont</vt:lpstr>
      <vt:lpstr>lst_Funcao</vt:lpstr>
      <vt:lpstr>Arvore_Contadores!Títulos_de_Impressão</vt:lpstr>
      <vt:lpstr>Equipamentos_Medicao!Títulos_de_Impressão</vt:lpstr>
      <vt:lpstr>Plano_Monitorizacao!Títulos_de_Impressão</vt:lpstr>
      <vt:lpstr>Plano_Recolha_Dados!Títulos_de_Impressão</vt:lpstr>
      <vt:lpstr>Reconciliacao_Mensal!Títulos_de_Impressão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RG-SGE-06 Recolha de Dados Energéticos, Medição e Monitorização</dc:title>
  <dc:subject>SGE NP EN ISO 50001:2019 (ISO 50001:2018 + Amd 1:2024) — Plasticom</dc:subject>
  <dc:creator>Gestor(a) de Energia</dc:creator>
  <cp:lastModifiedBy>Aline Meireles</cp:lastModifiedBy>
  <dcterms:created xsi:type="dcterms:W3CDTF">2026-09-30T13:11:42Z</dcterms:created>
  <dcterms:modified xsi:type="dcterms:W3CDTF">2026-09-30T13:11:47Z</dcterms:modified>
</cp:coreProperties>
</file>