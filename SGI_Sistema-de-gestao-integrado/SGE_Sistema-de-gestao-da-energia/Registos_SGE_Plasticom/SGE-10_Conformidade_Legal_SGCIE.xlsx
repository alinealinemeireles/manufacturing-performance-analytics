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D81792A1-7A30-4620-B04B-9924C4A9B95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equisitos_Legais" sheetId="2" r:id="rId2"/>
    <sheet name="Obrigacoes" sheetId="3" r:id="rId3"/>
    <sheet name="Trajetoria_SGCIE" sheetId="4" r:id="rId4"/>
    <sheet name="Listas" sheetId="5" r:id="rId5"/>
    <sheet name="Dicionario_Dados" sheetId="6" r:id="rId6"/>
  </sheets>
  <definedNames>
    <definedName name="DataRef">Listas!$A$3</definedName>
    <definedName name="lst_DataReferencia">Listas!$A$3:$A$3</definedName>
    <definedName name="lst_EstadoLegal">Listas!$C$3:$C$6</definedName>
    <definedName name="lst_Funcao">Listas!$B$3:$B$24</definedName>
    <definedName name="_xlnm.Print_Titles" localSheetId="2">Obrigacoes!$4:$4</definedName>
    <definedName name="_xlnm.Print_Titles" localSheetId="1">Requisitos_Legais!$4:$4</definedName>
    <definedName name="_xlnm.Print_Titles" localSheetId="3">Trajetoria_SGCIE!$4:$4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J8" i="4" s="1"/>
  <c r="O8" i="4" s="1"/>
  <c r="J7" i="4"/>
  <c r="O7" i="4" s="1"/>
  <c r="G7" i="4"/>
  <c r="I7" i="4" s="1"/>
  <c r="J6" i="4"/>
  <c r="O6" i="4" s="1"/>
  <c r="G6" i="4"/>
  <c r="I6" i="4" s="1"/>
  <c r="O5" i="4"/>
  <c r="N5" i="4"/>
  <c r="M5" i="4"/>
  <c r="G5" i="4"/>
  <c r="J5" i="4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U15" i="2"/>
  <c r="T15" i="2"/>
  <c r="V15" i="2" s="1"/>
  <c r="U14" i="2"/>
  <c r="T14" i="2"/>
  <c r="V14" i="2" s="1"/>
  <c r="V13" i="2"/>
  <c r="U13" i="2"/>
  <c r="T13" i="2"/>
  <c r="U12" i="2"/>
  <c r="T12" i="2"/>
  <c r="V12" i="2" s="1"/>
  <c r="U11" i="2"/>
  <c r="T11" i="2"/>
  <c r="V11" i="2" s="1"/>
  <c r="V10" i="2"/>
  <c r="U10" i="2"/>
  <c r="T10" i="2"/>
  <c r="U9" i="2"/>
  <c r="T9" i="2"/>
  <c r="V9" i="2" s="1"/>
  <c r="U8" i="2"/>
  <c r="T8" i="2"/>
  <c r="V8" i="2" s="1"/>
  <c r="U7" i="2"/>
  <c r="T7" i="2"/>
  <c r="V7" i="2" s="1"/>
  <c r="U6" i="2"/>
  <c r="T6" i="2"/>
  <c r="V6" i="2" s="1"/>
  <c r="V5" i="2"/>
  <c r="U5" i="2"/>
  <c r="T5" i="2"/>
  <c r="H7" i="4" l="1"/>
  <c r="H8" i="4"/>
  <c r="I8" i="4"/>
  <c r="I5" i="4"/>
  <c r="H6" i="4"/>
  <c r="H5" i="4"/>
  <c r="K8" i="4" l="1"/>
  <c r="M8" i="4" s="1"/>
  <c r="K5" i="4"/>
  <c r="K7" i="4"/>
  <c r="M7" i="4" s="1"/>
  <c r="K6" i="4"/>
  <c r="M6" i="4" s="1"/>
  <c r="L7" i="4"/>
  <c r="N7" i="4" s="1"/>
  <c r="L8" i="4"/>
  <c r="N8" i="4" s="1"/>
  <c r="L6" i="4"/>
  <c r="N6" i="4" s="1"/>
  <c r="L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Requisito (LEG = RG-SGA-04; LEG-E = proposto).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Diploma / documento.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Publicação.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Âmbito.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Entidade.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Obrigações.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Aplicabilidade.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Como se aplica à Plasticom (4.2 c).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Processos.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USE abrangidos (posição de IDs_Aspetos no SGA).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Onde é tratado.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Evidência da última avaliação (9.1.2).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Data da evidência.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Resultado da avaliação.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Data da avaliação.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Intervalo planeado.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Próxima avaliação.
[calculado]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Idade da evidência.
[calculado]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Alerta.
[calculado]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Ação / obrigação (posição de ID_PAM no SGA).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URL oficial.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Legal / outro requisito.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Papel da Plasticom.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[Só SGE] Registo dono (fonte única).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Obrigação.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Obrigação.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Próximo prazo.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Último cumprimento.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Dias até ao prazo.
[calculado]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Estado (Cumprida = obrigação pontual já cumprida no prazo).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Ano.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Origem dos dados.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Eletricidade (kWh).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Gasóleo (L).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Produção (t) — frascos 22 g, tampas/potes 6 g (parâmetros do RG-SGA-13).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Valor acrescentado bruto (simulado).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Energia primária (Despacho 17313/2008).
[calculado]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Consumo específico de energia (kgep/t).
[calculado]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Intensidade energética (kgep por mil € de VAB).
[calculado]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Intensidade carbónica (kgCO2e/kgep).
[calculado]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Trajetória linear: −6% em 8 anos (2022–2030) face a 2021.
[calculado]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Idem para a intensidade energética.
[calculado]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CEE face à trajetória.
[calculado]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IE face à trajetória.
[calculado]</t>
        </r>
      </text>
    </comment>
    <comment ref="O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Intensidade carbónica mantida?
[calculado]</t>
        </r>
      </text>
    </comment>
  </commentList>
</comments>
</file>

<file path=xl/sharedStrings.xml><?xml version="1.0" encoding="utf-8"?>
<sst xmlns="http://schemas.openxmlformats.org/spreadsheetml/2006/main" count="824" uniqueCount="399">
  <si>
    <t>RG-SGE-10 — Requisitos Legais e Outros Requisitos de Energia e Avaliação da Conformidade (SGCIE)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</si>
  <si>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</si>
  <si>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</si>
  <si>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</si>
  <si>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RG-SGE-10</t>
  </si>
  <si>
    <t>Título</t>
  </si>
  <si>
    <t>Requisitos Legais e Outros Requisitos de Energia e Avaliação da Conformidade (SGCIE)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</si>
  <si>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</si>
  <si>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</si>
  <si>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</si>
  <si>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</si>
  <si>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</si>
  <si>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</si>
  <si>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</si>
  <si>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</si>
  <si>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</si>
  <si>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</si>
  <si>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</si>
  <si>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</si>
  <si>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</si>
  <si>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</si>
  <si>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</si>
  <si>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10 requisitos (LEG-08 do SGA + LEG-E-01 a 09 propostos para o RG-SGA-04) com a mesma estrutura do tbl_legal do SGA e estado calculado; 6 obrigações com prazos; trajetória dos indicadores do PREn (consumo específico, intensidade energética e carbónica) face às metas de 2030.</t>
  </si>
  <si>
    <t>Utilização / atividades</t>
  </si>
  <si>
    <t>Identificar e ter acesso aos requisitos legais e outros requisitos de energia; determinar como se aplicam; avaliar a conformidade em intervalos planeados; acompanhar as obrigações e a trajetória das metas do SGCIE (PREn).</t>
  </si>
  <si>
    <t>Requisitos ISO 50001:2018</t>
  </si>
  <si>
    <t>4.2 b) c) (requisitos legais e outros — como se aplicam; revistos); 5.2 d); 6.2.2 c); 9.1.2 (avaliar a conformidade em intervalos planeados; reter resultados e ações).</t>
  </si>
  <si>
    <t>NORMAS DE ORIENTAÇÃO E REFERÊNCIAS APLICADAS (orientação — não são requisitos auditáveis da ISO 50001)</t>
  </si>
  <si>
    <t>SGCIE — perguntas frequentes (sgcie.pt/faq)</t>
  </si>
  <si>
    <t>Limiares 500 / 1 000 tep, indicadores do PREn (intensidade energética, consumo específico, intensidade carbónica) e metas de 6% / 4%.</t>
  </si>
  <si>
    <t>DGEG — página do SGCIE</t>
  </si>
  <si>
    <t>Gestão operacional pela ADENE; fiscalização pela DGEG.</t>
  </si>
  <si>
    <t>DNV / Comissão Europeia — Diretiva 2023/1791</t>
  </si>
  <si>
    <t>Limiares de 85 TJ (SGE obrigatório) e 10 TJ (auditoria) e prazo de 11/10/2027.</t>
  </si>
  <si>
    <t>ISO 50004:2020 §9.1.2</t>
  </si>
  <si>
    <t>Método de avaliação da conformidade (checklist, frequência, evidência).</t>
  </si>
  <si>
    <t>REQUISITOS LEGAIS E OUTROS REQUISITOS APLICADOS (4.2, 9.1.2 — lista completa no RG-SGE-11)</t>
  </si>
  <si>
    <t>Decreto-Lei n.º 71/2008, de 15 de abril (SGCIE), alterado pela Lei n.º 7/2013 e pelo DL n.º 68-A/2015</t>
  </si>
  <si>
    <t>Instalações com consumo &gt; 500 tep/ano: auditoria energética periódica (8 anos), PREn com metas (≥ 1 000 tep: −6% da intensidade energética e do consumo específico em 8 anos; manter</t>
  </si>
  <si>
    <t>Despacho n.º 17313/2008, de 26 de junho (fatores de conversão para tep e de intensidade carbónica)</t>
  </si>
  <si>
    <t>Fatores de conversão (eletricidade 0,215 kgep/kWh) e de emissão (eletricidade 0,47 kgCO2e/kWh) a usar no SGCIE.</t>
  </si>
  <si>
    <t>Decreto-Lei n.º 68-A/2015, de 30 de abril (eficiência energética; transpõe a Diretiva 2012/27/UE)</t>
  </si>
  <si>
    <t>Auditoria energética de 4 em 4 anos para grandes empresas; alterou o SGCIE.</t>
  </si>
  <si>
    <t>Diretiva (UE) 2023/1791 (eficiência energética, reformulação), arts. 8.º e 11.º — transposição nacional em curso</t>
  </si>
  <si>
    <t>Art. 11.º: &gt; 85 TJ/ano → SGE obrigatório; &gt; 10 TJ/ano sem SGE → auditoria de 4 em 4 anos; SGE certificado dispensa a auditoria.</t>
  </si>
  <si>
    <t>Decreto-Lei n.º 15/2022, de 14 de janeiro (Sistema Elétrico Nacional), alterado pelo DL n.º 130/2026, de 29 de junho</t>
  </si>
  <si>
    <t>Regras e controlo prévio das unidades de produção para autoconsumo (UPAC); o DL 130/2026 transpõe parcialmente a RED III e a Diretiva (UE) 2023/1791 (em vigor desde 27/08/2026).</t>
  </si>
  <si>
    <t>ESTRUTURA DO FICHEIRO</t>
  </si>
  <si>
    <t>Requisitos_Legais</t>
  </si>
  <si>
    <t>Requisitos legais e outros requisitos de energia (4.2, 9.1.2) — mesma estrutura do RG-SGA-04 tbl_legal.</t>
  </si>
  <si>
    <t>Obrigacoes</t>
  </si>
  <si>
    <t>Obrigações com prazo (mesma estrutura do RG-SGA-04 tbl_obrigacoes).</t>
  </si>
  <si>
    <t>Trajetoria_SGCIE</t>
  </si>
  <si>
    <t>Indicadores do PREn e trajetória das metas SGCIE (2022–2030).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</si>
  <si>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</si>
  <si>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</si>
  <si>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</si>
  <si>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</si>
  <si>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</si>
  <si>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</si>
  <si>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</si>
  <si>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</si>
  <si>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</si>
  <si>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</si>
  <si>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</si>
  <si>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</si>
  <si>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</si>
  <si>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</si>
  <si>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</si>
  <si>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</si>
  <si>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</si>
  <si>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</si>
  <si>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RG-SGA-04</t>
  </si>
  <si>
    <t>Fonte única dos requisitos legais do SGI — incluir os LEG-E-xx na próxima revisão.</t>
  </si>
  <si>
    <t>RG-SGE-05</t>
  </si>
  <si>
    <t>IDE-02 e IDE-09 (base dos indicadores do PREn).</t>
  </si>
  <si>
    <t>RG-SGE-14</t>
  </si>
  <si>
    <t>Não conformidades legais tratadas como NC.</t>
  </si>
  <si>
    <t>REQUISITOS LEGAIS E OUTROS REQUISITOS DE ENERGIA (4.2; 9.1.2)</t>
  </si>
  <si>
    <t>Avaliação da conformidade de 10/12/2026 · LEG-E-xx a incluir no RG-SGA-04 (fonte única do SGI)</t>
  </si>
  <si>
    <t>ID_Legal</t>
  </si>
  <si>
    <t>Tema</t>
  </si>
  <si>
    <t>Diploma_Documento</t>
  </si>
  <si>
    <t>Tipo_Diploma</t>
  </si>
  <si>
    <t>Data_Publicacao</t>
  </si>
  <si>
    <t>Ambito</t>
  </si>
  <si>
    <t>Entidade_Fiscalizadora</t>
  </si>
  <si>
    <t>Resumo_Obrigacoes</t>
  </si>
  <si>
    <t>Aplicabilidade</t>
  </si>
  <si>
    <t>Justificacao_Aplicabilidade</t>
  </si>
  <si>
    <t>Processos</t>
  </si>
  <si>
    <t>IDs_USE</t>
  </si>
  <si>
    <t>Disposicoes_Internas</t>
  </si>
  <si>
    <t>Avaliacao_Conformidade_Evidencia</t>
  </si>
  <si>
    <t>Tipo_Evidencia</t>
  </si>
  <si>
    <t>Data_Evidencia</t>
  </si>
  <si>
    <t>Data_Avaliacao</t>
  </si>
  <si>
    <t>Periodicidade_Meses</t>
  </si>
  <si>
    <t>Proxima_Avaliacao</t>
  </si>
  <si>
    <t>Idade_Evidencia_Dias</t>
  </si>
  <si>
    <t>Alerta</t>
  </si>
  <si>
    <t>ID_Acao</t>
  </si>
  <si>
    <t>Responsavel</t>
  </si>
  <si>
    <t>Fonte_Oficial</t>
  </si>
  <si>
    <t>Natureza_Obrigacao</t>
  </si>
  <si>
    <t>Papel_Plasticom</t>
  </si>
  <si>
    <t>Registo_Dono</t>
  </si>
  <si>
    <t>LEG-08</t>
  </si>
  <si>
    <t>Energia — SGCIE</t>
  </si>
  <si>
    <t>Decreto-Lei</t>
  </si>
  <si>
    <t>Nacional</t>
  </si>
  <si>
    <t>DGEG / ADENE</t>
  </si>
  <si>
    <t>Instalações com consumo &gt; 500 tep/ano: auditoria energética periódica (8 anos), PREn com metas (≥ 1 000 tep: −6% da intensidade energética e do consumo específico em 8 anos; manter a intensidade carbónica), relatórios bienais de execução (REP).</t>
  </si>
  <si>
    <t>Aplicável</t>
  </si>
  <si>
    <t>≈ 1 700 tep/ano (0,215 kgep/kWh × ≈ 7,9 GWh) → consumidor intensivo ≥ 1 000 tep.</t>
  </si>
  <si>
    <t>Todos</t>
  </si>
  <si>
    <t>PR-SGE-10; RG-SGE-10 tbl_sgcie</t>
  </si>
  <si>
    <t>REP 2026 submetido em 28/10/2026 (comprovativo SGCIE)</t>
  </si>
  <si>
    <t>Comprovativo de submissão</t>
  </si>
  <si>
    <t>Conforme</t>
  </si>
  <si>
    <t>—</t>
  </si>
  <si>
    <t>Gestor(a) de Energia (líder da equipa de gestão de energia)</t>
  </si>
  <si>
    <t>https://sgcie.pt</t>
  </si>
  <si>
    <t>Obrigação legal</t>
  </si>
  <si>
    <t>Operador de instalação CIE</t>
  </si>
  <si>
    <t>LEG-E-01</t>
  </si>
  <si>
    <t>Energia — fatores</t>
  </si>
  <si>
    <t>Despacho</t>
  </si>
  <si>
    <t>DGEG</t>
  </si>
  <si>
    <t>Cálculo dos indicadores do PREn.</t>
  </si>
  <si>
    <t>GES</t>
  </si>
  <si>
    <t>RG-SGE-04 tbl_tipos_energia; tbl_sgcie</t>
  </si>
  <si>
    <t>Fatores usados no RG-SGE-10 conferidos com o conversor SGCIE</t>
  </si>
  <si>
    <t>Registo interno</t>
  </si>
  <si>
    <t>https://sgcie.pt/conversor-sgcie/</t>
  </si>
  <si>
    <t>Operador CIE</t>
  </si>
  <si>
    <t>RG-SGE-10 (propor RG-SGA-04)</t>
  </si>
  <si>
    <t>LEG-E-02</t>
  </si>
  <si>
    <t>Energia — auditorias</t>
  </si>
  <si>
    <t>Aplicável (via SGCIE)</t>
  </si>
  <si>
    <t>A Plasticom cumpre a obrigação de auditoria através do SGCIE; confirmar anualmente o critério de 'grande empresa' (efetivos/volume de negócios).</t>
  </si>
  <si>
    <t>PR-SGE-10</t>
  </si>
  <si>
    <t>Parecer interno 2026 (critério de PME confirmado com o Diretor Financeiro)</t>
  </si>
  <si>
    <t>Parecer</t>
  </si>
  <si>
    <t>Diretor Financeiro</t>
  </si>
  <si>
    <t>https://diariodarepublica.pt</t>
  </si>
  <si>
    <t>Empresa</t>
  </si>
  <si>
    <t>LEG-E-03</t>
  </si>
  <si>
    <t>Energia — UE</t>
  </si>
  <si>
    <t>Diretiva UE</t>
  </si>
  <si>
    <t>UE / nacional</t>
  </si>
  <si>
    <t>Aplicável após transposição</t>
  </si>
  <si>
    <t>≈ 28 TJ/ano (entre 10 e 85 TJ): auditoria periódica OU SGE ISO 50001 certificado (opção escolhida — OE-02). Consulta pública do DL de transposição terminou em 05/12/2025.</t>
  </si>
  <si>
    <t>PR-SGE-10; RG-SGE-03 OE-02</t>
  </si>
  <si>
    <t>Acompanhamento semestral do Diário da República e da DGEG</t>
  </si>
  <si>
    <t>Registo de vigilância legal</t>
  </si>
  <si>
    <t>Em avaliação</t>
  </si>
  <si>
    <t>OBRE-04</t>
  </si>
  <si>
    <t>https://eur-lex.europa.eu/eli/dir/2023/1791/oj</t>
  </si>
  <si>
    <t>Obrigação legal (futura)</t>
  </si>
  <si>
    <t>LEG-E-04</t>
  </si>
  <si>
    <t>Energia — autoconsumo</t>
  </si>
  <si>
    <t>DGEG / E-REDES</t>
  </si>
  <si>
    <t>Aplicável (UPAC 2027)</t>
  </si>
  <si>
    <t>Projeto PRJ-E-02 (UPAC ≈ 1 MWp) — controlo prévio antes da ligação.</t>
  </si>
  <si>
    <t>GES; UTL</t>
  </si>
  <si>
    <t>PR-SGE-07</t>
  </si>
  <si>
    <t>Estudo de viabilidade com enquadramento legal</t>
  </si>
  <si>
    <t>Relatório</t>
  </si>
  <si>
    <t>OBRE-05</t>
  </si>
  <si>
    <t>https://diariodarepublica.pt/dr/detalhe/decreto-lei/130-2026-1139897687</t>
  </si>
  <si>
    <t>Promotor da UPAC</t>
  </si>
  <si>
    <t>LEG-E-05</t>
  </si>
  <si>
    <t>Equipamentos — motores</t>
  </si>
  <si>
    <t>Regulamento (UE) 2019/1781 (conceção ecológica de motores elétricos e variadores de velocidade)</t>
  </si>
  <si>
    <t>Regulamento UE</t>
  </si>
  <si>
    <t>UE</t>
  </si>
  <si>
    <t>ASAE</t>
  </si>
  <si>
    <t>Classes mínimas IE3/IE4 para motores colocados no mercado; VSD IE2.</t>
  </si>
  <si>
    <t>Aplicável (compras)</t>
  </si>
  <si>
    <t>Critério CAQ-04 nas aquisições.</t>
  </si>
  <si>
    <t>MAN; CMP</t>
  </si>
  <si>
    <t>USE-01 a USE-04</t>
  </si>
  <si>
    <t>RG-SGE-09 tbl_criterios_aquisicao</t>
  </si>
  <si>
    <t>Motor MOA-02 IE3 (AQE-26-07)</t>
  </si>
  <si>
    <t>Declaração UE</t>
  </si>
  <si>
    <t>Responsável de Compras</t>
  </si>
  <si>
    <t>https://eur-lex.europa.eu/eli/reg/2019/1781/oj</t>
  </si>
  <si>
    <t>Comprador/utilizador</t>
  </si>
  <si>
    <t>LEG-E-06</t>
  </si>
  <si>
    <t>Equipamentos — chillers</t>
  </si>
  <si>
    <t>Regulamento (UE) 2016/2281 (conceção ecológica de chillers de processo — SEPR)</t>
  </si>
  <si>
    <t>Eficiência sazonal mínima (SEPR) de chillers de processo.</t>
  </si>
  <si>
    <t>Aplicável (compra do chiller 2027)</t>
  </si>
  <si>
    <t>PRJ-E-03 (especificação com SEPR ≥ 6,5).</t>
  </si>
  <si>
    <t>UTL</t>
  </si>
  <si>
    <t>USE-04</t>
  </si>
  <si>
    <t>CE-2027-03</t>
  </si>
  <si>
    <t>Caderno de encargos</t>
  </si>
  <si>
    <t>Documento</t>
  </si>
  <si>
    <t>https://eur-lex.europa.eu/eli/reg/2016/2281/oj</t>
  </si>
  <si>
    <t>Comprador</t>
  </si>
  <si>
    <t>LEG-E-07</t>
  </si>
  <si>
    <t>Clima — relato</t>
  </si>
  <si>
    <t>Diretiva (UE) 2022/2464 (CSRD) / ESRS E1-5 e norma voluntária VSME (B3) — requisito dos clientes</t>
  </si>
  <si>
    <t>Outro requisito</t>
  </si>
  <si>
    <t>Clientes</t>
  </si>
  <si>
    <t>Consumo e mix de energia, intensidade energética, quota renovável.</t>
  </si>
  <si>
    <t>Outro requisito (clientes)</t>
  </si>
  <si>
    <t>A Plasticom não é obrigada à CSRD, mas os clientes pedem os dados (VSME B3).</t>
  </si>
  <si>
    <t>RG-SGA-19 tbl_indicadores_esg; RG-SGE-05 IDE-09/10</t>
  </si>
  <si>
    <t>Questionários de clientes respondidos (2026)</t>
  </si>
  <si>
    <t>Registo</t>
  </si>
  <si>
    <t>Gestor do SGA / EHS (Responsável Ambiental)</t>
  </si>
  <si>
    <t>https://eur-lex.europa.eu</t>
  </si>
  <si>
    <t>Fornecedor</t>
  </si>
  <si>
    <t>LEG-E-08</t>
  </si>
  <si>
    <t>Certificação</t>
  </si>
  <si>
    <t>ISO 50003:2021 — requisitos para os organismos de certificação (melhoria do desempenho energético demonstrada)</t>
  </si>
  <si>
    <t>Internacional</t>
  </si>
  <si>
    <t>Organismo de certificação</t>
  </si>
  <si>
    <t>Para certificar, a organização tem de demonstrar melhoria do desempenho energético (IDE vs LBE).</t>
  </si>
  <si>
    <t>Outro requisito subscrito</t>
  </si>
  <si>
    <t>Decisão de certificar em 2027 (OE-02).</t>
  </si>
  <si>
    <t>RG-SGE-05 LBE_Modelo</t>
  </si>
  <si>
    <t>Melhoria demonstrada em out–dez/2026 (5,4%)</t>
  </si>
  <si>
    <t>https://www.iso.org/standard/77575.html</t>
  </si>
  <si>
    <t>Candidata à certificação</t>
  </si>
  <si>
    <t>LEG-E-09</t>
  </si>
  <si>
    <t>Energia — tarifas</t>
  </si>
  <si>
    <t>Regulamento Tarifário e Regulamento de Relações Comerciais (ERSE)</t>
  </si>
  <si>
    <t>Regulamento</t>
  </si>
  <si>
    <t>ERSE</t>
  </si>
  <si>
    <t>Estrutura das faturas de MT (períodos, potência, reativa); regras de potência requisitada.</t>
  </si>
  <si>
    <t>Cliente de média tensão.</t>
  </si>
  <si>
    <t>RG-SGE-09 tbl_faturas</t>
  </si>
  <si>
    <t>Faturas verificadas mensalmente</t>
  </si>
  <si>
    <t>https://www.erse.pt</t>
  </si>
  <si>
    <t>Cliente MT</t>
  </si>
  <si>
    <t>LEG-E-10</t>
  </si>
  <si>
    <t>Gases fluorados</t>
  </si>
  <si>
    <t>Regulamento (UE) 2024/573 (gases fluorados) — chiller CH-01 (R410A)</t>
  </si>
  <si>
    <t>APA / IGAMAOT</t>
  </si>
  <si>
    <t>Deteção de fugas, técnicos certificados, registos.</t>
  </si>
  <si>
    <t>Tratado pelo SGA (RG-SGA-04 e RG-SGA-10) — aqui só por ligação ao USE-04.</t>
  </si>
  <si>
    <t>RG-SGA-10 tbl_manutencao_ambiental</t>
  </si>
  <si>
    <t>Ver RG-SGA-04</t>
  </si>
  <si>
    <t>Remissão</t>
  </si>
  <si>
    <t>https://eur-lex.europa.eu/eli/reg/2024/573/oj</t>
  </si>
  <si>
    <t>Operador</t>
  </si>
  <si>
    <t>OBRIGAÇÕES DE ENERGIA COM PRAZO</t>
  </si>
  <si>
    <t>ID_Obrigacao</t>
  </si>
  <si>
    <t>Obrigacao</t>
  </si>
  <si>
    <t>Frequencia</t>
  </si>
  <si>
    <t>Prazo_Proximo</t>
  </si>
  <si>
    <t>Ultimo_Cumprimento</t>
  </si>
  <si>
    <t>Evidencia</t>
  </si>
  <si>
    <t>Dias_ate_Prazo</t>
  </si>
  <si>
    <t>OBR-06</t>
  </si>
  <si>
    <t>Auditoria energética SGCIE (octenal)</t>
  </si>
  <si>
    <t>8 anos</t>
  </si>
  <si>
    <t>Relatório de auditoria SGCIE 2022</t>
  </si>
  <si>
    <t>OBRE-01</t>
  </si>
  <si>
    <t>Plano de Racionalização do Consumo de Energia (PREn) submetido à ADENE</t>
  </si>
  <si>
    <t>Após cada auditoria</t>
  </si>
  <si>
    <t>PREn 2022–2030 aprovado (ARCE)</t>
  </si>
  <si>
    <t>OBRE-02</t>
  </si>
  <si>
    <t>Relatório de execução e progresso (REP) 2024</t>
  </si>
  <si>
    <t>Bienal</t>
  </si>
  <si>
    <t>Comprovativo SGCIE</t>
  </si>
  <si>
    <t>OBRE-03</t>
  </si>
  <si>
    <t>Relatório de execução e progresso (REP) 2026</t>
  </si>
  <si>
    <t>Comprovativo SGCIE (próximo REP em 2028)</t>
  </si>
  <si>
    <t>Verificar a publicação do DL de transposição do art. 11.º da Diretiva (UE) 2023/1791 e o regime aplicável</t>
  </si>
  <si>
    <t>Semestral</t>
  </si>
  <si>
    <t>Controlo prévio da UPAC (DGEG/E-REDES) antes da ligação</t>
  </si>
  <si>
    <t>Única</t>
  </si>
  <si>
    <t>Por fazer</t>
  </si>
  <si>
    <t>TRAJETÓRIA DOS INDICADORES DO PREn (SGCIE)</t>
  </si>
  <si>
    <t>Fatores do Despacho 17313/2008: 0,215 kgep/kWh; 0,864 kgep/L; 0,47 kgCO2e/kWh; 2,68 kgCO2e/L · 2021 e 2023 simulados (relatórios SGCIE) · VAB simulado</t>
  </si>
  <si>
    <t>Ano</t>
  </si>
  <si>
    <t>Fonte</t>
  </si>
  <si>
    <t>kWh_Eletricidade</t>
  </si>
  <si>
    <t>L_Gasoleo</t>
  </si>
  <si>
    <t>Producao_t</t>
  </si>
  <si>
    <t>VAB_EUR</t>
  </si>
  <si>
    <t>tep</t>
  </si>
  <si>
    <t>CEE_kgep_t</t>
  </si>
  <si>
    <t>IE_kgep_kEUR</t>
  </si>
  <si>
    <t>IC_kgCO2e_kgep</t>
  </si>
  <si>
    <t>Meta_CEE</t>
  </si>
  <si>
    <t>Meta_IE</t>
  </si>
  <si>
    <t>Estado_CEE</t>
  </si>
  <si>
    <t>Estado_IE</t>
  </si>
  <si>
    <t>Estado_IC</t>
  </si>
  <si>
    <t>Auditoria SGCIE 2022 (ano de referência do PREn)</t>
  </si>
  <si>
    <t>REP 2024 (simulado)</t>
  </si>
  <si>
    <t>Ano de 2025: 10 meses medidos (mar–dez) extrapolados a 12</t>
  </si>
  <si>
    <t>Ano de 2026 (fecho anual; RG-SGA-13 jan–dez)</t>
  </si>
  <si>
    <t>LISTAS CONTROLADAS (domínios de validação de dados) — editar aqui para alterar opções</t>
  </si>
  <si>
    <t>DataReferencia</t>
  </si>
  <si>
    <t>Funcao</t>
  </si>
  <si>
    <t>EstadoLegal</t>
  </si>
  <si>
    <t>Diretor Geral (Gestão de Topo)</t>
  </si>
  <si>
    <t>Diretor Industrial</t>
  </si>
  <si>
    <t>Não conforme</t>
  </si>
  <si>
    <t>Gerente de Manutenção</t>
  </si>
  <si>
    <t>Não aplicável</t>
  </si>
  <si>
    <t>Gerente de Produção</t>
  </si>
  <si>
    <t>Técnico de Utilidades</t>
  </si>
  <si>
    <t>Gerente da Qualidade</t>
  </si>
  <si>
    <t>Responsável de R&amp;D</t>
  </si>
  <si>
    <t>Responsável de Recursos Humanos</t>
  </si>
  <si>
    <t>Gerente de Dados / TI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</si>
  <si>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</si>
  <si>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</si>
  <si>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</si>
  <si>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</si>
  <si>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</si>
  <si>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</si>
  <si>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</si>
  <si>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</si>
  <si>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</si>
  <si>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</si>
  <si>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</si>
  <si>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</si>
  <si>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</si>
  <si>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</si>
  <si>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</si>
  <si>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</si>
  <si>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</si>
  <si>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</si>
  <si>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tbl_legal</t>
  </si>
  <si>
    <t>Texto</t>
  </si>
  <si>
    <t>Entrada</t>
  </si>
  <si>
    <t>Requisito (LEG = RG-SGA-04; LEG-E = proposto).</t>
  </si>
  <si>
    <t>Sim</t>
  </si>
  <si>
    <t>PK</t>
  </si>
  <si>
    <t>Tema.</t>
  </si>
  <si>
    <t>Diploma / documento.</t>
  </si>
  <si>
    <t>Tipo.</t>
  </si>
  <si>
    <t>Data (aaaa-mm-dd)</t>
  </si>
  <si>
    <t>Publicação.</t>
  </si>
  <si>
    <t>Âmbito.</t>
  </si>
  <si>
    <t>Entidade.</t>
  </si>
  <si>
    <t>Obrigações.</t>
  </si>
  <si>
    <t>Aplicabilidade.</t>
  </si>
  <si>
    <t>Como se aplica à Plasticom (4.2 c).</t>
  </si>
  <si>
    <t>Processos.</t>
  </si>
  <si>
    <t>USE abrangidos (posição de IDs_Aspetos no SGA).</t>
  </si>
  <si>
    <t>Onde é tratado.</t>
  </si>
  <si>
    <t>Evidência da última avaliação (9.1.2).</t>
  </si>
  <si>
    <t>Data da evidência.</t>
  </si>
  <si>
    <t>Resultado da avaliação.</t>
  </si>
  <si>
    <t>Lista lst_EstadoLegal</t>
  </si>
  <si>
    <t>Data da avaliação.</t>
  </si>
  <si>
    <t>Inteiro</t>
  </si>
  <si>
    <t>Intervalo planeado.</t>
  </si>
  <si>
    <t>Calculado (fórmula)</t>
  </si>
  <si>
    <t>Próxima avaliação.</t>
  </si>
  <si>
    <t>Idade da evidência.</t>
  </si>
  <si>
    <t>Alerta.</t>
  </si>
  <si>
    <t>Ação / obrigação (posição de ID_PAM no SGA).</t>
  </si>
  <si>
    <t>Não</t>
  </si>
  <si>
    <t>Responsável.</t>
  </si>
  <si>
    <t>Lista lst_Funcao</t>
  </si>
  <si>
    <t>URL oficial.</t>
  </si>
  <si>
    <t>Legal / outro requisito.</t>
  </si>
  <si>
    <t>Papel da Plasticom.</t>
  </si>
  <si>
    <t>[Só SGE] Registo dono (fonte única).</t>
  </si>
  <si>
    <t>tbl_obrigacoes</t>
  </si>
  <si>
    <t>Obrigação.</t>
  </si>
  <si>
    <t>Requisito.</t>
  </si>
  <si>
    <t>FK → tbl_legal</t>
  </si>
  <si>
    <t>Frequência.</t>
  </si>
  <si>
    <t>Próximo prazo.</t>
  </si>
  <si>
    <t>Último cumprimento.</t>
  </si>
  <si>
    <t>Evidência.</t>
  </si>
  <si>
    <t>Dias até ao prazo.</t>
  </si>
  <si>
    <t>Estado (Cumprida = obrigação pontual já cumprida no prazo).</t>
  </si>
  <si>
    <t>tbl_sgcie</t>
  </si>
  <si>
    <t>Ano.</t>
  </si>
  <si>
    <t>Origem dos dados.</t>
  </si>
  <si>
    <t>kwh</t>
  </si>
  <si>
    <t>Eletricidade (kWh).</t>
  </si>
  <si>
    <t>Decimal</t>
  </si>
  <si>
    <t>Gasóleo (L).</t>
  </si>
  <si>
    <t>Produção (t) — frascos 22 g, tampas/potes 6 g (parâmetros do RG-SGA-13).</t>
  </si>
  <si>
    <t>Moeda (EUR)</t>
  </si>
  <si>
    <t>Valor acrescentado bruto (simulado).</t>
  </si>
  <si>
    <t>Energia primária (Despacho 17313/2008).</t>
  </si>
  <si>
    <t>Consumo específico de energia (kgep/t).</t>
  </si>
  <si>
    <t>Intensidade energética (kgep por mil € de VAB).</t>
  </si>
  <si>
    <t>Intensidade carbónica (kgCO2e/kgep).</t>
  </si>
  <si>
    <t>Trajetória linear: −6% em 8 anos (2022–2030) face a 2021.</t>
  </si>
  <si>
    <t>Idem para a intensidade energética.</t>
  </si>
  <si>
    <t>CEE face à trajetória.</t>
  </si>
  <si>
    <t>IE face à trajetória.</t>
  </si>
  <si>
    <t>Intensidade carbónica mantida?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</si>
</sst>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"/>
    <numFmt numFmtId="166" formatCode="#,##0\ \€"/>
    <numFmt numFmtId="167" formatCode="#,##0.00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7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5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egal" displayName="tbl_legal" ref="A4:AB15">
  <autoFilter ref="A4:AB15" xr:uid="{00000000-0009-0000-0100-000001000000}"/>
  <tableColumns count="28">
    <tableColumn id="1" xr3:uid="{00000000-0010-0000-0000-000001000000}" name="ID_Legal"/>
    <tableColumn id="2" xr3:uid="{00000000-0010-0000-0000-000002000000}" name="Tema"/>
    <tableColumn id="3" xr3:uid="{00000000-0010-0000-0000-000003000000}" name="Diploma_Documento"/>
    <tableColumn id="4" xr3:uid="{00000000-0010-0000-0000-000004000000}" name="Tipo_Diploma"/>
    <tableColumn id="5" xr3:uid="{00000000-0010-0000-0000-000005000000}" name="Data_Publicacao"/>
    <tableColumn id="6" xr3:uid="{00000000-0010-0000-0000-000006000000}" name="Ambito"/>
    <tableColumn id="7" xr3:uid="{00000000-0010-0000-0000-000007000000}" name="Entidade_Fiscalizadora"/>
    <tableColumn id="8" xr3:uid="{00000000-0010-0000-0000-000008000000}" name="Resumo_Obrigacoes"/>
    <tableColumn id="9" xr3:uid="{00000000-0010-0000-0000-000009000000}" name="Aplicabilidade"/>
    <tableColumn id="10" xr3:uid="{00000000-0010-0000-0000-00000A000000}" name="Justificacao_Aplicabilidade"/>
    <tableColumn id="11" xr3:uid="{00000000-0010-0000-0000-00000B000000}" name="Processos"/>
    <tableColumn id="12" xr3:uid="{00000000-0010-0000-0000-00000C000000}" name="IDs_USE"/>
    <tableColumn id="13" xr3:uid="{00000000-0010-0000-0000-00000D000000}" name="Disposicoes_Internas"/>
    <tableColumn id="14" xr3:uid="{00000000-0010-0000-0000-00000E000000}" name="Avaliacao_Conformidade_Evidencia"/>
    <tableColumn id="15" xr3:uid="{00000000-0010-0000-0000-00000F000000}" name="Tipo_Evidencia"/>
    <tableColumn id="16" xr3:uid="{00000000-0010-0000-0000-000010000000}" name="Data_Evidencia"/>
    <tableColumn id="17" xr3:uid="{00000000-0010-0000-0000-000011000000}" name="Estado"/>
    <tableColumn id="18" xr3:uid="{00000000-0010-0000-0000-000012000000}" name="Data_Avaliacao"/>
    <tableColumn id="19" xr3:uid="{00000000-0010-0000-0000-000013000000}" name="Periodicidade_Meses"/>
    <tableColumn id="20" xr3:uid="{00000000-0010-0000-0000-000014000000}" name="Proxima_Avaliacao"/>
    <tableColumn id="21" xr3:uid="{00000000-0010-0000-0000-000015000000}" name="Idade_Evidencia_Dias"/>
    <tableColumn id="22" xr3:uid="{00000000-0010-0000-0000-000016000000}" name="Alerta"/>
    <tableColumn id="23" xr3:uid="{00000000-0010-0000-0000-000017000000}" name="ID_Acao"/>
    <tableColumn id="24" xr3:uid="{00000000-0010-0000-0000-000018000000}" name="Responsavel"/>
    <tableColumn id="25" xr3:uid="{00000000-0010-0000-0000-000019000000}" name="Fonte_Oficial"/>
    <tableColumn id="26" xr3:uid="{00000000-0010-0000-0000-00001A000000}" name="Natureza_Obrigacao"/>
    <tableColumn id="27" xr3:uid="{00000000-0010-0000-0000-00001B000000}" name="Papel_Plasticom"/>
    <tableColumn id="28" xr3:uid="{00000000-0010-0000-0000-00001C000000}" name="Registo_Don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obrigacoes" displayName="tbl_obrigacoes" ref="A4:J10">
  <autoFilter ref="A4:J10" xr:uid="{00000000-0009-0000-0100-000002000000}"/>
  <tableColumns count="10">
    <tableColumn id="1" xr3:uid="{00000000-0010-0000-0100-000001000000}" name="ID_Obrigacao"/>
    <tableColumn id="2" xr3:uid="{00000000-0010-0000-0100-000002000000}" name="ID_Legal"/>
    <tableColumn id="3" xr3:uid="{00000000-0010-0000-0100-000003000000}" name="Obrigacao"/>
    <tableColumn id="4" xr3:uid="{00000000-0010-0000-0100-000004000000}" name="Frequencia"/>
    <tableColumn id="5" xr3:uid="{00000000-0010-0000-0100-000005000000}" name="Prazo_Proximo"/>
    <tableColumn id="6" xr3:uid="{00000000-0010-0000-0100-000006000000}" name="Ultimo_Cumprimento"/>
    <tableColumn id="7" xr3:uid="{00000000-0010-0000-0100-000007000000}" name="Evidencia"/>
    <tableColumn id="8" xr3:uid="{00000000-0010-0000-0100-000008000000}" name="Responsavel"/>
    <tableColumn id="9" xr3:uid="{00000000-0010-0000-0100-000009000000}" name="Dias_ate_Prazo"/>
    <tableColumn id="10" xr3:uid="{00000000-0010-0000-0100-00000A000000}" name="Estad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gcie" displayName="tbl_sgcie" ref="A4:O8">
  <autoFilter ref="A4:O8" xr:uid="{00000000-0009-0000-0100-000003000000}"/>
  <tableColumns count="15">
    <tableColumn id="1" xr3:uid="{00000000-0010-0000-0200-000001000000}" name="Ano"/>
    <tableColumn id="2" xr3:uid="{00000000-0010-0000-0200-000002000000}" name="Fonte"/>
    <tableColumn id="3" xr3:uid="{00000000-0010-0000-0200-000003000000}" name="kWh_Eletricidade"/>
    <tableColumn id="4" xr3:uid="{00000000-0010-0000-0200-000004000000}" name="L_Gasoleo"/>
    <tableColumn id="5" xr3:uid="{00000000-0010-0000-0200-000005000000}" name="Producao_t"/>
    <tableColumn id="6" xr3:uid="{00000000-0010-0000-0200-000006000000}" name="VAB_EUR"/>
    <tableColumn id="7" xr3:uid="{00000000-0010-0000-0200-000007000000}" name="tep"/>
    <tableColumn id="8" xr3:uid="{00000000-0010-0000-0200-000008000000}" name="CEE_kgep_t"/>
    <tableColumn id="9" xr3:uid="{00000000-0010-0000-0200-000009000000}" name="IE_kgep_kEUR"/>
    <tableColumn id="10" xr3:uid="{00000000-0010-0000-0200-00000A000000}" name="IC_kgCO2e_kgep"/>
    <tableColumn id="11" xr3:uid="{00000000-0010-0000-0200-00000B000000}" name="Meta_CEE"/>
    <tableColumn id="12" xr3:uid="{00000000-0010-0000-0200-00000C000000}" name="Meta_IE"/>
    <tableColumn id="13" xr3:uid="{00000000-0010-0000-0200-00000D000000}" name="Estado_CEE"/>
    <tableColumn id="14" xr3:uid="{00000000-0010-0000-0200-00000E000000}" name="Estado_IE"/>
    <tableColumn id="15" xr3:uid="{00000000-0010-0000-0200-00000F000000}" name="Estado_IC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54">
  <autoFilter ref="A1:I54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1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ht="52.8" x14ac:dyDescent="0.3">
      <c r="A27" s="5" t="s">
        <v>37</v>
      </c>
      <c r="B27" s="6" t="s">
        <v>38</v>
      </c>
    </row>
    <row r="28" spans="1:2" ht="52.8" x14ac:dyDescent="0.3">
      <c r="A28" s="5" t="s">
        <v>39</v>
      </c>
      <c r="B28" s="6" t="s">
        <v>40</v>
      </c>
    </row>
    <row r="29" spans="1:2" ht="39.6" x14ac:dyDescent="0.3">
      <c r="A29" s="5" t="s">
        <v>41</v>
      </c>
      <c r="B29" s="6" t="s">
        <v>42</v>
      </c>
    </row>
    <row r="30" spans="1:2" ht="52.8" x14ac:dyDescent="0.3">
      <c r="A30" s="5" t="s">
        <v>43</v>
      </c>
      <c r="B30" s="6" t="s">
        <v>44</v>
      </c>
    </row>
    <row r="31" spans="1:2" ht="52.8" x14ac:dyDescent="0.3">
      <c r="A31" s="5" t="s">
        <v>45</v>
      </c>
      <c r="B31" s="6" t="s">
        <v>46</v>
      </c>
    </row>
    <row r="33" spans="1:2" x14ac:dyDescent="0.3">
      <c r="A33" s="3" t="s">
        <v>47</v>
      </c>
      <c r="B33" s="4"/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40" spans="1:2" x14ac:dyDescent="0.3">
      <c r="A40" s="3" t="s">
        <v>58</v>
      </c>
      <c r="B40" s="4"/>
    </row>
    <row r="41" spans="1:2" ht="26.4" x14ac:dyDescent="0.3">
      <c r="A41" s="5" t="s">
        <v>59</v>
      </c>
      <c r="B41" s="6" t="s">
        <v>60</v>
      </c>
    </row>
    <row r="42" spans="1:2" x14ac:dyDescent="0.3">
      <c r="A42" s="5" t="s">
        <v>61</v>
      </c>
      <c r="B42" s="6" t="s">
        <v>62</v>
      </c>
    </row>
    <row r="43" spans="1:2" x14ac:dyDescent="0.3">
      <c r="A43" s="5" t="s">
        <v>63</v>
      </c>
      <c r="B43" s="6" t="s">
        <v>64</v>
      </c>
    </row>
    <row r="44" spans="1:2" ht="26.4" x14ac:dyDescent="0.3">
      <c r="A44" s="5" t="s">
        <v>65</v>
      </c>
      <c r="B44" s="6" t="s">
        <v>66</v>
      </c>
    </row>
    <row r="45" spans="1:2" ht="26.4" x14ac:dyDescent="0.3">
      <c r="A45" s="5" t="s">
        <v>67</v>
      </c>
      <c r="B45" s="6" t="s">
        <v>68</v>
      </c>
    </row>
    <row r="46" spans="1:2" ht="52.8" x14ac:dyDescent="0.3">
      <c r="A46" s="5" t="s">
        <v>69</v>
      </c>
      <c r="B46" s="6" t="s">
        <v>70</v>
      </c>
    </row>
    <row r="48" spans="1:2" x14ac:dyDescent="0.3">
      <c r="A48" s="3" t="s">
        <v>71</v>
      </c>
      <c r="B48" s="4"/>
    </row>
    <row r="49" spans="1:2" x14ac:dyDescent="0.3">
      <c r="A49" s="5" t="s">
        <v>72</v>
      </c>
      <c r="B49" s="6" t="s">
        <v>73</v>
      </c>
    </row>
    <row r="50" spans="1:2" x14ac:dyDescent="0.3">
      <c r="A50" s="5" t="s">
        <v>74</v>
      </c>
      <c r="B50" s="6" t="s">
        <v>75</v>
      </c>
    </row>
    <row r="51" spans="1:2" x14ac:dyDescent="0.3">
      <c r="A51" s="5" t="s">
        <v>76</v>
      </c>
      <c r="B51" s="6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5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6" customWidth="1"/>
    <col min="3" max="3" width="44" customWidth="1"/>
    <col min="4" max="4" width="12" customWidth="1"/>
    <col min="5" max="5" width="11" customWidth="1"/>
    <col min="6" max="6" width="10" customWidth="1"/>
    <col min="7" max="7" width="16" customWidth="1"/>
    <col min="8" max="8" width="50" customWidth="1"/>
    <col min="9" max="9" width="16" customWidth="1"/>
    <col min="10" max="10" width="40" customWidth="1"/>
    <col min="11" max="11" width="10" customWidth="1"/>
    <col min="12" max="12" width="14" customWidth="1"/>
    <col min="13" max="13" width="26" customWidth="1"/>
    <col min="14" max="14" width="36" customWidth="1"/>
    <col min="15" max="15" width="14" customWidth="1"/>
    <col min="16" max="18" width="11" customWidth="1"/>
    <col min="19" max="19" width="8" customWidth="1"/>
    <col min="20" max="20" width="11" customWidth="1"/>
    <col min="21" max="21" width="8" customWidth="1"/>
    <col min="22" max="22" width="10" customWidth="1"/>
    <col min="23" max="23" width="9" customWidth="1"/>
    <col min="24" max="24" width="22" customWidth="1"/>
    <col min="25" max="25" width="30" customWidth="1"/>
    <col min="26" max="26" width="14" customWidth="1"/>
    <col min="27" max="27" width="16" customWidth="1"/>
    <col min="28" max="28" width="18" customWidth="1"/>
  </cols>
  <sheetData>
    <row r="1" spans="1:28" ht="17.399999999999999" x14ac:dyDescent="0.3">
      <c r="A1" s="1" t="s">
        <v>78</v>
      </c>
    </row>
    <row r="2" spans="1:28" x14ac:dyDescent="0.3">
      <c r="A2" s="2" t="s">
        <v>79</v>
      </c>
    </row>
    <row r="4" spans="1:28" ht="39.6" x14ac:dyDescent="0.3">
      <c r="A4" s="8" t="s">
        <v>80</v>
      </c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93</v>
      </c>
      <c r="O4" s="8" t="s">
        <v>94</v>
      </c>
      <c r="P4" s="8" t="s">
        <v>95</v>
      </c>
      <c r="Q4" s="8" t="s">
        <v>14</v>
      </c>
      <c r="R4" s="8" t="s">
        <v>96</v>
      </c>
      <c r="S4" s="8" t="s">
        <v>97</v>
      </c>
      <c r="T4" s="9" t="s">
        <v>98</v>
      </c>
      <c r="U4" s="9" t="s">
        <v>99</v>
      </c>
      <c r="V4" s="9" t="s">
        <v>100</v>
      </c>
      <c r="W4" s="8" t="s">
        <v>101</v>
      </c>
      <c r="X4" s="8" t="s">
        <v>102</v>
      </c>
      <c r="Y4" s="8" t="s">
        <v>103</v>
      </c>
      <c r="Z4" s="8" t="s">
        <v>104</v>
      </c>
      <c r="AA4" s="8" t="s">
        <v>105</v>
      </c>
      <c r="AB4" s="8" t="s">
        <v>106</v>
      </c>
    </row>
    <row r="5" spans="1:28" ht="60" customHeight="1" x14ac:dyDescent="0.3">
      <c r="A5" s="10" t="s">
        <v>107</v>
      </c>
      <c r="B5" s="10" t="s">
        <v>108</v>
      </c>
      <c r="C5" s="10" t="s">
        <v>37</v>
      </c>
      <c r="D5" s="10" t="s">
        <v>109</v>
      </c>
      <c r="E5" s="11">
        <v>39553</v>
      </c>
      <c r="F5" s="10" t="s">
        <v>110</v>
      </c>
      <c r="G5" s="10" t="s">
        <v>111</v>
      </c>
      <c r="H5" s="10" t="s">
        <v>112</v>
      </c>
      <c r="I5" s="10" t="s">
        <v>113</v>
      </c>
      <c r="J5" s="10" t="s">
        <v>114</v>
      </c>
      <c r="K5" s="10" t="s">
        <v>115</v>
      </c>
      <c r="L5" s="10" t="s">
        <v>115</v>
      </c>
      <c r="M5" s="10" t="s">
        <v>116</v>
      </c>
      <c r="N5" s="10" t="s">
        <v>117</v>
      </c>
      <c r="O5" s="10" t="s">
        <v>118</v>
      </c>
      <c r="P5" s="11">
        <v>46323</v>
      </c>
      <c r="Q5" s="10" t="s">
        <v>119</v>
      </c>
      <c r="R5" s="11">
        <v>46366</v>
      </c>
      <c r="S5" s="12">
        <v>12</v>
      </c>
      <c r="T5" s="13">
        <f t="shared" ref="T5:T15" si="0">IF(A5="","",EDATE(R5,S5))</f>
        <v>46731</v>
      </c>
      <c r="U5" s="14">
        <f t="shared" ref="U5:U15" si="1">IF(A5="","",DataRef-P5)</f>
        <v>64</v>
      </c>
      <c r="V5" s="15" t="str">
        <f t="shared" ref="V5:V15" si="2">IF(A5="","",IF(Q5="Não conforme","NC",IF(T5&lt;DataRef,"Vencida",IF(Q5="Em avaliação","Acompanhar","OK"))))</f>
        <v>OK</v>
      </c>
      <c r="W5" s="10" t="s">
        <v>120</v>
      </c>
      <c r="X5" s="10" t="s">
        <v>121</v>
      </c>
      <c r="Y5" s="10" t="s">
        <v>122</v>
      </c>
      <c r="Z5" s="10" t="s">
        <v>123</v>
      </c>
      <c r="AA5" s="10" t="s">
        <v>124</v>
      </c>
      <c r="AB5" s="10" t="s">
        <v>72</v>
      </c>
    </row>
    <row r="6" spans="1:28" ht="60" customHeight="1" x14ac:dyDescent="0.3">
      <c r="A6" s="10" t="s">
        <v>125</v>
      </c>
      <c r="B6" s="10" t="s">
        <v>126</v>
      </c>
      <c r="C6" s="10" t="s">
        <v>39</v>
      </c>
      <c r="D6" s="10" t="s">
        <v>127</v>
      </c>
      <c r="E6" s="11">
        <v>39625</v>
      </c>
      <c r="F6" s="10" t="s">
        <v>110</v>
      </c>
      <c r="G6" s="10" t="s">
        <v>128</v>
      </c>
      <c r="H6" s="10" t="s">
        <v>40</v>
      </c>
      <c r="I6" s="10" t="s">
        <v>113</v>
      </c>
      <c r="J6" s="10" t="s">
        <v>129</v>
      </c>
      <c r="K6" s="10" t="s">
        <v>130</v>
      </c>
      <c r="L6" s="10" t="s">
        <v>120</v>
      </c>
      <c r="M6" s="10" t="s">
        <v>131</v>
      </c>
      <c r="N6" s="10" t="s">
        <v>132</v>
      </c>
      <c r="O6" s="10" t="s">
        <v>133</v>
      </c>
      <c r="P6" s="11">
        <v>46315</v>
      </c>
      <c r="Q6" s="10" t="s">
        <v>119</v>
      </c>
      <c r="R6" s="11">
        <v>46366</v>
      </c>
      <c r="S6" s="12">
        <v>12</v>
      </c>
      <c r="T6" s="13">
        <f t="shared" si="0"/>
        <v>46731</v>
      </c>
      <c r="U6" s="14">
        <f t="shared" si="1"/>
        <v>72</v>
      </c>
      <c r="V6" s="15" t="str">
        <f t="shared" si="2"/>
        <v>OK</v>
      </c>
      <c r="W6" s="10" t="s">
        <v>120</v>
      </c>
      <c r="X6" s="10" t="s">
        <v>121</v>
      </c>
      <c r="Y6" s="10" t="s">
        <v>134</v>
      </c>
      <c r="Z6" s="10" t="s">
        <v>123</v>
      </c>
      <c r="AA6" s="10" t="s">
        <v>135</v>
      </c>
      <c r="AB6" s="10" t="s">
        <v>136</v>
      </c>
    </row>
    <row r="7" spans="1:28" ht="60" customHeight="1" x14ac:dyDescent="0.3">
      <c r="A7" s="10" t="s">
        <v>137</v>
      </c>
      <c r="B7" s="10" t="s">
        <v>138</v>
      </c>
      <c r="C7" s="10" t="s">
        <v>41</v>
      </c>
      <c r="D7" s="10" t="s">
        <v>109</v>
      </c>
      <c r="E7" s="11">
        <v>42124</v>
      </c>
      <c r="F7" s="10" t="s">
        <v>110</v>
      </c>
      <c r="G7" s="10" t="s">
        <v>128</v>
      </c>
      <c r="H7" s="10" t="s">
        <v>42</v>
      </c>
      <c r="I7" s="10" t="s">
        <v>139</v>
      </c>
      <c r="J7" s="10" t="s">
        <v>140</v>
      </c>
      <c r="K7" s="10" t="s">
        <v>130</v>
      </c>
      <c r="L7" s="10" t="s">
        <v>120</v>
      </c>
      <c r="M7" s="10" t="s">
        <v>141</v>
      </c>
      <c r="N7" s="10" t="s">
        <v>142</v>
      </c>
      <c r="O7" s="10" t="s">
        <v>143</v>
      </c>
      <c r="P7" s="11">
        <v>46063</v>
      </c>
      <c r="Q7" s="10" t="s">
        <v>119</v>
      </c>
      <c r="R7" s="11">
        <v>46366</v>
      </c>
      <c r="S7" s="12">
        <v>12</v>
      </c>
      <c r="T7" s="13">
        <f t="shared" si="0"/>
        <v>46731</v>
      </c>
      <c r="U7" s="14">
        <f t="shared" si="1"/>
        <v>324</v>
      </c>
      <c r="V7" s="15" t="str">
        <f t="shared" si="2"/>
        <v>OK</v>
      </c>
      <c r="W7" s="10" t="s">
        <v>120</v>
      </c>
      <c r="X7" s="10" t="s">
        <v>144</v>
      </c>
      <c r="Y7" s="10" t="s">
        <v>145</v>
      </c>
      <c r="Z7" s="10" t="s">
        <v>123</v>
      </c>
      <c r="AA7" s="10" t="s">
        <v>146</v>
      </c>
      <c r="AB7" s="10" t="s">
        <v>136</v>
      </c>
    </row>
    <row r="8" spans="1:28" ht="60" customHeight="1" x14ac:dyDescent="0.3">
      <c r="A8" s="10" t="s">
        <v>147</v>
      </c>
      <c r="B8" s="10" t="s">
        <v>148</v>
      </c>
      <c r="C8" s="10" t="s">
        <v>43</v>
      </c>
      <c r="D8" s="10" t="s">
        <v>149</v>
      </c>
      <c r="E8" s="11">
        <v>45189</v>
      </c>
      <c r="F8" s="10" t="s">
        <v>150</v>
      </c>
      <c r="G8" s="10" t="s">
        <v>111</v>
      </c>
      <c r="H8" s="10" t="s">
        <v>44</v>
      </c>
      <c r="I8" s="10" t="s">
        <v>151</v>
      </c>
      <c r="J8" s="10" t="s">
        <v>152</v>
      </c>
      <c r="K8" s="10" t="s">
        <v>130</v>
      </c>
      <c r="L8" s="10" t="s">
        <v>120</v>
      </c>
      <c r="M8" s="10" t="s">
        <v>153</v>
      </c>
      <c r="N8" s="10" t="s">
        <v>154</v>
      </c>
      <c r="O8" s="10" t="s">
        <v>155</v>
      </c>
      <c r="P8" s="11">
        <v>46366</v>
      </c>
      <c r="Q8" s="10" t="s">
        <v>156</v>
      </c>
      <c r="R8" s="11">
        <v>46366</v>
      </c>
      <c r="S8" s="12">
        <v>6</v>
      </c>
      <c r="T8" s="13">
        <f t="shared" si="0"/>
        <v>46548</v>
      </c>
      <c r="U8" s="14">
        <f t="shared" si="1"/>
        <v>21</v>
      </c>
      <c r="V8" s="15" t="str">
        <f t="shared" si="2"/>
        <v>Acompanhar</v>
      </c>
      <c r="W8" s="10" t="s">
        <v>157</v>
      </c>
      <c r="X8" s="10" t="s">
        <v>121</v>
      </c>
      <c r="Y8" s="10" t="s">
        <v>158</v>
      </c>
      <c r="Z8" s="10" t="s">
        <v>159</v>
      </c>
      <c r="AA8" s="10" t="s">
        <v>146</v>
      </c>
      <c r="AB8" s="10" t="s">
        <v>136</v>
      </c>
    </row>
    <row r="9" spans="1:28" ht="60" customHeight="1" x14ac:dyDescent="0.3">
      <c r="A9" s="10" t="s">
        <v>160</v>
      </c>
      <c r="B9" s="10" t="s">
        <v>161</v>
      </c>
      <c r="C9" s="10" t="s">
        <v>45</v>
      </c>
      <c r="D9" s="10" t="s">
        <v>109</v>
      </c>
      <c r="E9" s="11">
        <v>46202</v>
      </c>
      <c r="F9" s="10" t="s">
        <v>110</v>
      </c>
      <c r="G9" s="10" t="s">
        <v>162</v>
      </c>
      <c r="H9" s="10" t="s">
        <v>46</v>
      </c>
      <c r="I9" s="10" t="s">
        <v>163</v>
      </c>
      <c r="J9" s="10" t="s">
        <v>164</v>
      </c>
      <c r="K9" s="10" t="s">
        <v>165</v>
      </c>
      <c r="L9" s="10" t="s">
        <v>120</v>
      </c>
      <c r="M9" s="10" t="s">
        <v>166</v>
      </c>
      <c r="N9" s="10" t="s">
        <v>167</v>
      </c>
      <c r="O9" s="10" t="s">
        <v>168</v>
      </c>
      <c r="P9" s="11">
        <v>46356</v>
      </c>
      <c r="Q9" s="10" t="s">
        <v>156</v>
      </c>
      <c r="R9" s="11">
        <v>46366</v>
      </c>
      <c r="S9" s="12">
        <v>6</v>
      </c>
      <c r="T9" s="13">
        <f t="shared" si="0"/>
        <v>46548</v>
      </c>
      <c r="U9" s="14">
        <f t="shared" si="1"/>
        <v>31</v>
      </c>
      <c r="V9" s="15" t="str">
        <f t="shared" si="2"/>
        <v>Acompanhar</v>
      </c>
      <c r="W9" s="10" t="s">
        <v>169</v>
      </c>
      <c r="X9" s="10" t="s">
        <v>144</v>
      </c>
      <c r="Y9" s="10" t="s">
        <v>170</v>
      </c>
      <c r="Z9" s="10" t="s">
        <v>159</v>
      </c>
      <c r="AA9" s="10" t="s">
        <v>171</v>
      </c>
      <c r="AB9" s="10" t="s">
        <v>136</v>
      </c>
    </row>
    <row r="10" spans="1:28" ht="60" customHeight="1" x14ac:dyDescent="0.3">
      <c r="A10" s="10" t="s">
        <v>172</v>
      </c>
      <c r="B10" s="10" t="s">
        <v>173</v>
      </c>
      <c r="C10" s="10" t="s">
        <v>174</v>
      </c>
      <c r="D10" s="10" t="s">
        <v>175</v>
      </c>
      <c r="E10" s="11">
        <v>43739</v>
      </c>
      <c r="F10" s="10" t="s">
        <v>176</v>
      </c>
      <c r="G10" s="10" t="s">
        <v>177</v>
      </c>
      <c r="H10" s="10" t="s">
        <v>178</v>
      </c>
      <c r="I10" s="10" t="s">
        <v>179</v>
      </c>
      <c r="J10" s="10" t="s">
        <v>180</v>
      </c>
      <c r="K10" s="10" t="s">
        <v>181</v>
      </c>
      <c r="L10" s="10" t="s">
        <v>182</v>
      </c>
      <c r="M10" s="10" t="s">
        <v>183</v>
      </c>
      <c r="N10" s="10" t="s">
        <v>184</v>
      </c>
      <c r="O10" s="10" t="s">
        <v>185</v>
      </c>
      <c r="P10" s="11">
        <v>46073</v>
      </c>
      <c r="Q10" s="10" t="s">
        <v>119</v>
      </c>
      <c r="R10" s="11">
        <v>46366</v>
      </c>
      <c r="S10" s="12">
        <v>12</v>
      </c>
      <c r="T10" s="13">
        <f t="shared" si="0"/>
        <v>46731</v>
      </c>
      <c r="U10" s="14">
        <f t="shared" si="1"/>
        <v>314</v>
      </c>
      <c r="V10" s="15" t="str">
        <f t="shared" si="2"/>
        <v>OK</v>
      </c>
      <c r="W10" s="10" t="s">
        <v>120</v>
      </c>
      <c r="X10" s="10" t="s">
        <v>186</v>
      </c>
      <c r="Y10" s="10" t="s">
        <v>187</v>
      </c>
      <c r="Z10" s="10" t="s">
        <v>123</v>
      </c>
      <c r="AA10" s="10" t="s">
        <v>188</v>
      </c>
      <c r="AB10" s="10" t="s">
        <v>136</v>
      </c>
    </row>
    <row r="11" spans="1:28" ht="60" customHeight="1" x14ac:dyDescent="0.3">
      <c r="A11" s="10" t="s">
        <v>189</v>
      </c>
      <c r="B11" s="10" t="s">
        <v>190</v>
      </c>
      <c r="C11" s="10" t="s">
        <v>191</v>
      </c>
      <c r="D11" s="10" t="s">
        <v>175</v>
      </c>
      <c r="E11" s="11">
        <v>42724</v>
      </c>
      <c r="F11" s="10" t="s">
        <v>176</v>
      </c>
      <c r="G11" s="10" t="s">
        <v>177</v>
      </c>
      <c r="H11" s="10" t="s">
        <v>192</v>
      </c>
      <c r="I11" s="10" t="s">
        <v>193</v>
      </c>
      <c r="J11" s="10" t="s">
        <v>194</v>
      </c>
      <c r="K11" s="10" t="s">
        <v>195</v>
      </c>
      <c r="L11" s="10" t="s">
        <v>196</v>
      </c>
      <c r="M11" s="10" t="s">
        <v>197</v>
      </c>
      <c r="N11" s="10" t="s">
        <v>198</v>
      </c>
      <c r="O11" s="10" t="s">
        <v>199</v>
      </c>
      <c r="P11" s="11">
        <v>46341</v>
      </c>
      <c r="Q11" s="10" t="s">
        <v>119</v>
      </c>
      <c r="R11" s="11">
        <v>46366</v>
      </c>
      <c r="S11" s="12">
        <v>12</v>
      </c>
      <c r="T11" s="13">
        <f t="shared" si="0"/>
        <v>46731</v>
      </c>
      <c r="U11" s="14">
        <f t="shared" si="1"/>
        <v>46</v>
      </c>
      <c r="V11" s="15" t="str">
        <f t="shared" si="2"/>
        <v>OK</v>
      </c>
      <c r="W11" s="10" t="s">
        <v>120</v>
      </c>
      <c r="X11" s="10" t="s">
        <v>186</v>
      </c>
      <c r="Y11" s="10" t="s">
        <v>200</v>
      </c>
      <c r="Z11" s="10" t="s">
        <v>123</v>
      </c>
      <c r="AA11" s="10" t="s">
        <v>201</v>
      </c>
      <c r="AB11" s="10" t="s">
        <v>136</v>
      </c>
    </row>
    <row r="12" spans="1:28" ht="60" customHeight="1" x14ac:dyDescent="0.3">
      <c r="A12" s="10" t="s">
        <v>202</v>
      </c>
      <c r="B12" s="10" t="s">
        <v>203</v>
      </c>
      <c r="C12" s="10" t="s">
        <v>204</v>
      </c>
      <c r="D12" s="10" t="s">
        <v>205</v>
      </c>
      <c r="E12" s="11">
        <v>44909</v>
      </c>
      <c r="F12" s="10" t="s">
        <v>176</v>
      </c>
      <c r="G12" s="10" t="s">
        <v>206</v>
      </c>
      <c r="H12" s="10" t="s">
        <v>207</v>
      </c>
      <c r="I12" s="10" t="s">
        <v>208</v>
      </c>
      <c r="J12" s="10" t="s">
        <v>209</v>
      </c>
      <c r="K12" s="10" t="s">
        <v>130</v>
      </c>
      <c r="L12" s="10" t="s">
        <v>120</v>
      </c>
      <c r="M12" s="10" t="s">
        <v>210</v>
      </c>
      <c r="N12" s="10" t="s">
        <v>211</v>
      </c>
      <c r="O12" s="10" t="s">
        <v>212</v>
      </c>
      <c r="P12" s="11">
        <v>46295</v>
      </c>
      <c r="Q12" s="10" t="s">
        <v>119</v>
      </c>
      <c r="R12" s="11">
        <v>46366</v>
      </c>
      <c r="S12" s="12">
        <v>12</v>
      </c>
      <c r="T12" s="13">
        <f t="shared" si="0"/>
        <v>46731</v>
      </c>
      <c r="U12" s="14">
        <f t="shared" si="1"/>
        <v>92</v>
      </c>
      <c r="V12" s="15" t="str">
        <f t="shared" si="2"/>
        <v>OK</v>
      </c>
      <c r="W12" s="10" t="s">
        <v>120</v>
      </c>
      <c r="X12" s="10" t="s">
        <v>213</v>
      </c>
      <c r="Y12" s="10" t="s">
        <v>214</v>
      </c>
      <c r="Z12" s="10" t="s">
        <v>205</v>
      </c>
      <c r="AA12" s="10" t="s">
        <v>215</v>
      </c>
      <c r="AB12" s="10" t="s">
        <v>72</v>
      </c>
    </row>
    <row r="13" spans="1:28" ht="60" customHeight="1" x14ac:dyDescent="0.3">
      <c r="A13" s="10" t="s">
        <v>216</v>
      </c>
      <c r="B13" s="10" t="s">
        <v>217</v>
      </c>
      <c r="C13" s="10" t="s">
        <v>218</v>
      </c>
      <c r="D13" s="10" t="s">
        <v>205</v>
      </c>
      <c r="E13" s="11">
        <v>44501</v>
      </c>
      <c r="F13" s="10" t="s">
        <v>219</v>
      </c>
      <c r="G13" s="10" t="s">
        <v>220</v>
      </c>
      <c r="H13" s="10" t="s">
        <v>221</v>
      </c>
      <c r="I13" s="10" t="s">
        <v>222</v>
      </c>
      <c r="J13" s="10" t="s">
        <v>223</v>
      </c>
      <c r="K13" s="10" t="s">
        <v>130</v>
      </c>
      <c r="L13" s="10" t="s">
        <v>115</v>
      </c>
      <c r="M13" s="10" t="s">
        <v>224</v>
      </c>
      <c r="N13" s="10" t="s">
        <v>225</v>
      </c>
      <c r="O13" s="10" t="s">
        <v>212</v>
      </c>
      <c r="P13" s="11">
        <v>46387</v>
      </c>
      <c r="Q13" s="10" t="s">
        <v>119</v>
      </c>
      <c r="R13" s="11">
        <v>46374</v>
      </c>
      <c r="S13" s="12">
        <v>12</v>
      </c>
      <c r="T13" s="13">
        <f t="shared" si="0"/>
        <v>46739</v>
      </c>
      <c r="U13" s="14">
        <f t="shared" si="1"/>
        <v>0</v>
      </c>
      <c r="V13" s="15" t="str">
        <f t="shared" si="2"/>
        <v>OK</v>
      </c>
      <c r="W13" s="10" t="s">
        <v>120</v>
      </c>
      <c r="X13" s="10" t="s">
        <v>121</v>
      </c>
      <c r="Y13" s="10" t="s">
        <v>226</v>
      </c>
      <c r="Z13" s="10" t="s">
        <v>205</v>
      </c>
      <c r="AA13" s="10" t="s">
        <v>227</v>
      </c>
      <c r="AB13" s="10" t="s">
        <v>4</v>
      </c>
    </row>
    <row r="14" spans="1:28" ht="60" customHeight="1" x14ac:dyDescent="0.3">
      <c r="A14" s="10" t="s">
        <v>228</v>
      </c>
      <c r="B14" s="10" t="s">
        <v>229</v>
      </c>
      <c r="C14" s="10" t="s">
        <v>230</v>
      </c>
      <c r="D14" s="10" t="s">
        <v>231</v>
      </c>
      <c r="E14" s="11">
        <v>45641</v>
      </c>
      <c r="F14" s="10" t="s">
        <v>110</v>
      </c>
      <c r="G14" s="10" t="s">
        <v>232</v>
      </c>
      <c r="H14" s="10" t="s">
        <v>233</v>
      </c>
      <c r="I14" s="10" t="s">
        <v>113</v>
      </c>
      <c r="J14" s="10" t="s">
        <v>234</v>
      </c>
      <c r="K14" s="10" t="s">
        <v>130</v>
      </c>
      <c r="L14" s="10" t="s">
        <v>120</v>
      </c>
      <c r="M14" s="10" t="s">
        <v>235</v>
      </c>
      <c r="N14" s="10" t="s">
        <v>236</v>
      </c>
      <c r="O14" s="10" t="s">
        <v>212</v>
      </c>
      <c r="P14" s="11">
        <v>46387</v>
      </c>
      <c r="Q14" s="10" t="s">
        <v>119</v>
      </c>
      <c r="R14" s="11">
        <v>46366</v>
      </c>
      <c r="S14" s="12">
        <v>12</v>
      </c>
      <c r="T14" s="13">
        <f t="shared" si="0"/>
        <v>46731</v>
      </c>
      <c r="U14" s="14">
        <f t="shared" si="1"/>
        <v>0</v>
      </c>
      <c r="V14" s="15" t="str">
        <f t="shared" si="2"/>
        <v>OK</v>
      </c>
      <c r="W14" s="10" t="s">
        <v>120</v>
      </c>
      <c r="X14" s="10" t="s">
        <v>144</v>
      </c>
      <c r="Y14" s="10" t="s">
        <v>237</v>
      </c>
      <c r="Z14" s="10" t="s">
        <v>123</v>
      </c>
      <c r="AA14" s="10" t="s">
        <v>238</v>
      </c>
      <c r="AB14" s="10" t="s">
        <v>4</v>
      </c>
    </row>
    <row r="15" spans="1:28" ht="60" customHeight="1" x14ac:dyDescent="0.3">
      <c r="A15" s="10" t="s">
        <v>239</v>
      </c>
      <c r="B15" s="10" t="s">
        <v>240</v>
      </c>
      <c r="C15" s="10" t="s">
        <v>241</v>
      </c>
      <c r="D15" s="10" t="s">
        <v>175</v>
      </c>
      <c r="E15" s="11">
        <v>45342</v>
      </c>
      <c r="F15" s="10" t="s">
        <v>176</v>
      </c>
      <c r="G15" s="10" t="s">
        <v>242</v>
      </c>
      <c r="H15" s="10" t="s">
        <v>243</v>
      </c>
      <c r="I15" s="10" t="s">
        <v>113</v>
      </c>
      <c r="J15" s="10" t="s">
        <v>244</v>
      </c>
      <c r="K15" s="10" t="s">
        <v>195</v>
      </c>
      <c r="L15" s="10" t="s">
        <v>196</v>
      </c>
      <c r="M15" s="10" t="s">
        <v>245</v>
      </c>
      <c r="N15" s="10" t="s">
        <v>246</v>
      </c>
      <c r="O15" s="10" t="s">
        <v>247</v>
      </c>
      <c r="P15" s="11">
        <v>46288</v>
      </c>
      <c r="Q15" s="10" t="s">
        <v>119</v>
      </c>
      <c r="R15" s="11">
        <v>46366</v>
      </c>
      <c r="S15" s="12">
        <v>12</v>
      </c>
      <c r="T15" s="13">
        <f t="shared" si="0"/>
        <v>46731</v>
      </c>
      <c r="U15" s="14">
        <f t="shared" si="1"/>
        <v>99</v>
      </c>
      <c r="V15" s="15" t="str">
        <f t="shared" si="2"/>
        <v>OK</v>
      </c>
      <c r="W15" s="10" t="s">
        <v>120</v>
      </c>
      <c r="X15" s="10" t="s">
        <v>213</v>
      </c>
      <c r="Y15" s="10" t="s">
        <v>248</v>
      </c>
      <c r="Z15" s="10" t="s">
        <v>123</v>
      </c>
      <c r="AA15" s="10" t="s">
        <v>249</v>
      </c>
      <c r="AB15" s="10" t="s">
        <v>72</v>
      </c>
    </row>
  </sheetData>
  <conditionalFormatting sqref="Q5:Q215">
    <cfRule type="expression" dxfId="14" priority="5">
      <formula>ISNUMBER(SEARCH("Conforme",Q5))</formula>
    </cfRule>
    <cfRule type="expression" dxfId="13" priority="6">
      <formula>ISNUMBER(SEARCH("Em avaliação",Q5))</formula>
    </cfRule>
    <cfRule type="expression" dxfId="12" priority="7">
      <formula>ISNUMBER(SEARCH("Não conforme",Q5))</formula>
    </cfRule>
  </conditionalFormatting>
  <conditionalFormatting sqref="V5:V215">
    <cfRule type="expression" dxfId="11" priority="1">
      <formula>ISNUMBER(SEARCH("NC",V5))</formula>
    </cfRule>
    <cfRule type="expression" dxfId="10" priority="2">
      <formula>ISNUMBER(SEARCH("Vencida",V5))</formula>
    </cfRule>
    <cfRule type="expression" dxfId="9" priority="3">
      <formula>ISNUMBER(SEARCH("Acompanhar",V5))</formula>
    </cfRule>
    <cfRule type="expression" dxfId="8" priority="4">
      <formula>ISNUMBER(SEARCH("OK",V5))</formula>
    </cfRule>
  </conditionalFormatting>
  <dataValidations count="2">
    <dataValidation type="list" allowBlank="1" showErrorMessage="1" errorTitle="Valor inválido" error="Valor fora da lista controlada (ver folha Listas)." sqref="Q5:Q215" xr:uid="{00000000-0002-0000-0100-000000000000}">
      <formula1>lst_EstadoLegal</formula1>
    </dataValidation>
    <dataValidation type="list" allowBlank="1" showErrorMessage="1" errorTitle="Valor inválido" error="Valor fora da lista controlada (ver folha Listas)." sqref="X5:X215" xr:uid="{00000000-0002-0000-01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50" customWidth="1"/>
    <col min="4" max="4" width="14" customWidth="1"/>
    <col min="5" max="6" width="11" customWidth="1"/>
    <col min="7" max="7" width="34" customWidth="1"/>
    <col min="8" max="8" width="22" customWidth="1"/>
    <col min="9" max="9" width="8" customWidth="1"/>
    <col min="10" max="10" width="11" customWidth="1"/>
  </cols>
  <sheetData>
    <row r="1" spans="1:10" ht="17.399999999999999" x14ac:dyDescent="0.3">
      <c r="A1" s="1" t="s">
        <v>250</v>
      </c>
    </row>
    <row r="4" spans="1:10" ht="39.6" x14ac:dyDescent="0.3">
      <c r="A4" s="8" t="s">
        <v>251</v>
      </c>
      <c r="B4" s="8" t="s">
        <v>80</v>
      </c>
      <c r="C4" s="8" t="s">
        <v>252</v>
      </c>
      <c r="D4" s="8" t="s">
        <v>253</v>
      </c>
      <c r="E4" s="8" t="s">
        <v>254</v>
      </c>
      <c r="F4" s="8" t="s">
        <v>255</v>
      </c>
      <c r="G4" s="8" t="s">
        <v>256</v>
      </c>
      <c r="H4" s="8" t="s">
        <v>102</v>
      </c>
      <c r="I4" s="9" t="s">
        <v>257</v>
      </c>
      <c r="J4" s="9" t="s">
        <v>14</v>
      </c>
    </row>
    <row r="5" spans="1:10" ht="30" customHeight="1" x14ac:dyDescent="0.3">
      <c r="A5" s="10" t="s">
        <v>258</v>
      </c>
      <c r="B5" s="10" t="s">
        <v>107</v>
      </c>
      <c r="C5" s="10" t="s">
        <v>259</v>
      </c>
      <c r="D5" s="10" t="s">
        <v>260</v>
      </c>
      <c r="E5" s="11">
        <v>47664</v>
      </c>
      <c r="F5" s="11">
        <v>44727</v>
      </c>
      <c r="G5" s="10" t="s">
        <v>261</v>
      </c>
      <c r="H5" s="10" t="s">
        <v>121</v>
      </c>
      <c r="I5" s="14">
        <f t="shared" ref="I5:I10" si="0">IF(A5="","",E5-DataRef)</f>
        <v>1277</v>
      </c>
      <c r="J5" s="15" t="str">
        <f t="shared" ref="J5:J10" si="1">IF(A5="","",IF(AND(F5&lt;&gt;"",F5&lt;=E5,I5&lt;0),"Cumprida",IF(I5&lt;0,"Atrasada",IF(I5&lt;=120,"A vencer","Em dia"))))</f>
        <v>Em dia</v>
      </c>
    </row>
    <row r="6" spans="1:10" ht="30" customHeight="1" x14ac:dyDescent="0.3">
      <c r="A6" s="10" t="s">
        <v>262</v>
      </c>
      <c r="B6" s="10" t="s">
        <v>107</v>
      </c>
      <c r="C6" s="10" t="s">
        <v>263</v>
      </c>
      <c r="D6" s="10" t="s">
        <v>264</v>
      </c>
      <c r="E6" s="11">
        <v>47787</v>
      </c>
      <c r="F6" s="11">
        <v>44848</v>
      </c>
      <c r="G6" s="10" t="s">
        <v>265</v>
      </c>
      <c r="H6" s="10" t="s">
        <v>121</v>
      </c>
      <c r="I6" s="14">
        <f t="shared" si="0"/>
        <v>1400</v>
      </c>
      <c r="J6" s="15" t="str">
        <f t="shared" si="1"/>
        <v>Em dia</v>
      </c>
    </row>
    <row r="7" spans="1:10" ht="30" customHeight="1" x14ac:dyDescent="0.3">
      <c r="A7" s="10" t="s">
        <v>266</v>
      </c>
      <c r="B7" s="10" t="s">
        <v>107</v>
      </c>
      <c r="C7" s="10" t="s">
        <v>267</v>
      </c>
      <c r="D7" s="10" t="s">
        <v>268</v>
      </c>
      <c r="E7" s="11">
        <v>45596</v>
      </c>
      <c r="F7" s="11">
        <v>45590</v>
      </c>
      <c r="G7" s="10" t="s">
        <v>269</v>
      </c>
      <c r="H7" s="10" t="s">
        <v>121</v>
      </c>
      <c r="I7" s="14">
        <f t="shared" si="0"/>
        <v>-791</v>
      </c>
      <c r="J7" s="15" t="str">
        <f t="shared" si="1"/>
        <v>Cumprida</v>
      </c>
    </row>
    <row r="8" spans="1:10" ht="30" customHeight="1" x14ac:dyDescent="0.3">
      <c r="A8" s="10" t="s">
        <v>270</v>
      </c>
      <c r="B8" s="10" t="s">
        <v>107</v>
      </c>
      <c r="C8" s="10" t="s">
        <v>271</v>
      </c>
      <c r="D8" s="10" t="s">
        <v>268</v>
      </c>
      <c r="E8" s="11">
        <v>47057</v>
      </c>
      <c r="F8" s="11">
        <v>46323</v>
      </c>
      <c r="G8" s="10" t="s">
        <v>272</v>
      </c>
      <c r="H8" s="10" t="s">
        <v>121</v>
      </c>
      <c r="I8" s="14">
        <f t="shared" si="0"/>
        <v>670</v>
      </c>
      <c r="J8" s="15" t="str">
        <f t="shared" si="1"/>
        <v>Em dia</v>
      </c>
    </row>
    <row r="9" spans="1:10" ht="30" customHeight="1" x14ac:dyDescent="0.3">
      <c r="A9" s="10" t="s">
        <v>157</v>
      </c>
      <c r="B9" s="10" t="s">
        <v>147</v>
      </c>
      <c r="C9" s="10" t="s">
        <v>273</v>
      </c>
      <c r="D9" s="10" t="s">
        <v>274</v>
      </c>
      <c r="E9" s="11">
        <v>46568</v>
      </c>
      <c r="F9" s="11">
        <v>46366</v>
      </c>
      <c r="G9" s="10" t="s">
        <v>155</v>
      </c>
      <c r="H9" s="10" t="s">
        <v>121</v>
      </c>
      <c r="I9" s="14">
        <f t="shared" si="0"/>
        <v>181</v>
      </c>
      <c r="J9" s="15" t="str">
        <f t="shared" si="1"/>
        <v>Em dia</v>
      </c>
    </row>
    <row r="10" spans="1:10" ht="30" customHeight="1" x14ac:dyDescent="0.3">
      <c r="A10" s="10" t="s">
        <v>169</v>
      </c>
      <c r="B10" s="10" t="s">
        <v>160</v>
      </c>
      <c r="C10" s="10" t="s">
        <v>275</v>
      </c>
      <c r="D10" s="10" t="s">
        <v>276</v>
      </c>
      <c r="E10" s="11">
        <v>46507</v>
      </c>
      <c r="F10" s="11"/>
      <c r="G10" s="10" t="s">
        <v>277</v>
      </c>
      <c r="H10" s="10" t="s">
        <v>144</v>
      </c>
      <c r="I10" s="14">
        <f t="shared" si="0"/>
        <v>120</v>
      </c>
      <c r="J10" s="15" t="str">
        <f t="shared" si="1"/>
        <v>A vencer</v>
      </c>
    </row>
  </sheetData>
  <conditionalFormatting sqref="J5:J210">
    <cfRule type="expression" dxfId="7" priority="1">
      <formula>ISNUMBER(SEARCH("Atrasada",J5))</formula>
    </cfRule>
    <cfRule type="expression" dxfId="6" priority="2">
      <formula>ISNUMBER(SEARCH("A vencer",J5))</formula>
    </cfRule>
    <cfRule type="expression" dxfId="5" priority="3">
      <formula>ISNUMBER(SEARCH("Em dia",J5))</formula>
    </cfRule>
    <cfRule type="expression" dxfId="4" priority="4">
      <formula>ISNUMBER(SEARCH("Cumprida",J5))</formula>
    </cfRule>
  </conditionalFormatting>
  <dataValidations count="1">
    <dataValidation type="list" allowBlank="1" showErrorMessage="1" errorTitle="Valor inválido" error="Valor fora da lista controlada (ver folha Listas)." sqref="H5:H210" xr:uid="{00000000-0002-0000-02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40" customWidth="1"/>
    <col min="3" max="3" width="12" customWidth="1"/>
    <col min="4" max="5" width="9" customWidth="1"/>
    <col min="6" max="6" width="12" customWidth="1"/>
    <col min="7" max="7" width="9" customWidth="1"/>
    <col min="8" max="9" width="10" customWidth="1"/>
    <col min="10" max="10" width="9" customWidth="1"/>
    <col min="11" max="12" width="10" customWidth="1"/>
    <col min="13" max="15" width="11" customWidth="1"/>
  </cols>
  <sheetData>
    <row r="1" spans="1:15" ht="17.399999999999999" x14ac:dyDescent="0.3">
      <c r="A1" s="1" t="s">
        <v>278</v>
      </c>
    </row>
    <row r="2" spans="1:15" x14ac:dyDescent="0.3">
      <c r="A2" s="2" t="s">
        <v>279</v>
      </c>
    </row>
    <row r="4" spans="1:15" ht="26.4" x14ac:dyDescent="0.3">
      <c r="A4" s="8" t="s">
        <v>280</v>
      </c>
      <c r="B4" s="8" t="s">
        <v>281</v>
      </c>
      <c r="C4" s="8" t="s">
        <v>282</v>
      </c>
      <c r="D4" s="8" t="s">
        <v>283</v>
      </c>
      <c r="E4" s="8" t="s">
        <v>284</v>
      </c>
      <c r="F4" s="8" t="s">
        <v>285</v>
      </c>
      <c r="G4" s="9" t="s">
        <v>286</v>
      </c>
      <c r="H4" s="9" t="s">
        <v>287</v>
      </c>
      <c r="I4" s="9" t="s">
        <v>288</v>
      </c>
      <c r="J4" s="9" t="s">
        <v>289</v>
      </c>
      <c r="K4" s="9" t="s">
        <v>290</v>
      </c>
      <c r="L4" s="9" t="s">
        <v>291</v>
      </c>
      <c r="M4" s="9" t="s">
        <v>292</v>
      </c>
      <c r="N4" s="9" t="s">
        <v>293</v>
      </c>
      <c r="O4" s="9" t="s">
        <v>294</v>
      </c>
    </row>
    <row r="5" spans="1:15" ht="30" customHeight="1" x14ac:dyDescent="0.3">
      <c r="A5" s="12">
        <v>2021</v>
      </c>
      <c r="B5" s="10" t="s">
        <v>295</v>
      </c>
      <c r="C5" s="16">
        <v>6880000</v>
      </c>
      <c r="D5" s="16">
        <v>3150</v>
      </c>
      <c r="E5" s="17">
        <v>745</v>
      </c>
      <c r="F5" s="18">
        <v>10900000</v>
      </c>
      <c r="G5" s="19">
        <f>IF(A5="","",(C5*0.215+D5*0.864)/1000)</f>
        <v>1481.9216000000001</v>
      </c>
      <c r="H5" s="19">
        <f>IF(A5="","",G5*1000/E5)</f>
        <v>1989.1565100671141</v>
      </c>
      <c r="I5" s="20">
        <f>IF(A5="","",G5*1000/(F5/1000))</f>
        <v>135.95611009174314</v>
      </c>
      <c r="J5" s="20">
        <f>IF(A5="","",(C5*0.47+D5*2.68)/(G5*1000))</f>
        <v>2.1877284196410929</v>
      </c>
      <c r="K5" s="19">
        <f>IF(A5="","",INDEX($H$5:$H$8,1)*(1-0.06*MAX(0,MIN(8,A5-2022))/8))</f>
        <v>1989.1565100671141</v>
      </c>
      <c r="L5" s="20">
        <f>IF(A5="","",INDEX($I$5:$I$8,1)*(1-0.06*MAX(0,MIN(8,A5-2022))/8))</f>
        <v>135.95611009174314</v>
      </c>
      <c r="M5" s="15" t="str">
        <f>IF(A5="","",IF(A5=2021,"Referência",IF(H5&lt;=K5,"Na trajetória","Acima da meta")))</f>
        <v>Referência</v>
      </c>
      <c r="N5" s="15" t="str">
        <f>IF(A5="","",IF(A5=2021,"Referência",IF(I5&lt;=L5,"Na trajetória","Acima da meta")))</f>
        <v>Referência</v>
      </c>
      <c r="O5" s="15" t="str">
        <f>IF(A5="","",IF(A5=2021,"Referência",IF(J5&lt;=INDEX($J$5:$J$8,1)+0.0005,"Mantida","Aumentou")))</f>
        <v>Referência</v>
      </c>
    </row>
    <row r="6" spans="1:15" ht="30" customHeight="1" x14ac:dyDescent="0.3">
      <c r="A6" s="12">
        <v>2023</v>
      </c>
      <c r="B6" s="10" t="s">
        <v>296</v>
      </c>
      <c r="C6" s="16">
        <v>7020000</v>
      </c>
      <c r="D6" s="16">
        <v>3300</v>
      </c>
      <c r="E6" s="17">
        <v>770</v>
      </c>
      <c r="F6" s="18">
        <v>11600000</v>
      </c>
      <c r="G6" s="19">
        <f>IF(A6="","",(C6*0.215+D6*0.864)/1000)</f>
        <v>1512.1512</v>
      </c>
      <c r="H6" s="19">
        <f>IF(A6="","",G6*1000/E6)</f>
        <v>1963.8327272727272</v>
      </c>
      <c r="I6" s="20">
        <f>IF(A6="","",G6*1000/(F6/1000))</f>
        <v>130.35786206896552</v>
      </c>
      <c r="J6" s="20">
        <f>IF(A6="","",(C6*0.47+D6*2.68)/(G6*1000))</f>
        <v>2.1877732861634471</v>
      </c>
      <c r="K6" s="19">
        <f>IF(A6="","",INDEX($H$5:$H$8,1)*(1-0.06*MAX(0,MIN(8,A6-2022))/8))</f>
        <v>1974.2378362416109</v>
      </c>
      <c r="L6" s="20">
        <f>IF(A6="","",INDEX($I$5:$I$8,1)*(1-0.06*MAX(0,MIN(8,A6-2022))/8))</f>
        <v>134.93643926605506</v>
      </c>
      <c r="M6" s="15" t="str">
        <f>IF(A6="","",IF(A6=2021,"Referência",IF(H6&lt;=K6,"Na trajetória","Acima da meta")))</f>
        <v>Na trajetória</v>
      </c>
      <c r="N6" s="15" t="str">
        <f>IF(A6="","",IF(A6=2021,"Referência",IF(I6&lt;=L6,"Na trajetória","Acima da meta")))</f>
        <v>Na trajetória</v>
      </c>
      <c r="O6" s="15" t="str">
        <f>IF(A6="","",IF(A6=2021,"Referência",IF(J6&lt;=INDEX($J$5:$J$8,1)+0.0005,"Mantida","Aumentou")))</f>
        <v>Mantida</v>
      </c>
    </row>
    <row r="7" spans="1:15" ht="30" customHeight="1" x14ac:dyDescent="0.3">
      <c r="A7" s="12">
        <v>2025</v>
      </c>
      <c r="B7" s="10" t="s">
        <v>297</v>
      </c>
      <c r="C7" s="16">
        <v>6789583</v>
      </c>
      <c r="D7" s="16">
        <v>3217</v>
      </c>
      <c r="E7" s="17">
        <v>757.9</v>
      </c>
      <c r="F7" s="18">
        <v>12700000</v>
      </c>
      <c r="G7" s="19">
        <f>IF(A7="","",(C7*0.215+D7*0.864)/1000)</f>
        <v>1462.5398329999998</v>
      </c>
      <c r="H7" s="19">
        <f>IF(A7="","",G7*1000/E7)</f>
        <v>1929.726656550996</v>
      </c>
      <c r="I7" s="20">
        <f>IF(A7="","",G7*1000/(F7/1000))</f>
        <v>115.16061677165354</v>
      </c>
      <c r="J7" s="20">
        <f>IF(A7="","",(C7*0.47+D7*2.68)/(G7*1000))</f>
        <v>2.1877869565006236</v>
      </c>
      <c r="K7" s="19">
        <f>IF(A7="","",INDEX($H$5:$H$8,1)*(1-0.06*MAX(0,MIN(8,A7-2022))/8))</f>
        <v>1944.4004885906043</v>
      </c>
      <c r="L7" s="20">
        <f>IF(A7="","",INDEX($I$5:$I$8,1)*(1-0.06*MAX(0,MIN(8,A7-2022))/8))</f>
        <v>132.89709761467893</v>
      </c>
      <c r="M7" s="15" t="str">
        <f>IF(A7="","",IF(A7=2021,"Referência",IF(H7&lt;=K7,"Na trajetória","Acima da meta")))</f>
        <v>Na trajetória</v>
      </c>
      <c r="N7" s="15" t="str">
        <f>IF(A7="","",IF(A7=2021,"Referência",IF(I7&lt;=L7,"Na trajetória","Acima da meta")))</f>
        <v>Na trajetória</v>
      </c>
      <c r="O7" s="15" t="str">
        <f>IF(A7="","",IF(A7=2021,"Referência",IF(J7&lt;=INDEX($J$5:$J$8,1)+0.0005,"Mantida","Aumentou")))</f>
        <v>Mantida</v>
      </c>
    </row>
    <row r="8" spans="1:15" ht="30" customHeight="1" x14ac:dyDescent="0.3">
      <c r="A8" s="12">
        <v>2026</v>
      </c>
      <c r="B8" s="10" t="s">
        <v>298</v>
      </c>
      <c r="C8" s="16">
        <v>7781365</v>
      </c>
      <c r="D8" s="16">
        <v>3428</v>
      </c>
      <c r="E8" s="17">
        <v>875.5</v>
      </c>
      <c r="F8" s="18">
        <v>14300000</v>
      </c>
      <c r="G8" s="19">
        <f>IF(A8="","",(C8*0.215+D8*0.864)/1000)</f>
        <v>1675.9552669999998</v>
      </c>
      <c r="H8" s="19">
        <f>IF(A8="","",G8*1000/E8)</f>
        <v>1914.2835716733293</v>
      </c>
      <c r="I8" s="20">
        <f>IF(A8="","",G8*1000/(F8/1000))</f>
        <v>117.199669020979</v>
      </c>
      <c r="J8" s="20">
        <f>IF(A8="","",(C8*0.47+D8*2.68)/(G8*1000))</f>
        <v>2.1876649467876281</v>
      </c>
      <c r="K8" s="19">
        <f>IF(A8="","",INDEX($H$5:$H$8,1)*(1-0.06*MAX(0,MIN(8,A8-2022))/8))</f>
        <v>1929.4818147651006</v>
      </c>
      <c r="L8" s="20">
        <f>IF(A8="","",INDEX($I$5:$I$8,1)*(1-0.06*MAX(0,MIN(8,A8-2022))/8))</f>
        <v>131.87742678899085</v>
      </c>
      <c r="M8" s="15" t="str">
        <f>IF(A8="","",IF(A8=2021,"Referência",IF(H8&lt;=K8,"Na trajetória","Acima da meta")))</f>
        <v>Na trajetória</v>
      </c>
      <c r="N8" s="15" t="str">
        <f>IF(A8="","",IF(A8=2021,"Referência",IF(I8&lt;=L8,"Na trajetória","Acima da meta")))</f>
        <v>Na trajetória</v>
      </c>
      <c r="O8" s="15" t="str">
        <f>IF(A8="","",IF(A8=2021,"Referência",IF(J8&lt;=INDEX($J$5:$J$8,1)+0.0005,"Mantida","Aumentou")))</f>
        <v>Mantida</v>
      </c>
    </row>
  </sheetData>
  <conditionalFormatting sqref="M5:N208">
    <cfRule type="expression" dxfId="3" priority="1">
      <formula>ISNUMBER(SEARCH("Acima",M5))</formula>
    </cfRule>
    <cfRule type="expression" dxfId="2" priority="2">
      <formula>ISNUMBER(SEARCH("Na trajetória",M5))</formula>
    </cfRule>
  </conditionalFormatting>
  <conditionalFormatting sqref="O5:O208">
    <cfRule type="expression" dxfId="1" priority="5">
      <formula>ISNUMBER(SEARCH("Aumentou",O5))</formula>
    </cfRule>
    <cfRule type="expression" dxfId="0" priority="6">
      <formula>ISNUMBER(SEARCH("Mantida",O5))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16" customWidth="1"/>
  </cols>
  <sheetData>
    <row r="1" spans="1:3" x14ac:dyDescent="0.3">
      <c r="A1" s="21" t="s">
        <v>299</v>
      </c>
    </row>
    <row r="2" spans="1:3" x14ac:dyDescent="0.3">
      <c r="A2" s="22" t="s">
        <v>300</v>
      </c>
      <c r="B2" s="22" t="s">
        <v>301</v>
      </c>
      <c r="C2" s="22" t="s">
        <v>302</v>
      </c>
    </row>
    <row r="3" spans="1:3" x14ac:dyDescent="0.3">
      <c r="A3" s="23">
        <v>46387</v>
      </c>
      <c r="B3" s="6" t="s">
        <v>303</v>
      </c>
      <c r="C3" s="6" t="s">
        <v>119</v>
      </c>
    </row>
    <row r="4" spans="1:3" x14ac:dyDescent="0.3">
      <c r="B4" s="6" t="s">
        <v>304</v>
      </c>
      <c r="C4" s="6" t="s">
        <v>305</v>
      </c>
    </row>
    <row r="5" spans="1:3" ht="26.4" x14ac:dyDescent="0.3">
      <c r="B5" s="6" t="s">
        <v>121</v>
      </c>
      <c r="C5" s="6" t="s">
        <v>156</v>
      </c>
    </row>
    <row r="6" spans="1:3" x14ac:dyDescent="0.3">
      <c r="B6" s="6" t="s">
        <v>306</v>
      </c>
      <c r="C6" s="6" t="s">
        <v>307</v>
      </c>
    </row>
    <row r="7" spans="1:3" x14ac:dyDescent="0.3">
      <c r="B7" s="6" t="s">
        <v>308</v>
      </c>
    </row>
    <row r="8" spans="1:3" x14ac:dyDescent="0.3">
      <c r="B8" s="6" t="s">
        <v>309</v>
      </c>
    </row>
    <row r="9" spans="1:3" x14ac:dyDescent="0.3">
      <c r="B9" s="6" t="s">
        <v>213</v>
      </c>
    </row>
    <row r="10" spans="1:3" x14ac:dyDescent="0.3">
      <c r="B10" s="6" t="s">
        <v>310</v>
      </c>
    </row>
    <row r="11" spans="1:3" x14ac:dyDescent="0.3">
      <c r="B11" s="6" t="s">
        <v>144</v>
      </c>
    </row>
    <row r="12" spans="1:3" x14ac:dyDescent="0.3">
      <c r="B12" s="6" t="s">
        <v>186</v>
      </c>
    </row>
    <row r="13" spans="1:3" x14ac:dyDescent="0.3">
      <c r="B13" s="6" t="s">
        <v>311</v>
      </c>
    </row>
    <row r="14" spans="1:3" x14ac:dyDescent="0.3">
      <c r="B14" s="6" t="s">
        <v>312</v>
      </c>
    </row>
    <row r="15" spans="1:3" x14ac:dyDescent="0.3">
      <c r="B15" s="6" t="s">
        <v>313</v>
      </c>
    </row>
    <row r="16" spans="1:3" x14ac:dyDescent="0.3">
      <c r="B16" s="6" t="s">
        <v>314</v>
      </c>
    </row>
    <row r="17" spans="2:2" x14ac:dyDescent="0.3">
      <c r="B17" s="6" t="s">
        <v>315</v>
      </c>
    </row>
    <row r="18" spans="2:2" x14ac:dyDescent="0.3">
      <c r="B18" s="6" t="s">
        <v>316</v>
      </c>
    </row>
    <row r="19" spans="2:2" x14ac:dyDescent="0.3">
      <c r="B19" s="6" t="s">
        <v>317</v>
      </c>
    </row>
    <row r="20" spans="2:2" x14ac:dyDescent="0.3">
      <c r="B20" s="6" t="s">
        <v>318</v>
      </c>
    </row>
    <row r="21" spans="2:2" x14ac:dyDescent="0.3">
      <c r="B21" s="6" t="s">
        <v>319</v>
      </c>
    </row>
    <row r="22" spans="2:2" x14ac:dyDescent="0.3">
      <c r="B22" s="6" t="s">
        <v>320</v>
      </c>
    </row>
    <row r="23" spans="2:2" x14ac:dyDescent="0.3">
      <c r="B23" s="6" t="s">
        <v>321</v>
      </c>
    </row>
    <row r="24" spans="2:2" x14ac:dyDescent="0.3">
      <c r="B24" s="6" t="s">
        <v>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323</v>
      </c>
      <c r="B1" s="8" t="s">
        <v>324</v>
      </c>
      <c r="C1" s="8" t="s">
        <v>325</v>
      </c>
      <c r="D1" s="8" t="s">
        <v>326</v>
      </c>
      <c r="E1" s="8" t="s">
        <v>327</v>
      </c>
      <c r="F1" s="8" t="s">
        <v>328</v>
      </c>
      <c r="G1" s="8" t="s">
        <v>329</v>
      </c>
      <c r="H1" s="8" t="s">
        <v>330</v>
      </c>
      <c r="I1" s="8" t="s">
        <v>331</v>
      </c>
    </row>
    <row r="2" spans="1:9" x14ac:dyDescent="0.3">
      <c r="A2" s="24" t="s">
        <v>48</v>
      </c>
      <c r="B2" s="24" t="s">
        <v>332</v>
      </c>
      <c r="C2" s="24" t="s">
        <v>80</v>
      </c>
      <c r="D2" s="24" t="s">
        <v>333</v>
      </c>
      <c r="E2" s="24" t="s">
        <v>334</v>
      </c>
      <c r="F2" s="24" t="s">
        <v>335</v>
      </c>
      <c r="G2" s="24"/>
      <c r="H2" s="24" t="s">
        <v>336</v>
      </c>
      <c r="I2" s="24" t="s">
        <v>337</v>
      </c>
    </row>
    <row r="3" spans="1:9" x14ac:dyDescent="0.3">
      <c r="A3" s="24" t="s">
        <v>48</v>
      </c>
      <c r="B3" s="24" t="s">
        <v>332</v>
      </c>
      <c r="C3" s="24" t="s">
        <v>81</v>
      </c>
      <c r="D3" s="24" t="s">
        <v>333</v>
      </c>
      <c r="E3" s="24" t="s">
        <v>334</v>
      </c>
      <c r="F3" s="24" t="s">
        <v>338</v>
      </c>
      <c r="G3" s="24"/>
      <c r="H3" s="24" t="s">
        <v>336</v>
      </c>
      <c r="I3" s="24"/>
    </row>
    <row r="4" spans="1:9" x14ac:dyDescent="0.3">
      <c r="A4" s="24" t="s">
        <v>48</v>
      </c>
      <c r="B4" s="24" t="s">
        <v>332</v>
      </c>
      <c r="C4" s="24" t="s">
        <v>82</v>
      </c>
      <c r="D4" s="24" t="s">
        <v>333</v>
      </c>
      <c r="E4" s="24" t="s">
        <v>334</v>
      </c>
      <c r="F4" s="24" t="s">
        <v>339</v>
      </c>
      <c r="G4" s="24"/>
      <c r="H4" s="24" t="s">
        <v>336</v>
      </c>
      <c r="I4" s="24"/>
    </row>
    <row r="5" spans="1:9" x14ac:dyDescent="0.3">
      <c r="A5" s="24" t="s">
        <v>48</v>
      </c>
      <c r="B5" s="24" t="s">
        <v>332</v>
      </c>
      <c r="C5" s="24" t="s">
        <v>83</v>
      </c>
      <c r="D5" s="24" t="s">
        <v>333</v>
      </c>
      <c r="E5" s="24" t="s">
        <v>334</v>
      </c>
      <c r="F5" s="24" t="s">
        <v>340</v>
      </c>
      <c r="G5" s="24"/>
      <c r="H5" s="24" t="s">
        <v>336</v>
      </c>
      <c r="I5" s="24"/>
    </row>
    <row r="6" spans="1:9" ht="26.4" x14ac:dyDescent="0.3">
      <c r="A6" s="24" t="s">
        <v>48</v>
      </c>
      <c r="B6" s="24" t="s">
        <v>332</v>
      </c>
      <c r="C6" s="24" t="s">
        <v>84</v>
      </c>
      <c r="D6" s="24" t="s">
        <v>341</v>
      </c>
      <c r="E6" s="24" t="s">
        <v>334</v>
      </c>
      <c r="F6" s="24" t="s">
        <v>342</v>
      </c>
      <c r="G6" s="24"/>
      <c r="H6" s="24" t="s">
        <v>336</v>
      </c>
      <c r="I6" s="24"/>
    </row>
    <row r="7" spans="1:9" x14ac:dyDescent="0.3">
      <c r="A7" s="24" t="s">
        <v>48</v>
      </c>
      <c r="B7" s="24" t="s">
        <v>332</v>
      </c>
      <c r="C7" s="24" t="s">
        <v>85</v>
      </c>
      <c r="D7" s="24" t="s">
        <v>333</v>
      </c>
      <c r="E7" s="24" t="s">
        <v>334</v>
      </c>
      <c r="F7" s="24" t="s">
        <v>343</v>
      </c>
      <c r="G7" s="24"/>
      <c r="H7" s="24" t="s">
        <v>336</v>
      </c>
      <c r="I7" s="24"/>
    </row>
    <row r="8" spans="1:9" x14ac:dyDescent="0.3">
      <c r="A8" s="24" t="s">
        <v>48</v>
      </c>
      <c r="B8" s="24" t="s">
        <v>332</v>
      </c>
      <c r="C8" s="24" t="s">
        <v>86</v>
      </c>
      <c r="D8" s="24" t="s">
        <v>333</v>
      </c>
      <c r="E8" s="24" t="s">
        <v>334</v>
      </c>
      <c r="F8" s="24" t="s">
        <v>344</v>
      </c>
      <c r="G8" s="24"/>
      <c r="H8" s="24" t="s">
        <v>336</v>
      </c>
      <c r="I8" s="24"/>
    </row>
    <row r="9" spans="1:9" x14ac:dyDescent="0.3">
      <c r="A9" s="24" t="s">
        <v>48</v>
      </c>
      <c r="B9" s="24" t="s">
        <v>332</v>
      </c>
      <c r="C9" s="24" t="s">
        <v>87</v>
      </c>
      <c r="D9" s="24" t="s">
        <v>333</v>
      </c>
      <c r="E9" s="24" t="s">
        <v>334</v>
      </c>
      <c r="F9" s="24" t="s">
        <v>345</v>
      </c>
      <c r="G9" s="24"/>
      <c r="H9" s="24" t="s">
        <v>336</v>
      </c>
      <c r="I9" s="24"/>
    </row>
    <row r="10" spans="1:9" x14ac:dyDescent="0.3">
      <c r="A10" s="24" t="s">
        <v>48</v>
      </c>
      <c r="B10" s="24" t="s">
        <v>332</v>
      </c>
      <c r="C10" s="24" t="s">
        <v>88</v>
      </c>
      <c r="D10" s="24" t="s">
        <v>333</v>
      </c>
      <c r="E10" s="24" t="s">
        <v>334</v>
      </c>
      <c r="F10" s="24" t="s">
        <v>346</v>
      </c>
      <c r="G10" s="24"/>
      <c r="H10" s="24" t="s">
        <v>336</v>
      </c>
      <c r="I10" s="24"/>
    </row>
    <row r="11" spans="1:9" x14ac:dyDescent="0.3">
      <c r="A11" s="24" t="s">
        <v>48</v>
      </c>
      <c r="B11" s="24" t="s">
        <v>332</v>
      </c>
      <c r="C11" s="24" t="s">
        <v>89</v>
      </c>
      <c r="D11" s="24" t="s">
        <v>333</v>
      </c>
      <c r="E11" s="24" t="s">
        <v>334</v>
      </c>
      <c r="F11" s="24" t="s">
        <v>347</v>
      </c>
      <c r="G11" s="24"/>
      <c r="H11" s="24" t="s">
        <v>336</v>
      </c>
      <c r="I11" s="24"/>
    </row>
    <row r="12" spans="1:9" x14ac:dyDescent="0.3">
      <c r="A12" s="24" t="s">
        <v>48</v>
      </c>
      <c r="B12" s="24" t="s">
        <v>332</v>
      </c>
      <c r="C12" s="24" t="s">
        <v>90</v>
      </c>
      <c r="D12" s="24" t="s">
        <v>333</v>
      </c>
      <c r="E12" s="24" t="s">
        <v>334</v>
      </c>
      <c r="F12" s="24" t="s">
        <v>348</v>
      </c>
      <c r="G12" s="24"/>
      <c r="H12" s="24" t="s">
        <v>336</v>
      </c>
      <c r="I12" s="24"/>
    </row>
    <row r="13" spans="1:9" x14ac:dyDescent="0.3">
      <c r="A13" s="24" t="s">
        <v>48</v>
      </c>
      <c r="B13" s="24" t="s">
        <v>332</v>
      </c>
      <c r="C13" s="24" t="s">
        <v>91</v>
      </c>
      <c r="D13" s="24" t="s">
        <v>333</v>
      </c>
      <c r="E13" s="24" t="s">
        <v>334</v>
      </c>
      <c r="F13" s="24" t="s">
        <v>349</v>
      </c>
      <c r="G13" s="24"/>
      <c r="H13" s="24" t="s">
        <v>336</v>
      </c>
      <c r="I13" s="24"/>
    </row>
    <row r="14" spans="1:9" x14ac:dyDescent="0.3">
      <c r="A14" s="24" t="s">
        <v>48</v>
      </c>
      <c r="B14" s="24" t="s">
        <v>332</v>
      </c>
      <c r="C14" s="24" t="s">
        <v>92</v>
      </c>
      <c r="D14" s="24" t="s">
        <v>333</v>
      </c>
      <c r="E14" s="24" t="s">
        <v>334</v>
      </c>
      <c r="F14" s="24" t="s">
        <v>350</v>
      </c>
      <c r="G14" s="24"/>
      <c r="H14" s="24" t="s">
        <v>336</v>
      </c>
      <c r="I14" s="24"/>
    </row>
    <row r="15" spans="1:9" ht="26.4" x14ac:dyDescent="0.3">
      <c r="A15" s="24" t="s">
        <v>48</v>
      </c>
      <c r="B15" s="24" t="s">
        <v>332</v>
      </c>
      <c r="C15" s="24" t="s">
        <v>93</v>
      </c>
      <c r="D15" s="24" t="s">
        <v>333</v>
      </c>
      <c r="E15" s="24" t="s">
        <v>334</v>
      </c>
      <c r="F15" s="24" t="s">
        <v>351</v>
      </c>
      <c r="G15" s="24"/>
      <c r="H15" s="24" t="s">
        <v>336</v>
      </c>
      <c r="I15" s="24"/>
    </row>
    <row r="16" spans="1:9" x14ac:dyDescent="0.3">
      <c r="A16" s="24" t="s">
        <v>48</v>
      </c>
      <c r="B16" s="24" t="s">
        <v>332</v>
      </c>
      <c r="C16" s="24" t="s">
        <v>94</v>
      </c>
      <c r="D16" s="24" t="s">
        <v>333</v>
      </c>
      <c r="E16" s="24" t="s">
        <v>334</v>
      </c>
      <c r="F16" s="24" t="s">
        <v>340</v>
      </c>
      <c r="G16" s="24"/>
      <c r="H16" s="24" t="s">
        <v>336</v>
      </c>
      <c r="I16" s="24"/>
    </row>
    <row r="17" spans="1:9" ht="26.4" x14ac:dyDescent="0.3">
      <c r="A17" s="24" t="s">
        <v>48</v>
      </c>
      <c r="B17" s="24" t="s">
        <v>332</v>
      </c>
      <c r="C17" s="24" t="s">
        <v>95</v>
      </c>
      <c r="D17" s="24" t="s">
        <v>341</v>
      </c>
      <c r="E17" s="24" t="s">
        <v>334</v>
      </c>
      <c r="F17" s="24" t="s">
        <v>352</v>
      </c>
      <c r="G17" s="24"/>
      <c r="H17" s="24" t="s">
        <v>336</v>
      </c>
      <c r="I17" s="24"/>
    </row>
    <row r="18" spans="1:9" x14ac:dyDescent="0.3">
      <c r="A18" s="24" t="s">
        <v>48</v>
      </c>
      <c r="B18" s="24" t="s">
        <v>332</v>
      </c>
      <c r="C18" s="24" t="s">
        <v>14</v>
      </c>
      <c r="D18" s="24" t="s">
        <v>333</v>
      </c>
      <c r="E18" s="24" t="s">
        <v>334</v>
      </c>
      <c r="F18" s="24" t="s">
        <v>353</v>
      </c>
      <c r="G18" s="24" t="s">
        <v>354</v>
      </c>
      <c r="H18" s="24" t="s">
        <v>336</v>
      </c>
      <c r="I18" s="24"/>
    </row>
    <row r="19" spans="1:9" ht="26.4" x14ac:dyDescent="0.3">
      <c r="A19" s="24" t="s">
        <v>48</v>
      </c>
      <c r="B19" s="24" t="s">
        <v>332</v>
      </c>
      <c r="C19" s="24" t="s">
        <v>96</v>
      </c>
      <c r="D19" s="24" t="s">
        <v>341</v>
      </c>
      <c r="E19" s="24" t="s">
        <v>334</v>
      </c>
      <c r="F19" s="24" t="s">
        <v>355</v>
      </c>
      <c r="G19" s="24"/>
      <c r="H19" s="24" t="s">
        <v>336</v>
      </c>
      <c r="I19" s="24"/>
    </row>
    <row r="20" spans="1:9" x14ac:dyDescent="0.3">
      <c r="A20" s="24" t="s">
        <v>48</v>
      </c>
      <c r="B20" s="24" t="s">
        <v>332</v>
      </c>
      <c r="C20" s="24" t="s">
        <v>97</v>
      </c>
      <c r="D20" s="24" t="s">
        <v>356</v>
      </c>
      <c r="E20" s="24" t="s">
        <v>334</v>
      </c>
      <c r="F20" s="24" t="s">
        <v>357</v>
      </c>
      <c r="G20" s="24"/>
      <c r="H20" s="24" t="s">
        <v>336</v>
      </c>
      <c r="I20" s="24"/>
    </row>
    <row r="21" spans="1:9" ht="26.4" x14ac:dyDescent="0.3">
      <c r="A21" s="24" t="s">
        <v>48</v>
      </c>
      <c r="B21" s="24" t="s">
        <v>332</v>
      </c>
      <c r="C21" s="24" t="s">
        <v>98</v>
      </c>
      <c r="D21" s="24" t="s">
        <v>341</v>
      </c>
      <c r="E21" s="24" t="s">
        <v>358</v>
      </c>
      <c r="F21" s="24" t="s">
        <v>359</v>
      </c>
      <c r="G21" s="24"/>
      <c r="H21" s="24" t="s">
        <v>336</v>
      </c>
      <c r="I21" s="24"/>
    </row>
    <row r="22" spans="1:9" x14ac:dyDescent="0.3">
      <c r="A22" s="24" t="s">
        <v>48</v>
      </c>
      <c r="B22" s="24" t="s">
        <v>332</v>
      </c>
      <c r="C22" s="24" t="s">
        <v>99</v>
      </c>
      <c r="D22" s="24" t="s">
        <v>356</v>
      </c>
      <c r="E22" s="24" t="s">
        <v>358</v>
      </c>
      <c r="F22" s="24" t="s">
        <v>360</v>
      </c>
      <c r="G22" s="24"/>
      <c r="H22" s="24" t="s">
        <v>336</v>
      </c>
      <c r="I22" s="24"/>
    </row>
    <row r="23" spans="1:9" x14ac:dyDescent="0.3">
      <c r="A23" s="24" t="s">
        <v>48</v>
      </c>
      <c r="B23" s="24" t="s">
        <v>332</v>
      </c>
      <c r="C23" s="24" t="s">
        <v>100</v>
      </c>
      <c r="D23" s="24" t="s">
        <v>333</v>
      </c>
      <c r="E23" s="24" t="s">
        <v>358</v>
      </c>
      <c r="F23" s="24" t="s">
        <v>361</v>
      </c>
      <c r="G23" s="24"/>
      <c r="H23" s="24" t="s">
        <v>336</v>
      </c>
      <c r="I23" s="24"/>
    </row>
    <row r="24" spans="1:9" x14ac:dyDescent="0.3">
      <c r="A24" s="24" t="s">
        <v>48</v>
      </c>
      <c r="B24" s="24" t="s">
        <v>332</v>
      </c>
      <c r="C24" s="24" t="s">
        <v>101</v>
      </c>
      <c r="D24" s="24" t="s">
        <v>333</v>
      </c>
      <c r="E24" s="24" t="s">
        <v>334</v>
      </c>
      <c r="F24" s="24" t="s">
        <v>362</v>
      </c>
      <c r="G24" s="24"/>
      <c r="H24" s="24" t="s">
        <v>363</v>
      </c>
      <c r="I24" s="24"/>
    </row>
    <row r="25" spans="1:9" x14ac:dyDescent="0.3">
      <c r="A25" s="24" t="s">
        <v>48</v>
      </c>
      <c r="B25" s="24" t="s">
        <v>332</v>
      </c>
      <c r="C25" s="24" t="s">
        <v>102</v>
      </c>
      <c r="D25" s="24" t="s">
        <v>333</v>
      </c>
      <c r="E25" s="24" t="s">
        <v>334</v>
      </c>
      <c r="F25" s="24" t="s">
        <v>364</v>
      </c>
      <c r="G25" s="24" t="s">
        <v>365</v>
      </c>
      <c r="H25" s="24" t="s">
        <v>336</v>
      </c>
      <c r="I25" s="24"/>
    </row>
    <row r="26" spans="1:9" x14ac:dyDescent="0.3">
      <c r="A26" s="24" t="s">
        <v>48</v>
      </c>
      <c r="B26" s="24" t="s">
        <v>332</v>
      </c>
      <c r="C26" s="24" t="s">
        <v>103</v>
      </c>
      <c r="D26" s="24" t="s">
        <v>333</v>
      </c>
      <c r="E26" s="24" t="s">
        <v>334</v>
      </c>
      <c r="F26" s="24" t="s">
        <v>366</v>
      </c>
      <c r="G26" s="24"/>
      <c r="H26" s="24" t="s">
        <v>336</v>
      </c>
      <c r="I26" s="24"/>
    </row>
    <row r="27" spans="1:9" x14ac:dyDescent="0.3">
      <c r="A27" s="24" t="s">
        <v>48</v>
      </c>
      <c r="B27" s="24" t="s">
        <v>332</v>
      </c>
      <c r="C27" s="24" t="s">
        <v>104</v>
      </c>
      <c r="D27" s="24" t="s">
        <v>333</v>
      </c>
      <c r="E27" s="24" t="s">
        <v>334</v>
      </c>
      <c r="F27" s="24" t="s">
        <v>367</v>
      </c>
      <c r="G27" s="24"/>
      <c r="H27" s="24" t="s">
        <v>336</v>
      </c>
      <c r="I27" s="24"/>
    </row>
    <row r="28" spans="1:9" x14ac:dyDescent="0.3">
      <c r="A28" s="24" t="s">
        <v>48</v>
      </c>
      <c r="B28" s="24" t="s">
        <v>332</v>
      </c>
      <c r="C28" s="24" t="s">
        <v>105</v>
      </c>
      <c r="D28" s="24" t="s">
        <v>333</v>
      </c>
      <c r="E28" s="24" t="s">
        <v>334</v>
      </c>
      <c r="F28" s="24" t="s">
        <v>368</v>
      </c>
      <c r="G28" s="24"/>
      <c r="H28" s="24" t="s">
        <v>336</v>
      </c>
      <c r="I28" s="24"/>
    </row>
    <row r="29" spans="1:9" x14ac:dyDescent="0.3">
      <c r="A29" s="24" t="s">
        <v>48</v>
      </c>
      <c r="B29" s="24" t="s">
        <v>332</v>
      </c>
      <c r="C29" s="24" t="s">
        <v>106</v>
      </c>
      <c r="D29" s="24" t="s">
        <v>333</v>
      </c>
      <c r="E29" s="24" t="s">
        <v>334</v>
      </c>
      <c r="F29" s="24" t="s">
        <v>369</v>
      </c>
      <c r="G29" s="24"/>
      <c r="H29" s="24" t="s">
        <v>336</v>
      </c>
      <c r="I29" s="24"/>
    </row>
    <row r="30" spans="1:9" x14ac:dyDescent="0.3">
      <c r="A30" s="24" t="s">
        <v>50</v>
      </c>
      <c r="B30" s="24" t="s">
        <v>370</v>
      </c>
      <c r="C30" s="24" t="s">
        <v>251</v>
      </c>
      <c r="D30" s="24" t="s">
        <v>333</v>
      </c>
      <c r="E30" s="24" t="s">
        <v>334</v>
      </c>
      <c r="F30" s="24" t="s">
        <v>371</v>
      </c>
      <c r="G30" s="24"/>
      <c r="H30" s="24" t="s">
        <v>336</v>
      </c>
      <c r="I30" s="24" t="s">
        <v>337</v>
      </c>
    </row>
    <row r="31" spans="1:9" ht="26.4" x14ac:dyDescent="0.3">
      <c r="A31" s="24" t="s">
        <v>50</v>
      </c>
      <c r="B31" s="24" t="s">
        <v>370</v>
      </c>
      <c r="C31" s="24" t="s">
        <v>80</v>
      </c>
      <c r="D31" s="24" t="s">
        <v>333</v>
      </c>
      <c r="E31" s="24" t="s">
        <v>334</v>
      </c>
      <c r="F31" s="24" t="s">
        <v>372</v>
      </c>
      <c r="G31" s="24"/>
      <c r="H31" s="24" t="s">
        <v>336</v>
      </c>
      <c r="I31" s="24" t="s">
        <v>373</v>
      </c>
    </row>
    <row r="32" spans="1:9" x14ac:dyDescent="0.3">
      <c r="A32" s="24" t="s">
        <v>50</v>
      </c>
      <c r="B32" s="24" t="s">
        <v>370</v>
      </c>
      <c r="C32" s="24" t="s">
        <v>252</v>
      </c>
      <c r="D32" s="24" t="s">
        <v>333</v>
      </c>
      <c r="E32" s="24" t="s">
        <v>334</v>
      </c>
      <c r="F32" s="24" t="s">
        <v>371</v>
      </c>
      <c r="G32" s="24"/>
      <c r="H32" s="24" t="s">
        <v>336</v>
      </c>
      <c r="I32" s="24"/>
    </row>
    <row r="33" spans="1:9" x14ac:dyDescent="0.3">
      <c r="A33" s="24" t="s">
        <v>50</v>
      </c>
      <c r="B33" s="24" t="s">
        <v>370</v>
      </c>
      <c r="C33" s="24" t="s">
        <v>253</v>
      </c>
      <c r="D33" s="24" t="s">
        <v>333</v>
      </c>
      <c r="E33" s="24" t="s">
        <v>334</v>
      </c>
      <c r="F33" s="24" t="s">
        <v>374</v>
      </c>
      <c r="G33" s="24"/>
      <c r="H33" s="24" t="s">
        <v>336</v>
      </c>
      <c r="I33" s="24"/>
    </row>
    <row r="34" spans="1:9" ht="26.4" x14ac:dyDescent="0.3">
      <c r="A34" s="24" t="s">
        <v>50</v>
      </c>
      <c r="B34" s="24" t="s">
        <v>370</v>
      </c>
      <c r="C34" s="24" t="s">
        <v>254</v>
      </c>
      <c r="D34" s="24" t="s">
        <v>341</v>
      </c>
      <c r="E34" s="24" t="s">
        <v>334</v>
      </c>
      <c r="F34" s="24" t="s">
        <v>375</v>
      </c>
      <c r="G34" s="24"/>
      <c r="H34" s="24" t="s">
        <v>336</v>
      </c>
      <c r="I34" s="24"/>
    </row>
    <row r="35" spans="1:9" ht="26.4" x14ac:dyDescent="0.3">
      <c r="A35" s="24" t="s">
        <v>50</v>
      </c>
      <c r="B35" s="24" t="s">
        <v>370</v>
      </c>
      <c r="C35" s="24" t="s">
        <v>255</v>
      </c>
      <c r="D35" s="24" t="s">
        <v>341</v>
      </c>
      <c r="E35" s="24" t="s">
        <v>334</v>
      </c>
      <c r="F35" s="24" t="s">
        <v>376</v>
      </c>
      <c r="G35" s="24"/>
      <c r="H35" s="24" t="s">
        <v>363</v>
      </c>
      <c r="I35" s="24"/>
    </row>
    <row r="36" spans="1:9" x14ac:dyDescent="0.3">
      <c r="A36" s="24" t="s">
        <v>50</v>
      </c>
      <c r="B36" s="24" t="s">
        <v>370</v>
      </c>
      <c r="C36" s="24" t="s">
        <v>256</v>
      </c>
      <c r="D36" s="24" t="s">
        <v>333</v>
      </c>
      <c r="E36" s="24" t="s">
        <v>334</v>
      </c>
      <c r="F36" s="24" t="s">
        <v>377</v>
      </c>
      <c r="G36" s="24"/>
      <c r="H36" s="24" t="s">
        <v>336</v>
      </c>
      <c r="I36" s="24"/>
    </row>
    <row r="37" spans="1:9" x14ac:dyDescent="0.3">
      <c r="A37" s="24" t="s">
        <v>50</v>
      </c>
      <c r="B37" s="24" t="s">
        <v>370</v>
      </c>
      <c r="C37" s="24" t="s">
        <v>102</v>
      </c>
      <c r="D37" s="24" t="s">
        <v>333</v>
      </c>
      <c r="E37" s="24" t="s">
        <v>334</v>
      </c>
      <c r="F37" s="24" t="s">
        <v>364</v>
      </c>
      <c r="G37" s="24" t="s">
        <v>365</v>
      </c>
      <c r="H37" s="24" t="s">
        <v>336</v>
      </c>
      <c r="I37" s="24"/>
    </row>
    <row r="38" spans="1:9" x14ac:dyDescent="0.3">
      <c r="A38" s="24" t="s">
        <v>50</v>
      </c>
      <c r="B38" s="24" t="s">
        <v>370</v>
      </c>
      <c r="C38" s="24" t="s">
        <v>257</v>
      </c>
      <c r="D38" s="24" t="s">
        <v>356</v>
      </c>
      <c r="E38" s="24" t="s">
        <v>358</v>
      </c>
      <c r="F38" s="24" t="s">
        <v>378</v>
      </c>
      <c r="G38" s="24"/>
      <c r="H38" s="24" t="s">
        <v>336</v>
      </c>
      <c r="I38" s="24"/>
    </row>
    <row r="39" spans="1:9" x14ac:dyDescent="0.3">
      <c r="A39" s="24" t="s">
        <v>50</v>
      </c>
      <c r="B39" s="24" t="s">
        <v>370</v>
      </c>
      <c r="C39" s="24" t="s">
        <v>14</v>
      </c>
      <c r="D39" s="24" t="s">
        <v>333</v>
      </c>
      <c r="E39" s="24" t="s">
        <v>358</v>
      </c>
      <c r="F39" s="24" t="s">
        <v>379</v>
      </c>
      <c r="G39" s="24"/>
      <c r="H39" s="24" t="s">
        <v>336</v>
      </c>
      <c r="I39" s="24"/>
    </row>
    <row r="40" spans="1:9" x14ac:dyDescent="0.3">
      <c r="A40" s="24" t="s">
        <v>52</v>
      </c>
      <c r="B40" s="24" t="s">
        <v>380</v>
      </c>
      <c r="C40" s="24" t="s">
        <v>280</v>
      </c>
      <c r="D40" s="24" t="s">
        <v>356</v>
      </c>
      <c r="E40" s="24" t="s">
        <v>334</v>
      </c>
      <c r="F40" s="24" t="s">
        <v>381</v>
      </c>
      <c r="G40" s="24"/>
      <c r="H40" s="24" t="s">
        <v>336</v>
      </c>
      <c r="I40" s="24" t="s">
        <v>337</v>
      </c>
    </row>
    <row r="41" spans="1:9" x14ac:dyDescent="0.3">
      <c r="A41" s="24" t="s">
        <v>52</v>
      </c>
      <c r="B41" s="24" t="s">
        <v>380</v>
      </c>
      <c r="C41" s="24" t="s">
        <v>281</v>
      </c>
      <c r="D41" s="24" t="s">
        <v>333</v>
      </c>
      <c r="E41" s="24" t="s">
        <v>334</v>
      </c>
      <c r="F41" s="24" t="s">
        <v>382</v>
      </c>
      <c r="G41" s="24"/>
      <c r="H41" s="24" t="s">
        <v>336</v>
      </c>
      <c r="I41" s="24"/>
    </row>
    <row r="42" spans="1:9" x14ac:dyDescent="0.3">
      <c r="A42" s="24" t="s">
        <v>52</v>
      </c>
      <c r="B42" s="24" t="s">
        <v>380</v>
      </c>
      <c r="C42" s="24" t="s">
        <v>282</v>
      </c>
      <c r="D42" s="24" t="s">
        <v>383</v>
      </c>
      <c r="E42" s="24" t="s">
        <v>334</v>
      </c>
      <c r="F42" s="24" t="s">
        <v>384</v>
      </c>
      <c r="G42" s="24"/>
      <c r="H42" s="24" t="s">
        <v>336</v>
      </c>
      <c r="I42" s="24"/>
    </row>
    <row r="43" spans="1:9" x14ac:dyDescent="0.3">
      <c r="A43" s="24" t="s">
        <v>52</v>
      </c>
      <c r="B43" s="24" t="s">
        <v>380</v>
      </c>
      <c r="C43" s="24" t="s">
        <v>283</v>
      </c>
      <c r="D43" s="24" t="s">
        <v>385</v>
      </c>
      <c r="E43" s="24" t="s">
        <v>334</v>
      </c>
      <c r="F43" s="24" t="s">
        <v>386</v>
      </c>
      <c r="G43" s="24"/>
      <c r="H43" s="24" t="s">
        <v>336</v>
      </c>
      <c r="I43" s="24"/>
    </row>
    <row r="44" spans="1:9" x14ac:dyDescent="0.3">
      <c r="A44" s="24" t="s">
        <v>52</v>
      </c>
      <c r="B44" s="24" t="s">
        <v>380</v>
      </c>
      <c r="C44" s="24" t="s">
        <v>284</v>
      </c>
      <c r="D44" s="24" t="s">
        <v>385</v>
      </c>
      <c r="E44" s="24" t="s">
        <v>334</v>
      </c>
      <c r="F44" s="24" t="s">
        <v>387</v>
      </c>
      <c r="G44" s="24"/>
      <c r="H44" s="24" t="s">
        <v>336</v>
      </c>
      <c r="I44" s="24"/>
    </row>
    <row r="45" spans="1:9" x14ac:dyDescent="0.3">
      <c r="A45" s="24" t="s">
        <v>52</v>
      </c>
      <c r="B45" s="24" t="s">
        <v>380</v>
      </c>
      <c r="C45" s="24" t="s">
        <v>285</v>
      </c>
      <c r="D45" s="24" t="s">
        <v>388</v>
      </c>
      <c r="E45" s="24" t="s">
        <v>334</v>
      </c>
      <c r="F45" s="24" t="s">
        <v>389</v>
      </c>
      <c r="G45" s="24"/>
      <c r="H45" s="24" t="s">
        <v>336</v>
      </c>
      <c r="I45" s="24"/>
    </row>
    <row r="46" spans="1:9" x14ac:dyDescent="0.3">
      <c r="A46" s="24" t="s">
        <v>52</v>
      </c>
      <c r="B46" s="24" t="s">
        <v>380</v>
      </c>
      <c r="C46" s="24" t="s">
        <v>286</v>
      </c>
      <c r="D46" s="24" t="s">
        <v>385</v>
      </c>
      <c r="E46" s="24" t="s">
        <v>358</v>
      </c>
      <c r="F46" s="24" t="s">
        <v>390</v>
      </c>
      <c r="G46" s="24"/>
      <c r="H46" s="24" t="s">
        <v>336</v>
      </c>
      <c r="I46" s="24"/>
    </row>
    <row r="47" spans="1:9" x14ac:dyDescent="0.3">
      <c r="A47" s="24" t="s">
        <v>52</v>
      </c>
      <c r="B47" s="24" t="s">
        <v>380</v>
      </c>
      <c r="C47" s="24" t="s">
        <v>287</v>
      </c>
      <c r="D47" s="24" t="s">
        <v>385</v>
      </c>
      <c r="E47" s="24" t="s">
        <v>358</v>
      </c>
      <c r="F47" s="24" t="s">
        <v>391</v>
      </c>
      <c r="G47" s="24"/>
      <c r="H47" s="24" t="s">
        <v>336</v>
      </c>
      <c r="I47" s="24"/>
    </row>
    <row r="48" spans="1:9" x14ac:dyDescent="0.3">
      <c r="A48" s="24" t="s">
        <v>52</v>
      </c>
      <c r="B48" s="24" t="s">
        <v>380</v>
      </c>
      <c r="C48" s="24" t="s">
        <v>288</v>
      </c>
      <c r="D48" s="24" t="s">
        <v>385</v>
      </c>
      <c r="E48" s="24" t="s">
        <v>358</v>
      </c>
      <c r="F48" s="24" t="s">
        <v>392</v>
      </c>
      <c r="G48" s="24"/>
      <c r="H48" s="24" t="s">
        <v>336</v>
      </c>
      <c r="I48" s="24"/>
    </row>
    <row r="49" spans="1:9" x14ac:dyDescent="0.3">
      <c r="A49" s="24" t="s">
        <v>52</v>
      </c>
      <c r="B49" s="24" t="s">
        <v>380</v>
      </c>
      <c r="C49" s="24" t="s">
        <v>289</v>
      </c>
      <c r="D49" s="24" t="s">
        <v>385</v>
      </c>
      <c r="E49" s="24" t="s">
        <v>358</v>
      </c>
      <c r="F49" s="24" t="s">
        <v>393</v>
      </c>
      <c r="G49" s="24"/>
      <c r="H49" s="24" t="s">
        <v>336</v>
      </c>
      <c r="I49" s="24"/>
    </row>
    <row r="50" spans="1:9" x14ac:dyDescent="0.3">
      <c r="A50" s="24" t="s">
        <v>52</v>
      </c>
      <c r="B50" s="24" t="s">
        <v>380</v>
      </c>
      <c r="C50" s="24" t="s">
        <v>290</v>
      </c>
      <c r="D50" s="24" t="s">
        <v>385</v>
      </c>
      <c r="E50" s="24" t="s">
        <v>358</v>
      </c>
      <c r="F50" s="24" t="s">
        <v>394</v>
      </c>
      <c r="G50" s="24"/>
      <c r="H50" s="24" t="s">
        <v>336</v>
      </c>
      <c r="I50" s="24"/>
    </row>
    <row r="51" spans="1:9" x14ac:dyDescent="0.3">
      <c r="A51" s="24" t="s">
        <v>52</v>
      </c>
      <c r="B51" s="24" t="s">
        <v>380</v>
      </c>
      <c r="C51" s="24" t="s">
        <v>291</v>
      </c>
      <c r="D51" s="24" t="s">
        <v>385</v>
      </c>
      <c r="E51" s="24" t="s">
        <v>358</v>
      </c>
      <c r="F51" s="24" t="s">
        <v>395</v>
      </c>
      <c r="G51" s="24"/>
      <c r="H51" s="24" t="s">
        <v>336</v>
      </c>
      <c r="I51" s="24"/>
    </row>
    <row r="52" spans="1:9" x14ac:dyDescent="0.3">
      <c r="A52" s="24" t="s">
        <v>52</v>
      </c>
      <c r="B52" s="24" t="s">
        <v>380</v>
      </c>
      <c r="C52" s="24" t="s">
        <v>292</v>
      </c>
      <c r="D52" s="24" t="s">
        <v>333</v>
      </c>
      <c r="E52" s="24" t="s">
        <v>358</v>
      </c>
      <c r="F52" s="24" t="s">
        <v>396</v>
      </c>
      <c r="G52" s="24"/>
      <c r="H52" s="24" t="s">
        <v>336</v>
      </c>
      <c r="I52" s="24"/>
    </row>
    <row r="53" spans="1:9" x14ac:dyDescent="0.3">
      <c r="A53" s="24" t="s">
        <v>52</v>
      </c>
      <c r="B53" s="24" t="s">
        <v>380</v>
      </c>
      <c r="C53" s="24" t="s">
        <v>293</v>
      </c>
      <c r="D53" s="24" t="s">
        <v>333</v>
      </c>
      <c r="E53" s="24" t="s">
        <v>358</v>
      </c>
      <c r="F53" s="24" t="s">
        <v>397</v>
      </c>
      <c r="G53" s="24"/>
      <c r="H53" s="24" t="s">
        <v>336</v>
      </c>
      <c r="I53" s="24"/>
    </row>
    <row r="54" spans="1:9" x14ac:dyDescent="0.3">
      <c r="A54" s="24" t="s">
        <v>52</v>
      </c>
      <c r="B54" s="24" t="s">
        <v>380</v>
      </c>
      <c r="C54" s="24" t="s">
        <v>294</v>
      </c>
      <c r="D54" s="24" t="s">
        <v>333</v>
      </c>
      <c r="E54" s="24" t="s">
        <v>358</v>
      </c>
      <c r="F54" s="24" t="s">
        <v>398</v>
      </c>
      <c r="G54" s="24"/>
      <c r="H54" s="24" t="s">
        <v>336</v>
      </c>
      <c r="I54" s="2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7</vt:i4>
      </vt:variant>
    </vt:vector>
  </HeadingPairs>
  <TitlesOfParts>
    <vt:vector size="13" baseType="lpstr">
      <vt:lpstr>00_LEIA-ME</vt:lpstr>
      <vt:lpstr>Requisitos_Legais</vt:lpstr>
      <vt:lpstr>Obrigacoes</vt:lpstr>
      <vt:lpstr>Trajetoria_SGCIE</vt:lpstr>
      <vt:lpstr>Listas</vt:lpstr>
      <vt:lpstr>Dicionario_Dados</vt:lpstr>
      <vt:lpstr>DataRef</vt:lpstr>
      <vt:lpstr>lst_DataReferencia</vt:lpstr>
      <vt:lpstr>lst_EstadoLegal</vt:lpstr>
      <vt:lpstr>lst_Funcao</vt:lpstr>
      <vt:lpstr>Obrigacoes!Títulos_de_Impressão</vt:lpstr>
      <vt:lpstr>Requisitos_Legais!Títulos_de_Impressão</vt:lpstr>
      <vt:lpstr>Trajetoria_SGCIE!Títulos_de_Impressão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RG-SGE-10 Requisitos Legais e Outros Requisitos de Energia e Avaliação da Conformidade (SGCIE)</dc:title>
  <dc:subject>SGE NP EN ISO 50001:2019 (ISO 50001:2018 + Amd 1:2024) — Plasticom</dc:subject>
  <dc:creator>Gestor(a) de Energia</dc:creator>
  <cp:lastModifiedBy>Aline Meireles</cp:lastModifiedBy>
  <dcterms:created xsi:type="dcterms:W3CDTF">2026-09-30T13:11:43Z</dcterms:created>
  <dcterms:modified xsi:type="dcterms:W3CDTF">2026-09-30T13:11:48Z</dcterms:modified>
</cp:coreProperties>
</file>