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6.xml" ContentType="application/vnd.openxmlformats-officedocument.spreadsheetml.comments+xml"/>
  <Override PartName="/xl/tables/table14.xml" ContentType="application/vnd.openxmlformats-officedocument.spreadsheetml.table+xml"/>
  <Override PartName="/xl/comments7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3_ncr:1_{7ABF5179-A3FE-4906-A9E7-AC0BD8F85218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Ficheiros" sheetId="2" r:id="rId2"/>
    <sheet name="Matriz_ISO50001" sheetId="3" r:id="rId3"/>
    <sheet name="Resumo_Prontidao" sheetId="4" r:id="rId4"/>
    <sheet name="Matriz_Mestra_Info_Doc" sheetId="5" r:id="rId5"/>
    <sheet name="Matriz_Normativa" sheetId="6" r:id="rId6"/>
    <sheet name="Normas_Fontes" sheetId="7" r:id="rId7"/>
    <sheet name="Matriz_Fonte_Unica" sheetId="8" r:id="rId8"/>
    <sheet name="Catalogo_Tabelas" sheetId="9" r:id="rId9"/>
    <sheet name="Integridade_Referencial" sheetId="10" r:id="rId10"/>
    <sheet name="Dim_Uso" sheetId="11" r:id="rId11"/>
    <sheet name="Dim_Funcao" sheetId="12" r:id="rId12"/>
    <sheet name="Dim_Clausula_ISO50001" sheetId="13" r:id="rId13"/>
    <sheet name="Dim_Maquina" sheetId="14" r:id="rId14"/>
    <sheet name="Autoavaliacao_Maturidade" sheetId="15" r:id="rId15"/>
    <sheet name="Harmonizacao_Resumo" sheetId="16" r:id="rId16"/>
    <sheet name="Matriz_Harmonizacao_SGI" sheetId="17" r:id="rId17"/>
    <sheet name="Modelo_Dados" sheetId="18" r:id="rId18"/>
    <sheet name="Listas" sheetId="19" r:id="rId19"/>
    <sheet name="Dicionario_Dados" sheetId="20" r:id="rId20"/>
  </sheets>
  <definedNames>
    <definedName name="DataRef">Listas!$A$3</definedName>
    <definedName name="lst_Classe">Listas!$C$3:$C$5</definedName>
    <definedName name="lst_Correspondencia">Listas!$F$3:$F$7</definedName>
    <definedName name="lst_DataReferencia">Listas!$A$3:$A$3</definedName>
    <definedName name="lst_Estado">Listas!$B$3:$B$5</definedName>
    <definedName name="lst_Nivel">Listas!$E$3:$E$6</definedName>
    <definedName name="lst_SimNao">Listas!$D$3:$D$4</definedName>
    <definedName name="_xlnm.Print_Titles" localSheetId="14">Autoavaliacao_Maturidade!$4:$4</definedName>
    <definedName name="_xlnm.Print_Titles" localSheetId="8">Catalogo_Tabelas!$1:$1</definedName>
    <definedName name="_xlnm.Print_Titles" localSheetId="12">Dim_Clausula_ISO50001!$1:$1</definedName>
    <definedName name="_xlnm.Print_Titles" localSheetId="11">Dim_Funcao!$1:$1</definedName>
    <definedName name="_xlnm.Print_Titles" localSheetId="13">Dim_Maquina!$1:$1</definedName>
    <definedName name="_xlnm.Print_Titles" localSheetId="10">Dim_Uso!$1:$1</definedName>
    <definedName name="_xlnm.Print_Titles" localSheetId="1">Ficheiros!$4:$4</definedName>
    <definedName name="_xlnm.Print_Titles" localSheetId="15">Harmonizacao_Resumo!$4:$4</definedName>
    <definedName name="_xlnm.Print_Titles" localSheetId="9">Integridade_Referencial!$1:$1</definedName>
    <definedName name="_xlnm.Print_Titles" localSheetId="7">Matriz_Fonte_Unica!$4:$4</definedName>
    <definedName name="_xlnm.Print_Titles" localSheetId="16">Matriz_Harmonizacao_SGI!$4:$4</definedName>
    <definedName name="_xlnm.Print_Titles" localSheetId="2">Matriz_ISO50001!$4:$4</definedName>
    <definedName name="_xlnm.Print_Titles" localSheetId="4">Matriz_Mestra_Info_Doc!$4:$4</definedName>
    <definedName name="_xlnm.Print_Titles" localSheetId="5">Matriz_Normativa!$4:$4</definedName>
    <definedName name="_xlnm.Print_Titles" localSheetId="6">Normas_Fontes!$4:$4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9" i="17" l="1"/>
  <c r="J418" i="17"/>
  <c r="J417" i="17"/>
  <c r="J416" i="17"/>
  <c r="J415" i="17"/>
  <c r="J414" i="17"/>
  <c r="J413" i="17"/>
  <c r="J412" i="17"/>
  <c r="J411" i="17"/>
  <c r="J410" i="17"/>
  <c r="J409" i="17"/>
  <c r="J408" i="17"/>
  <c r="J407" i="17"/>
  <c r="J406" i="17"/>
  <c r="J405" i="17"/>
  <c r="J404" i="17"/>
  <c r="J403" i="17"/>
  <c r="J402" i="17"/>
  <c r="J401" i="17"/>
  <c r="J400" i="17"/>
  <c r="J399" i="17"/>
  <c r="J398" i="17"/>
  <c r="J397" i="17"/>
  <c r="J396" i="17"/>
  <c r="J395" i="17"/>
  <c r="J394" i="17"/>
  <c r="J393" i="17"/>
  <c r="J392" i="17"/>
  <c r="J391" i="17"/>
  <c r="J390" i="17"/>
  <c r="J389" i="17"/>
  <c r="J388" i="17"/>
  <c r="J387" i="17"/>
  <c r="J386" i="17"/>
  <c r="J385" i="17"/>
  <c r="J384" i="17"/>
  <c r="J383" i="17"/>
  <c r="J382" i="17"/>
  <c r="J381" i="17"/>
  <c r="J380" i="17"/>
  <c r="J379" i="17"/>
  <c r="J378" i="17"/>
  <c r="J377" i="17"/>
  <c r="J376" i="17"/>
  <c r="J375" i="17"/>
  <c r="J374" i="17"/>
  <c r="J373" i="17"/>
  <c r="J372" i="17"/>
  <c r="J371" i="17"/>
  <c r="J370" i="17"/>
  <c r="J369" i="17"/>
  <c r="J368" i="17"/>
  <c r="J367" i="17"/>
  <c r="J366" i="17"/>
  <c r="J365" i="17"/>
  <c r="J364" i="17"/>
  <c r="J363" i="17"/>
  <c r="J362" i="17"/>
  <c r="J361" i="17"/>
  <c r="J360" i="17"/>
  <c r="J359" i="17"/>
  <c r="J358" i="17"/>
  <c r="J357" i="17"/>
  <c r="J356" i="17"/>
  <c r="J355" i="17"/>
  <c r="J354" i="17"/>
  <c r="J353" i="17"/>
  <c r="J352" i="17"/>
  <c r="J351" i="17"/>
  <c r="J350" i="17"/>
  <c r="J349" i="17"/>
  <c r="J348" i="17"/>
  <c r="J347" i="17"/>
  <c r="J346" i="17"/>
  <c r="J345" i="17"/>
  <c r="J344" i="17"/>
  <c r="J343" i="17"/>
  <c r="J342" i="17"/>
  <c r="J341" i="17"/>
  <c r="J340" i="17"/>
  <c r="J339" i="17"/>
  <c r="J338" i="17"/>
  <c r="J337" i="17"/>
  <c r="J336" i="17"/>
  <c r="J335" i="17"/>
  <c r="J334" i="17"/>
  <c r="J333" i="17"/>
  <c r="J332" i="17"/>
  <c r="J331" i="17"/>
  <c r="J330" i="17"/>
  <c r="J329" i="17"/>
  <c r="J328" i="17"/>
  <c r="J327" i="17"/>
  <c r="J326" i="17"/>
  <c r="J325" i="17"/>
  <c r="J324" i="17"/>
  <c r="J323" i="17"/>
  <c r="J322" i="17"/>
  <c r="J321" i="17"/>
  <c r="J320" i="17"/>
  <c r="J319" i="17"/>
  <c r="J318" i="17"/>
  <c r="J317" i="17"/>
  <c r="J316" i="17"/>
  <c r="J315" i="17"/>
  <c r="J314" i="17"/>
  <c r="J313" i="17"/>
  <c r="J312" i="17"/>
  <c r="J311" i="17"/>
  <c r="J310" i="17"/>
  <c r="J309" i="17"/>
  <c r="J308" i="17"/>
  <c r="J307" i="17"/>
  <c r="J306" i="17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K33" i="16"/>
  <c r="J33" i="16"/>
  <c r="L33" i="16" s="1"/>
  <c r="G33" i="16"/>
  <c r="K32" i="16"/>
  <c r="J32" i="16"/>
  <c r="L32" i="16" s="1"/>
  <c r="G32" i="16"/>
  <c r="K31" i="16"/>
  <c r="J31" i="16"/>
  <c r="L31" i="16" s="1"/>
  <c r="G31" i="16"/>
  <c r="K30" i="16"/>
  <c r="J30" i="16"/>
  <c r="G30" i="16"/>
  <c r="K29" i="16"/>
  <c r="J29" i="16"/>
  <c r="L29" i="16" s="1"/>
  <c r="G29" i="16"/>
  <c r="K28" i="16"/>
  <c r="J28" i="16"/>
  <c r="L28" i="16" s="1"/>
  <c r="G28" i="16"/>
  <c r="K27" i="16"/>
  <c r="J27" i="16"/>
  <c r="L27" i="16" s="1"/>
  <c r="G27" i="16"/>
  <c r="K26" i="16"/>
  <c r="J26" i="16"/>
  <c r="G26" i="16"/>
  <c r="K25" i="16"/>
  <c r="J25" i="16"/>
  <c r="L25" i="16" s="1"/>
  <c r="G25" i="16"/>
  <c r="K24" i="16"/>
  <c r="J24" i="16"/>
  <c r="L24" i="16" s="1"/>
  <c r="G24" i="16"/>
  <c r="K23" i="16"/>
  <c r="J23" i="16"/>
  <c r="L23" i="16" s="1"/>
  <c r="G23" i="16"/>
  <c r="K22" i="16"/>
  <c r="J22" i="16"/>
  <c r="G22" i="16"/>
  <c r="K21" i="16"/>
  <c r="J21" i="16"/>
  <c r="L21" i="16" s="1"/>
  <c r="G21" i="16"/>
  <c r="K20" i="16"/>
  <c r="J20" i="16"/>
  <c r="L20" i="16" s="1"/>
  <c r="G20" i="16"/>
  <c r="K19" i="16"/>
  <c r="J19" i="16"/>
  <c r="L19" i="16" s="1"/>
  <c r="G19" i="16"/>
  <c r="K18" i="16"/>
  <c r="J18" i="16"/>
  <c r="G18" i="16"/>
  <c r="K17" i="16"/>
  <c r="J17" i="16"/>
  <c r="L17" i="16" s="1"/>
  <c r="G17" i="16"/>
  <c r="K16" i="16"/>
  <c r="J16" i="16"/>
  <c r="L16" i="16" s="1"/>
  <c r="G16" i="16"/>
  <c r="K15" i="16"/>
  <c r="J15" i="16"/>
  <c r="L15" i="16" s="1"/>
  <c r="G15" i="16"/>
  <c r="K14" i="16"/>
  <c r="J14" i="16"/>
  <c r="G14" i="16"/>
  <c r="K13" i="16"/>
  <c r="J13" i="16"/>
  <c r="L13" i="16" s="1"/>
  <c r="G13" i="16"/>
  <c r="K12" i="16"/>
  <c r="J12" i="16"/>
  <c r="L12" i="16" s="1"/>
  <c r="G12" i="16"/>
  <c r="K11" i="16"/>
  <c r="J11" i="16"/>
  <c r="L11" i="16" s="1"/>
  <c r="G11" i="16"/>
  <c r="K10" i="16"/>
  <c r="J10" i="16"/>
  <c r="G10" i="16"/>
  <c r="K9" i="16"/>
  <c r="J9" i="16"/>
  <c r="L9" i="16" s="1"/>
  <c r="G9" i="16"/>
  <c r="K8" i="16"/>
  <c r="J8" i="16"/>
  <c r="L8" i="16" s="1"/>
  <c r="G8" i="16"/>
  <c r="K7" i="16"/>
  <c r="J7" i="16"/>
  <c r="L7" i="16" s="1"/>
  <c r="G7" i="16"/>
  <c r="K6" i="16"/>
  <c r="J6" i="16"/>
  <c r="G6" i="16"/>
  <c r="K5" i="16"/>
  <c r="J5" i="16"/>
  <c r="L5" i="16" s="1"/>
  <c r="G5" i="16"/>
  <c r="C15" i="15"/>
  <c r="L32" i="3"/>
  <c r="E32" i="3"/>
  <c r="C32" i="3"/>
  <c r="L31" i="3"/>
  <c r="E31" i="3"/>
  <c r="C31" i="3"/>
  <c r="L30" i="3"/>
  <c r="E30" i="3"/>
  <c r="C30" i="3"/>
  <c r="L29" i="3"/>
  <c r="E29" i="3"/>
  <c r="C29" i="3"/>
  <c r="L28" i="3"/>
  <c r="E28" i="3"/>
  <c r="C28" i="3"/>
  <c r="L27" i="3"/>
  <c r="E27" i="3"/>
  <c r="C27" i="3"/>
  <c r="L26" i="3"/>
  <c r="E26" i="3"/>
  <c r="C26" i="3"/>
  <c r="L25" i="3"/>
  <c r="E25" i="3"/>
  <c r="C25" i="3"/>
  <c r="L24" i="3"/>
  <c r="E24" i="3"/>
  <c r="C24" i="3"/>
  <c r="L23" i="3"/>
  <c r="E23" i="3"/>
  <c r="C23" i="3"/>
  <c r="L22" i="3"/>
  <c r="E22" i="3"/>
  <c r="C22" i="3"/>
  <c r="L21" i="3"/>
  <c r="E21" i="3"/>
  <c r="C21" i="3"/>
  <c r="L20" i="3"/>
  <c r="E20" i="3"/>
  <c r="C20" i="3"/>
  <c r="L19" i="3"/>
  <c r="E19" i="3"/>
  <c r="C19" i="3"/>
  <c r="L18" i="3"/>
  <c r="E18" i="3"/>
  <c r="C18" i="3"/>
  <c r="L17" i="3"/>
  <c r="E17" i="3"/>
  <c r="C17" i="3"/>
  <c r="L16" i="3"/>
  <c r="E16" i="3"/>
  <c r="C16" i="3"/>
  <c r="L15" i="3"/>
  <c r="E15" i="3"/>
  <c r="C15" i="3"/>
  <c r="L14" i="3"/>
  <c r="E14" i="3"/>
  <c r="C14" i="3"/>
  <c r="L13" i="3"/>
  <c r="E13" i="3"/>
  <c r="C13" i="3"/>
  <c r="L12" i="3"/>
  <c r="E12" i="3"/>
  <c r="C12" i="3"/>
  <c r="L11" i="3"/>
  <c r="E11" i="3"/>
  <c r="C11" i="3"/>
  <c r="L10" i="3"/>
  <c r="E10" i="3"/>
  <c r="C10" i="3"/>
  <c r="L9" i="3"/>
  <c r="E9" i="3"/>
  <c r="C9" i="3"/>
  <c r="L8" i="3"/>
  <c r="E8" i="3"/>
  <c r="C8" i="3"/>
  <c r="L7" i="3"/>
  <c r="E7" i="3"/>
  <c r="C7" i="3"/>
  <c r="C10" i="4" s="1"/>
  <c r="G10" i="4" s="1"/>
  <c r="L6" i="3"/>
  <c r="E6" i="3"/>
  <c r="C6" i="3"/>
  <c r="E9" i="4" s="1"/>
  <c r="L5" i="3"/>
  <c r="E5" i="3"/>
  <c r="C5" i="3"/>
  <c r="F10" i="4" l="1"/>
  <c r="L6" i="16"/>
  <c r="L10" i="16"/>
  <c r="L14" i="16"/>
  <c r="L18" i="16"/>
  <c r="L22" i="16"/>
  <c r="L26" i="16"/>
  <c r="L30" i="16"/>
  <c r="D5" i="4"/>
  <c r="F4" i="4"/>
  <c r="D6" i="4"/>
  <c r="D10" i="4"/>
  <c r="C4" i="4"/>
  <c r="F5" i="4"/>
  <c r="D7" i="4"/>
  <c r="C8" i="4"/>
  <c r="G8" i="4" s="1"/>
  <c r="F9" i="4"/>
  <c r="E10" i="4"/>
  <c r="E4" i="4"/>
  <c r="C6" i="4"/>
  <c r="G6" i="4" s="1"/>
  <c r="F7" i="4"/>
  <c r="E8" i="4"/>
  <c r="D9" i="4"/>
  <c r="C7" i="4"/>
  <c r="G7" i="4" s="1"/>
  <c r="F8" i="4"/>
  <c r="E6" i="4"/>
  <c r="D4" i="4"/>
  <c r="C5" i="4"/>
  <c r="G5" i="4" s="1"/>
  <c r="F6" i="4"/>
  <c r="E7" i="4"/>
  <c r="D8" i="4"/>
  <c r="C9" i="4"/>
  <c r="G9" i="4" s="1"/>
  <c r="E5" i="4"/>
  <c r="D11" i="4" l="1"/>
  <c r="E11" i="4"/>
  <c r="F11" i="4"/>
  <c r="G4" i="4"/>
  <c r="C11" i="4"/>
  <c r="G1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Ficheiro.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Código do registo.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Conteúdo.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Cláusulas ISO 50001.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Requisito.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Cláusula.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Capítulo 4–10.
[calculado]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Requisito (resumo).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Alterado pela Amd 1:2024 (clima) — posição de Novo_ou_Alterado_2026.
[calculado]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Manter / reter / não exigida.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Documento controlado.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Evidência.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Conforme · Parcial · Lacuna (31/12/2026).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Observação.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Ação.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1 · 0,5 · 0.
[calculado]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[Só SGE/SGQ] A manter · B reter · C organização.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Código.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Informação documentada exigida pela ISO 50001.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Documento / registo.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Cláusula.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A manter / B reter / C organização.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Aprovação.</t>
        </r>
      </text>
    </comment>
    <comment ref="H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Frequência.</t>
        </r>
      </text>
    </comment>
    <comment ref="I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Retenção.</t>
        </r>
      </text>
    </comment>
    <comment ref="J4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Onde está.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Norma / protocolo.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Título.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Relação com a ISO 50001.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Requisitos da ISO 50001 que apoia.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Como foi aplicada na Plasticom.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Registo / documento.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Indicador associado.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Aplicada / referência / não aplicável.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Nota (inclui correções verificadas em iso.org).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B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Norma / fonte.</t>
        </r>
      </text>
    </comment>
    <comment ref="C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Localização / URL.</t>
        </r>
      </text>
    </comment>
    <comment ref="D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Onde foi aplicada.</t>
        </r>
      </text>
    </comment>
    <comment ref="E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Requisito / orientação / dados.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C4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1 inicial · 2 em desenvolvimento · 3 implementado · 4 otimizado (ISO 50005).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E4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Registo do SGA (padrão do SGI) ou do SGQ.</t>
        </r>
      </text>
    </comment>
    <comment ref="L4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% das colunas do padrão presentes no SGE.
[calculado]</t>
        </r>
      </text>
    </comment>
  </commentList>
</comments>
</file>

<file path=xl/sharedStrings.xml><?xml version="1.0" encoding="utf-8"?>
<sst xmlns="http://schemas.openxmlformats.org/spreadsheetml/2006/main" count="5853" uniqueCount="1763">
  <si>
    <t>RG-SGE-00 — Índice do SGE, Matriz ISO 50001, Matriz Normativa e Modelo de Dados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</si>
  <si>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</si>
  <si>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</si>
  <si>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</si>
  <si>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RG-SGE-00</t>
  </si>
  <si>
    <t>Título</t>
  </si>
  <si>
    <t>Índice do SGE, Matriz ISO 50001, Matriz Normativa e Modelo de Dados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</si>
  <si>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</si>
  <si>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</si>
  <si>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</si>
  <si>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</si>
  <si>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</si>
  <si>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</si>
  <si>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</si>
  <si>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</si>
  <si>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</si>
  <si>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</si>
  <si>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</si>
  <si>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</si>
  <si>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</si>
  <si>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</si>
  <si>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</si>
  <si>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Catálogo dos 14 registos e tabelas; matriz requisito → documento → evidência → estado com prontidão por capítulo; matriz mestra de informação documentada; matriz normativa (família ISO 50000 e normas de integração, com correções à lista recebida); todas as fontes citadas; fonte única SGE ↔ SGA ↔ SGQ; harmonização coluna a coluna; integridade referencial; autoavaliação de maturidade (ISO 50005 / ISO/TS 50011).</t>
  </si>
  <si>
    <t>Utilização / atividades</t>
  </si>
  <si>
    <t>Ponto de entrada do SGE: onde está cada requisito, que normas e fontes foram usadas, que tabelas existem, como se ligam entre si e ao SGA/SGQ, e o estado de prontidão para a certificação.</t>
  </si>
  <si>
    <t>Requisitos ISO 50001:2018</t>
  </si>
  <si>
    <t>7.5 (informação documentada 'manter' / 'reter'); 4.4; 9.1 (dados para análise); preparação da certificação (ISO 50003:2021).</t>
  </si>
  <si>
    <t>NORMAS DE ORIENTAÇÃO E REFERÊNCIAS APLICADAS (orientação — não são requisitos auditáveis da ISO 50001)</t>
  </si>
  <si>
    <t>ISO 50001:2018 7.5.1 e anexo A</t>
  </si>
  <si>
    <t>A norma exige 'manter' (documentos) e 'reter' (registos) só em pontos definidos; o resto é determinado pela organização.</t>
  </si>
  <si>
    <t>ISO 50005:2021 e ISO/TS 50011:2023</t>
  </si>
  <si>
    <t>Níveis de maturidade e avaliação da gestão da energia (folha Autoavaliacao_Maturidade).</t>
  </si>
  <si>
    <t>Pedido do utilizador (lista de normas relacionadas, 30/09/2026)</t>
  </si>
  <si>
    <t>Matriz normativa com número, título, relação, requisito que apoia, aplicação, evidência e KPI.</t>
  </si>
  <si>
    <t>REQUISITOS LEGAIS E OUTROS REQUISITOS APLICADOS (4.2, 9.1.2 — lista completa no RG-SGE-11)</t>
  </si>
  <si>
    <t>DL 71/2008; Despacho 17313/2008; DL 68-A/2015; Diretiva (UE) 2023/1791; DL 15/2022 + DL 130/2026</t>
  </si>
  <si>
    <t>Lista completa com avaliação no RG-SGE-10.</t>
  </si>
  <si>
    <t>ESTRUTURA DO FICHEIRO</t>
  </si>
  <si>
    <t>Ficheiros</t>
  </si>
  <si>
    <t>Lista dos registos do SGE.</t>
  </si>
  <si>
    <t>Matriz_ISO50001</t>
  </si>
  <si>
    <t>Requisito → documento → evidência → estado (mesma estrutura do RG-SGA-00 / RG-SGQ-00).</t>
  </si>
  <si>
    <t>Resumo_Prontidao</t>
  </si>
  <si>
    <t>Índice de prontidão por capítulo (calculado a partir da matriz).</t>
  </si>
  <si>
    <t>Matriz_Mestra_Info_Doc</t>
  </si>
  <si>
    <t>Informação documentada exigida pela ISO 50001 ('manter' e 'reter') e onde está.</t>
  </si>
  <si>
    <t>Matriz_Normativa</t>
  </si>
  <si>
    <t>Matriz normativa do SGE: família ISO 50000, normas técnicas e de integração no SGI.</t>
  </si>
  <si>
    <t>Normas_Fontes</t>
  </si>
  <si>
    <t>Todas as normas, requisitos e fontes consultadas.</t>
  </si>
  <si>
    <t>Matriz_Fonte_Unica</t>
  </si>
  <si>
    <t>Fonte única do SGI (SGE ↔ SGA ↔ SGQ): cada assunto é escrito num só registo.</t>
  </si>
  <si>
    <t>Catalogo_Tabelas</t>
  </si>
  <si>
    <t>Catálogo de todas as tabelas de dados do SGE (gerado automaticamente).</t>
  </si>
  <si>
    <t>Integridade_Referencial</t>
  </si>
  <si>
    <t>Verificação das ligações entre registos do SGE e com o SGA (instantâneo da construção).</t>
  </si>
  <si>
    <t>Dim_Uso</t>
  </si>
  <si>
    <t>Dimensão uso de energia (códigos do RG-SGA-13).</t>
  </si>
  <si>
    <t>Dim_Funcao</t>
  </si>
  <si>
    <t>Dimensão função.</t>
  </si>
  <si>
    <t>Dim_Clausula_ISO50001</t>
  </si>
  <si>
    <t>Cláusulas da ISO 50001:2018 + Amd 1:2024.</t>
  </si>
  <si>
    <t>Dim_Maquina</t>
  </si>
  <si>
    <t>Dimensão máquina (dataset + tecnologia simulada).</t>
  </si>
  <si>
    <t>Autoavaliacao_Maturidade</t>
  </si>
  <si>
    <t>Autoavaliação de maturidade do SGE (inspirada na ISO 50005 e na ISO/TS 50011).</t>
  </si>
  <si>
    <t>Harmonizacao_Resumo</t>
  </si>
  <si>
    <t>Resumo da normalização SGE ↔ SGA/SGQ por par de tabelas.</t>
  </si>
  <si>
    <t>Matriz_Harmonizacao_SGI</t>
  </si>
  <si>
    <t>Correspondência coluna a coluna SGE ↔ SGA/SGQ (gerada a partir dos ficheiros).</t>
  </si>
  <si>
    <t>Modelo_Dados</t>
  </si>
  <si>
    <t>Descrição do modelo de dados e convenções de IDs.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</si>
  <si>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</si>
  <si>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</si>
  <si>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</si>
  <si>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</si>
  <si>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</si>
  <si>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</si>
  <si>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</si>
  <si>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</si>
  <si>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</si>
  <si>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</si>
  <si>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</si>
  <si>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</si>
  <si>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</si>
  <si>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</si>
  <si>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</si>
  <si>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</si>
  <si>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</si>
  <si>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ÍNDICE DO SISTEMA DE REGISTOS DO SGE — PLASTICOM (ISO 50001:2018 + Amd 1:2024; ISO 50006:2023)</t>
  </si>
  <si>
    <t>Pasta Registos_SGE_Plasticom · 14 registos + este índice · Procedimentos em Documentos_SGE_Plasticom · Data de referência 31/12/2026</t>
  </si>
  <si>
    <t>Ficheiro</t>
  </si>
  <si>
    <t>Codigo</t>
  </si>
  <si>
    <t>Conteudo</t>
  </si>
  <si>
    <t>Clausulas</t>
  </si>
  <si>
    <t>SGE-01_Contexto_Ambito_Fronteiras.xlsx</t>
  </si>
  <si>
    <t>RG-SGE-01</t>
  </si>
  <si>
    <t>Contexto de energia ligado ao RG-SGA-01, 10 partes interessadas, alterações climáticas (Amd 1:2024), âmbito e mapa de fronteiras</t>
  </si>
  <si>
    <t>4.1; 4.2; 4.3</t>
  </si>
  <si>
    <t>SGE-02_Lideranca_Politica_Equipa.xlsx</t>
  </si>
  <si>
    <t>RG-SGE-02</t>
  </si>
  <si>
    <t>Liderança 5.1 a–m, política energética POL-SGE-01 (5.2 a–g), equipa de gestão de energia e RACI</t>
  </si>
  <si>
    <t>5.1; 5.2; 5.3</t>
  </si>
  <si>
    <t>SGE-03_Riscos_Oportunidades.xlsx</t>
  </si>
  <si>
    <t>RG-SGE-03</t>
  </si>
  <si>
    <t>Riscos e oportunidades do SGE (vista do RG-SGA-02 + RE/OE novos) com mapa de calor</t>
  </si>
  <si>
    <t>6.1</t>
  </si>
  <si>
    <t>SGE-04_Revisao_Energetica_USE.xlsx</t>
  </si>
  <si>
    <t>RG-SGE-04</t>
  </si>
  <si>
    <t>Revisão energética: tipos de energia, consumo por uso, 4 USE, campanha por máquina, 16 oportunidades priorizadas, previsão 2027</t>
  </si>
  <si>
    <t>6.3</t>
  </si>
  <si>
    <t>SGE-05_IDE_LBE_Objetivos_Metas.xlsx</t>
  </si>
  <si>
    <t>RG-SGE-05</t>
  </si>
  <si>
    <t>Base mensal de energia, LBE-01 por LINEST com testes, IDE mensais (esperado, CUSUM, domínio), catálogo de IDE, LBE, objetivos, metas e planos</t>
  </si>
  <si>
    <t>6.2; 6.4; 6.5; 9.1.1</t>
  </si>
  <si>
    <t>SGE-06_Recolha_Dados_Medicao.xlsx</t>
  </si>
  <si>
    <t>RG-SGE-06</t>
  </si>
  <si>
    <t>Árvore de contadores (EN 17267), plano de recolha 6.6 a–e, plano de monitorização 9.1.1, equipamentos e reconciliação</t>
  </si>
  <si>
    <t>6.6; 9.1.1</t>
  </si>
  <si>
    <t>SGE-07_Competencias_Comunicacao.xlsx</t>
  </si>
  <si>
    <t>RG-SGE-07</t>
  </si>
  <si>
    <t>Competências por função e USE, formação com eficácia, consciencialização, comunicação e sugestões</t>
  </si>
  <si>
    <t>7.1–7.4</t>
  </si>
  <si>
    <t>SGE-08_Controlo_Operacional_USE.xlsx</t>
  </si>
  <si>
    <t>RG-SGE-08</t>
  </si>
  <si>
    <t>16 critérios operacionais com desvio significativo, rondas de energia jul–dez/2026, alterações não intencionais</t>
  </si>
  <si>
    <t>8.1</t>
  </si>
  <si>
    <t>SGE-09_Projeto_Aquisicoes_Compra_Energia.xlsx</t>
  </si>
  <si>
    <t>RG-SGE-09</t>
  </si>
  <si>
    <t>Projetos (8.2), critérios e aquisições (8.3), LCC (EN 17463), compra de energia, faturas por período tarifário</t>
  </si>
  <si>
    <t>8.2; 8.3</t>
  </si>
  <si>
    <t>SGE-10_Conformidade_Legal_SGCIE.xlsx</t>
  </si>
  <si>
    <t>RG-SGE-10</t>
  </si>
  <si>
    <t>Requisitos legais de energia (estrutura do RG-SGA-04), obrigações e trajetória do PREn (SGCIE)</t>
  </si>
  <si>
    <t>4.2; 9.1.2</t>
  </si>
  <si>
    <t>SGE-11_Desvios_MV_Poupancas.xlsx</t>
  </si>
  <si>
    <t>RG-SGE-11</t>
  </si>
  <si>
    <t>Desvios significativos investigados, planos de M&amp;V (IPMVP A/B/C), ar comprimido em 3 fases, poupanças verificadas</t>
  </si>
  <si>
    <t>9.1.1; 6.2.3; 10.2</t>
  </si>
  <si>
    <t>SGE-12_Auditoria_Interna.xlsx</t>
  </si>
  <si>
    <t>RG-SGE-12</t>
  </si>
  <si>
    <t>Auditores, programa 2026–2027, checklist e constatações da AUD-E-2026-01</t>
  </si>
  <si>
    <t>9.2</t>
  </si>
  <si>
    <t>SGE-13_Revisao_pela_Gestao.xlsx</t>
  </si>
  <si>
    <t>RG-SGE-13</t>
  </si>
  <si>
    <t>Revisão pela gestão RD-E-2026-01: agenda 9.3.2/9.3.3, decisões 9.3.4 a–g, ata</t>
  </si>
  <si>
    <t>9.3</t>
  </si>
  <si>
    <t>SGE-14_NC_Acao_Corretiva_Melhoria.xlsx</t>
  </si>
  <si>
    <t>RG-SGE-14</t>
  </si>
  <si>
    <t>NC com o ciclo 10.1 a–e, 5 Porquês, evidência trimestral da melhoria contínua</t>
  </si>
  <si>
    <t>10.1; 10.2</t>
  </si>
  <si>
    <t>MATRIZ DE REQUISITOS ISO 50001:2018 + Amd 1:2024 — DOCUMENTO, EVIDÊNCIA E ESTADO</t>
  </si>
  <si>
    <t>Verificação de 31/12/2026 · Lacuna = NC em aberto · Parcial = existe com falha de evidência ou eficácia</t>
  </si>
  <si>
    <t>ID_Requisito</t>
  </si>
  <si>
    <t>Clausula</t>
  </si>
  <si>
    <t>Grupo</t>
  </si>
  <si>
    <t>Requisito</t>
  </si>
  <si>
    <t>Alterado_Amd1_2024</t>
  </si>
  <si>
    <t>Informacao_Documentada</t>
  </si>
  <si>
    <t>Documento</t>
  </si>
  <si>
    <t>Evidencia_Registo_Tabelas</t>
  </si>
  <si>
    <t>Observacao</t>
  </si>
  <si>
    <t>Acao</t>
  </si>
  <si>
    <t>Pontos</t>
  </si>
  <si>
    <t>Classe</t>
  </si>
  <si>
    <t>RQE-01</t>
  </si>
  <si>
    <t>4.1</t>
  </si>
  <si>
    <t>Questões externas e internas; alterações climáticas pertinentes (Amd 1:2024)</t>
  </si>
  <si>
    <t>—</t>
  </si>
  <si>
    <t>PR-SGE-01</t>
  </si>
  <si>
    <t>RG-SGE-01 tbl_contexto_energia, tbl_clima</t>
  </si>
  <si>
    <t>Conforme</t>
  </si>
  <si>
    <t>11 questões ligadas ao contexto do SGI</t>
  </si>
  <si>
    <t>C</t>
  </si>
  <si>
    <t>RQE-02</t>
  </si>
  <si>
    <t>4.2</t>
  </si>
  <si>
    <t>Partes interessadas, requisitos, requisitos legais e outros (acesso; como se aplicam)</t>
  </si>
  <si>
    <t>PR-SGE-01; PR-SGE-10</t>
  </si>
  <si>
    <t>RG-SGE-01 tbl_partes_interessadas; RG-SGE-10 tbl_legal</t>
  </si>
  <si>
    <t>RQE-03</t>
  </si>
  <si>
    <t>4.3</t>
  </si>
  <si>
    <t>Âmbito e fronteiras; nenhum tipo de energia excluído; autoridade para controlar</t>
  </si>
  <si>
    <t>Manter</t>
  </si>
  <si>
    <t>MAN-SGE-01</t>
  </si>
  <si>
    <t>RG-SGE-01 tbl_ambito, tbl_fronteiras</t>
  </si>
  <si>
    <t>Frota e gerador incluídos</t>
  </si>
  <si>
    <t>A</t>
  </si>
  <si>
    <t>RQE-04</t>
  </si>
  <si>
    <t>4.4</t>
  </si>
  <si>
    <t>SGE estabelecido, implementado, mantido e melhorado</t>
  </si>
  <si>
    <t>RG-SGE-00 a 14</t>
  </si>
  <si>
    <t>RQE-05</t>
  </si>
  <si>
    <t>5.1 a)–h)</t>
  </si>
  <si>
    <t>Liderança e compromisso (âmbito, política, integração, planos, recursos, comunicação, resultados, melhoria)</t>
  </si>
  <si>
    <t>RG-SGE-02 tbl_lideranca</t>
  </si>
  <si>
    <t>Parcial</t>
  </si>
  <si>
    <t>Integração nos processos de negócio parcial (LIDE-03)</t>
  </si>
  <si>
    <t>RD-E-26-D05</t>
  </si>
  <si>
    <t>RQE-06</t>
  </si>
  <si>
    <t>5.1 i)–m)</t>
  </si>
  <si>
    <t>Equipa de gestão de energia; apoio às pessoas; IDE representativos; alterações</t>
  </si>
  <si>
    <t>RG-SGE-02 tbl_equipa_energia; RG-SGE-05 LBE_Modelo</t>
  </si>
  <si>
    <t>LBE-01 válida com reserva; alterações sem energia até 12/2026</t>
  </si>
  <si>
    <t>NCE-26-01</t>
  </si>
  <si>
    <t>RQE-07</t>
  </si>
  <si>
    <t>5.2</t>
  </si>
  <si>
    <t>Política energética a)–g), disponível, comunicada, revista</t>
  </si>
  <si>
    <t>Manter (disponível)</t>
  </si>
  <si>
    <t>POL-SGE-01</t>
  </si>
  <si>
    <t>RG-SGE-02 Politica_Energetica, tbl_verif_politica</t>
  </si>
  <si>
    <t>Comunicação reforçada no turno 3</t>
  </si>
  <si>
    <t>RQE-08</t>
  </si>
  <si>
    <t>5.3</t>
  </si>
  <si>
    <t>Funções, responsabilidades e autoridades; equipa de gestão de energia a)–e)</t>
  </si>
  <si>
    <t>RG-SGE-02 tbl_raci</t>
  </si>
  <si>
    <t>RACI com um aprovador por processo</t>
  </si>
  <si>
    <t>RQE-09</t>
  </si>
  <si>
    <t>Riscos e oportunidades; ações; integração; avaliação da eficácia</t>
  </si>
  <si>
    <t>PR-SGE-04</t>
  </si>
  <si>
    <t>RE-xx ainda por incluir no RG-SGA-02</t>
  </si>
  <si>
    <t>CONE-A-26-07</t>
  </si>
  <si>
    <t>RQE-10</t>
  </si>
  <si>
    <t>6.2</t>
  </si>
  <si>
    <t>Objetivos e metas energéticas a)–h); planos de ação com método de verificação</t>
  </si>
  <si>
    <t>Reter</t>
  </si>
  <si>
    <t>RG-SGE-05 tbl_objetivos, tbl_metas_energeticas, tbl_planos_acao</t>
  </si>
  <si>
    <t>6 objetivos, 8 metas, 7 planos</t>
  </si>
  <si>
    <t>B</t>
  </si>
  <si>
    <t>RQE-11</t>
  </si>
  <si>
    <t>Revisão energética a)–e); métodos e critérios mantidos; resultados retidos; atualização</t>
  </si>
  <si>
    <t>Manter + Reter</t>
  </si>
  <si>
    <t>PR-SGE-02</t>
  </si>
  <si>
    <t>Consumos por uso estimados até 15/12/2026</t>
  </si>
  <si>
    <t>RQE-12</t>
  </si>
  <si>
    <t>6.4</t>
  </si>
  <si>
    <t>IDE apropriados; metodologia mantida; variáveis relevantes; valores retidos</t>
  </si>
  <si>
    <t>PR-SGE-03</t>
  </si>
  <si>
    <t>RG-SGE-05 tbl_kpi, tbl_ide_mensal, Metodologia_IDE_LBE</t>
  </si>
  <si>
    <t>RQE-13</t>
  </si>
  <si>
    <t>6.5</t>
  </si>
  <si>
    <t>LBE com período apropriado; normalização; revisão a)–c); modificações retidas</t>
  </si>
  <si>
    <t>RG-SGE-05 LBE_Modelo, tbl_lbe, tbl_alteracoes_lbe</t>
  </si>
  <si>
    <t>p-valor dos graus-dia 0,27 (CONE-A-26-03)</t>
  </si>
  <si>
    <t>RD-E-26-D03</t>
  </si>
  <si>
    <t>RQE-14</t>
  </si>
  <si>
    <t>6.6</t>
  </si>
  <si>
    <t>Plano de recolha de dados a)–e); exatidão e repetibilidade</t>
  </si>
  <si>
    <t>PR-SGE-05</t>
  </si>
  <si>
    <t>Submedição em serviço desde 15/12/2026</t>
  </si>
  <si>
    <t>RQE-15</t>
  </si>
  <si>
    <t>7.1</t>
  </si>
  <si>
    <t>Recursos</t>
  </si>
  <si>
    <t>RG-SGE-13 tbl_decisoes (recursos)</t>
  </si>
  <si>
    <t>RQE-16</t>
  </si>
  <si>
    <t>7.2</t>
  </si>
  <si>
    <t>Competência (reter evidência)</t>
  </si>
  <si>
    <t>PR-SGE-09</t>
  </si>
  <si>
    <t>RG-SGE-07 tbl_competencias, tbl_registo_formacao</t>
  </si>
  <si>
    <t>RQE-17</t>
  </si>
  <si>
    <t>7.3</t>
  </si>
  <si>
    <t>Consciencialização a)–d)</t>
  </si>
  <si>
    <t>RG-SGE-07 tbl_consciencializacao</t>
  </si>
  <si>
    <t>RQE-18</t>
  </si>
  <si>
    <t>7.4</t>
  </si>
  <si>
    <t>Comunicação a)–e); processo de sugestões</t>
  </si>
  <si>
    <t>Considerar reter</t>
  </si>
  <si>
    <t>RG-SGE-07 tbl_comunicacao, tbl_sugestoes</t>
  </si>
  <si>
    <t>Prazo de 15 dias definido</t>
  </si>
  <si>
    <t>RQE-19</t>
  </si>
  <si>
    <t>7.5</t>
  </si>
  <si>
    <t>Informação documentada (criar, atualizar, controlar)</t>
  </si>
  <si>
    <t>PR-SGA-08 (SGI)</t>
  </si>
  <si>
    <t>RG-SGE-00 tbl_matriz_mestra; RG-SGA-09 tbl_lista_mestra</t>
  </si>
  <si>
    <t>Documentos do SGE a incluir na lista mestra do SGI</t>
  </si>
  <si>
    <t>RQE-20</t>
  </si>
  <si>
    <t>Critérios de operação e manutenção dos USE; comunicação; controlo; alterações</t>
  </si>
  <si>
    <t>Manter (na medida necessária)</t>
  </si>
  <si>
    <t>PR-SGE-06; IT-SGE-01 a 03</t>
  </si>
  <si>
    <t>ANI-02 tratado</t>
  </si>
  <si>
    <t>RQE-21</t>
  </si>
  <si>
    <t>8.2</t>
  </si>
  <si>
    <t>Projeto: oportunidades e controlo operacional; resultados na especificação</t>
  </si>
  <si>
    <t>PR-SGE-07</t>
  </si>
  <si>
    <t>RG-SGE-09 tbl_projetos</t>
  </si>
  <si>
    <t>Lacuna</t>
  </si>
  <si>
    <t>NC menor NCE-26-01 (linhas novas)</t>
  </si>
  <si>
    <t>RQE-22</t>
  </si>
  <si>
    <t>8.3</t>
  </si>
  <si>
    <t>Aquisições: critérios ao longo da vida; informar fornecedores; especificação da compra de energia</t>
  </si>
  <si>
    <t>RG-SGE-09 tbl_criterios_aquisicao, tbl_aquisicoes, tbl_lcc, tbl_compra_energia</t>
  </si>
  <si>
    <t>NCE-26-02 fechada; eficácia por avaliar</t>
  </si>
  <si>
    <t>NCE-26-02</t>
  </si>
  <si>
    <t>RQE-23</t>
  </si>
  <si>
    <t>9.1.1</t>
  </si>
  <si>
    <t>Monitorização (4 características-chave); IDE vs LBE; desvios significativos investigados</t>
  </si>
  <si>
    <t>PR-SGE-05; PR-SGE-08</t>
  </si>
  <si>
    <t>RG-SGE-05; RG-SGE-06; RG-SGE-11</t>
  </si>
  <si>
    <t>Melhoria demonstrada em out–dez/2026</t>
  </si>
  <si>
    <t>RQE-24</t>
  </si>
  <si>
    <t>9.1.2</t>
  </si>
  <si>
    <t>Avaliação da conformidade legal em intervalos planeados</t>
  </si>
  <si>
    <t>PR-SGE-10</t>
  </si>
  <si>
    <t>REP 2026 entregue</t>
  </si>
  <si>
    <t>RQE-25</t>
  </si>
  <si>
    <t>Auditoria interna (programa, critérios, imparcialidade, relato)</t>
  </si>
  <si>
    <t>PR-SGE-11</t>
  </si>
  <si>
    <t>AUD-E-2026-01</t>
  </si>
  <si>
    <t>RQE-26</t>
  </si>
  <si>
    <t>Revisão pela gestão (9.3.2, 9.3.3, 9.3.4)</t>
  </si>
  <si>
    <t>RD-E-2026-01</t>
  </si>
  <si>
    <t>RQE-27</t>
  </si>
  <si>
    <t>10.1</t>
  </si>
  <si>
    <t>NC e ação corretiva a)–e)</t>
  </si>
  <si>
    <t>PR-SGE-12</t>
  </si>
  <si>
    <t>RG-SGE-14 tbl_nc, tbl_5porques</t>
  </si>
  <si>
    <t>2 NC em curso no prazo</t>
  </si>
  <si>
    <t>RQE-28</t>
  </si>
  <si>
    <t>10.2</t>
  </si>
  <si>
    <t>Melhoria contínua do SGE e demonstração da melhoria do desempenho energético</t>
  </si>
  <si>
    <t>RG-SGE-14 tbl_melhoria; RG-SGE-05 LBE_Modelo</t>
  </si>
  <si>
    <t>Demonstrada só no 4.º trimestre de 2026</t>
  </si>
  <si>
    <t>RD-E-26-D08</t>
  </si>
  <si>
    <t>PRONTIDÃO PARA A CERTIFICAÇÃO ISO 50001 — RESUMO POR CAPÍTULO — calculado</t>
  </si>
  <si>
    <t>Índice = (Conforme + 0,5 × Parcial) ÷ requisitos</t>
  </si>
  <si>
    <t>Capítulo</t>
  </si>
  <si>
    <t>Tema</t>
  </si>
  <si>
    <t>Requisitos</t>
  </si>
  <si>
    <t>Índice</t>
  </si>
  <si>
    <t>4</t>
  </si>
  <si>
    <t>Contexto</t>
  </si>
  <si>
    <t>5</t>
  </si>
  <si>
    <t>Liderança</t>
  </si>
  <si>
    <t>6</t>
  </si>
  <si>
    <t>Planeamento</t>
  </si>
  <si>
    <t>7</t>
  </si>
  <si>
    <t>Suporte</t>
  </si>
  <si>
    <t>8</t>
  </si>
  <si>
    <t>Operação</t>
  </si>
  <si>
    <t>9</t>
  </si>
  <si>
    <t>Avaliação do desempenho</t>
  </si>
  <si>
    <t>10</t>
  </si>
  <si>
    <t>Melhoria</t>
  </si>
  <si>
    <t>Total</t>
  </si>
  <si>
    <t>MATRIZ MESTRA DE INFORMAÇÃO DOCUMENTADA — ISO 50001</t>
  </si>
  <si>
    <t>Documento_Registo</t>
  </si>
  <si>
    <t>Tipo</t>
  </si>
  <si>
    <t>Obrigatoriedade</t>
  </si>
  <si>
    <t>Responsavel</t>
  </si>
  <si>
    <t>Aprovacao</t>
  </si>
  <si>
    <t>Frequencia</t>
  </si>
  <si>
    <t>Retencao</t>
  </si>
  <si>
    <t>Onde_no_SGE</t>
  </si>
  <si>
    <t>DOCE-01</t>
  </si>
  <si>
    <t>Âmbito e fronteiras do SGE</t>
  </si>
  <si>
    <t>A (manter)</t>
  </si>
  <si>
    <t>Gestor(a) de Energia (líder da equipa de gestão de energia)</t>
  </si>
  <si>
    <t>Diretor Geral (Gestão de Topo)</t>
  </si>
  <si>
    <t>Anual</t>
  </si>
  <si>
    <t>Até substituição + 5 anos</t>
  </si>
  <si>
    <t>MAN-SGE-01; RG-SGE-01 tbl_ambito</t>
  </si>
  <si>
    <t>DOCE-02</t>
  </si>
  <si>
    <t>Política energética</t>
  </si>
  <si>
    <t>POL-SGE-01; RG-SGE-02</t>
  </si>
  <si>
    <t>DOCE-03</t>
  </si>
  <si>
    <t>Métodos e critérios da revisão energética</t>
  </si>
  <si>
    <t>Diretor Industrial</t>
  </si>
  <si>
    <t>PR-SGE-02; RG-SGE-04 Metodo_Criterios</t>
  </si>
  <si>
    <t>DOCE-04</t>
  </si>
  <si>
    <t>Metodologia para determinar e atualizar os IDE</t>
  </si>
  <si>
    <t>PR-SGE-03; RG-SGE-05 Metodologia_IDE_LBE</t>
  </si>
  <si>
    <t>DOCE-05</t>
  </si>
  <si>
    <t>Critérios operacionais dos USE (na medida necessária)</t>
  </si>
  <si>
    <t>PR-SGE-06; IT-SGE-01 a 03; RG-SGE-08</t>
  </si>
  <si>
    <t>REGE-01</t>
  </si>
  <si>
    <t>Objetivos e metas energéticas</t>
  </si>
  <si>
    <t>Registo</t>
  </si>
  <si>
    <t>B (reter)</t>
  </si>
  <si>
    <t>5 anos</t>
  </si>
  <si>
    <t>RG-SGE-05 tbl_objetivos, tbl_metas_energeticas</t>
  </si>
  <si>
    <t>REGE-02</t>
  </si>
  <si>
    <t>Planos de ação</t>
  </si>
  <si>
    <t>6.2.3</t>
  </si>
  <si>
    <t>Mensal</t>
  </si>
  <si>
    <t>RG-SGE-05 tbl_planos_acao</t>
  </si>
  <si>
    <t>REGE-03</t>
  </si>
  <si>
    <t>Resultados da revisão energética</t>
  </si>
  <si>
    <t>10 anos</t>
  </si>
  <si>
    <t>REGE-04</t>
  </si>
  <si>
    <t>Valores dos IDE</t>
  </si>
  <si>
    <t>RG-SGE-05 tbl_ide_mensal</t>
  </si>
  <si>
    <t>REGE-05</t>
  </si>
  <si>
    <t>LBE, dados das variáveis relevantes e modificações</t>
  </si>
  <si>
    <t>Por alteração</t>
  </si>
  <si>
    <t>RG-SGE-05 tbl_lbe, tbl_base_energia, tbl_alteracoes_lbe</t>
  </si>
  <si>
    <t>REGE-06</t>
  </si>
  <si>
    <t>Dados recolhidos; medição, exatidão e repetibilidade</t>
  </si>
  <si>
    <t>Contínua</t>
  </si>
  <si>
    <t>REGE-07</t>
  </si>
  <si>
    <t>Evidência de competência</t>
  </si>
  <si>
    <t>Responsável de Recursos Humanos</t>
  </si>
  <si>
    <t>Por ação</t>
  </si>
  <si>
    <t>Contrato + 5 anos</t>
  </si>
  <si>
    <t>RG-SGE-07 tbl_registo_formacao</t>
  </si>
  <si>
    <t>REGE-08</t>
  </si>
  <si>
    <t>Sugestões de melhoria (considerar reter)</t>
  </si>
  <si>
    <t>RG-SGE-07 tbl_sugestoes</t>
  </si>
  <si>
    <t>REGE-09</t>
  </si>
  <si>
    <t>Atividades de projeto relativas ao desempenho energético</t>
  </si>
  <si>
    <t>Por projeto</t>
  </si>
  <si>
    <t>Vida do equipamento</t>
  </si>
  <si>
    <t>REGE-10</t>
  </si>
  <si>
    <t>Resultados de monitorização e medição; investigação de desvios</t>
  </si>
  <si>
    <t>RG-SGE-05; RG-SGE-11</t>
  </si>
  <si>
    <t>REGE-11</t>
  </si>
  <si>
    <t>Avaliação da conformidade legal</t>
  </si>
  <si>
    <t>Semestral</t>
  </si>
  <si>
    <t>REGE-12</t>
  </si>
  <si>
    <t>Programa e resultados das auditorias</t>
  </si>
  <si>
    <t>Auditor(a) Interno(a) do SGE</t>
  </si>
  <si>
    <t>REGE-13</t>
  </si>
  <si>
    <t>Resultados da revisão pela gestão</t>
  </si>
  <si>
    <t>REGE-14</t>
  </si>
  <si>
    <t>NC, ações e resultados</t>
  </si>
  <si>
    <t>Por ocorrência</t>
  </si>
  <si>
    <t>MATRIZ NORMATIVA DO SGE — FAMÍLIA ISO 50000 E INTEGRAÇÃO</t>
  </si>
  <si>
    <t>A ISO 50001 é o núcleo certificável; as restantes são orientação, protocolos ou sistemas integrados · Títulos e edições verificados em iso.org (30/09/2026)</t>
  </si>
  <si>
    <t>Norma</t>
  </si>
  <si>
    <t>Titulo</t>
  </si>
  <si>
    <t>Relacao_ISO50001</t>
  </si>
  <si>
    <t>Requisitos_50001_Apoiados</t>
  </si>
  <si>
    <t>Aplicacao_Plasticom</t>
  </si>
  <si>
    <t>Evidencia</t>
  </si>
  <si>
    <t>KPI</t>
  </si>
  <si>
    <t>Estado_Uso</t>
  </si>
  <si>
    <t>Nota_Correcao</t>
  </si>
  <si>
    <t>ISO 50001:2018 + Amd 1:2024 (NP EN ISO 50001:2019)</t>
  </si>
  <si>
    <t>Sistemas de gestão da energia — Requisitos com orientação para utilização</t>
  </si>
  <si>
    <t>Núcleo (requisitos certificáveis)</t>
  </si>
  <si>
    <t>Todos (4 a 10)</t>
  </si>
  <si>
    <t>Todo o SGE da Plasticom</t>
  </si>
  <si>
    <t>RG-SGE-00 a 14; MAN-SGE-01</t>
  </si>
  <si>
    <t>Prontidão (Resumo_Prontidao)</t>
  </si>
  <si>
    <t>Aplicada</t>
  </si>
  <si>
    <t>ISO 50006:2023</t>
  </si>
  <si>
    <t>Avaliação do desempenho energético com IDE e LBE</t>
  </si>
  <si>
    <t>Orientação — muito importante</t>
  </si>
  <si>
    <t>6.4, 6.5, 9.1.1, 10.2</t>
  </si>
  <si>
    <t>LBE-01 por regressão, normalização, domínio de validade, ajuste não rotineiro, demonstração da melhoria</t>
  </si>
  <si>
    <t>RG-SGE-05; PR-SGE-03</t>
  </si>
  <si>
    <t>IDE-01 (melhoria normalizada)</t>
  </si>
  <si>
    <t>2.ª edição substitui a ISO 50006:2014 (texto da pasta: NBR ISO 50006:2016 — ficheiro PDF corrompido)</t>
  </si>
  <si>
    <t>ISO 50015:2014</t>
  </si>
  <si>
    <t>M&amp;V do desempenho energético das organizações — princípios e orientação</t>
  </si>
  <si>
    <t>6.2.3, 9.1.1</t>
  </si>
  <si>
    <t>Planos de M&amp;V (MV-01 a 04); incerteza</t>
  </si>
  <si>
    <t>RG-SGE-11; PR-SGE-08</t>
  </si>
  <si>
    <t>Poupança verificada (MWh)</t>
  </si>
  <si>
    <t>ISO 50047:2016</t>
  </si>
  <si>
    <t>Poupanças de energia — determinação nas organizações</t>
  </si>
  <si>
    <t>Orientação</t>
  </si>
  <si>
    <t>9.1.1, 10.2</t>
  </si>
  <si>
    <t>Poupança = LBE ajustada − real; soma por ação vs instalação</t>
  </si>
  <si>
    <t>RG-SGE-11 tbl_poupancas</t>
  </si>
  <si>
    <t>MWh poupados</t>
  </si>
  <si>
    <t>ISO 50002-1:2025 (+ -2 edifícios, -3 processos)</t>
  </si>
  <si>
    <t>Auditorias energéticas — Parte 1: requisitos gerais</t>
  </si>
  <si>
    <t>Apoio direto</t>
  </si>
  <si>
    <t>Método da revisão energética e da auditoria SGCIE</t>
  </si>
  <si>
    <t>RG-SGE-04; PR-SGE-02</t>
  </si>
  <si>
    <t>Oportunidades (MWh/ano)</t>
  </si>
  <si>
    <t>Substitui a ISO 50002:2014 (a lista do ChatGPT cita a edição antiga)</t>
  </si>
  <si>
    <t>EN 16247-1:2022 (série EN 16247)</t>
  </si>
  <si>
    <t>Auditorias energéticas — requisitos gerais (CEN)</t>
  </si>
  <si>
    <t>Apoio direto (Europa)</t>
  </si>
  <si>
    <t>Base europeia das auditorias; serviu de ponto de partida à ISO 50002-1:2025</t>
  </si>
  <si>
    <t>Referência</t>
  </si>
  <si>
    <t>ISO 50004:2020</t>
  </si>
  <si>
    <t>Orientação para implementar, manter e melhorar um SGE</t>
  </si>
  <si>
    <t>Todos</t>
  </si>
  <si>
    <t>Exemplos para cada requisito (critérios de USE, equipa, controlo operacional)</t>
  </si>
  <si>
    <t>PR-SGE-01 a 12</t>
  </si>
  <si>
    <t>ISO 50005:2021</t>
  </si>
  <si>
    <t>Orientação para uma implementação faseada (níveis de maturidade)</t>
  </si>
  <si>
    <t>Apoio (útil a PME)</t>
  </si>
  <si>
    <t>Autoavaliação de maturidade do SGE</t>
  </si>
  <si>
    <t>RG-SGE-00 Autoavaliacao_Maturidade</t>
  </si>
  <si>
    <t>Nível médio</t>
  </si>
  <si>
    <t>ISO/TS 50011:2023</t>
  </si>
  <si>
    <t>Avaliar a GESTÃO da energia com base na ISO 50001 (pontuação EMPS)</t>
  </si>
  <si>
    <t>Apoio (autoavaliação)</t>
  </si>
  <si>
    <t>Inspira a autoavaliação (estrutura, operação, metas)</t>
  </si>
  <si>
    <t>EMPS</t>
  </si>
  <si>
    <t>Correção: não é 'avaliar a melhoria do desempenho energético' — avalia o estado da gestão da energia</t>
  </si>
  <si>
    <t>ISO 50003:2021</t>
  </si>
  <si>
    <t>Requisitos para organismos que auditam e certificam SGE</t>
  </si>
  <si>
    <t>Certificação</t>
  </si>
  <si>
    <t>9.1.1, 10.2 (melhoria demonstrada)</t>
  </si>
  <si>
    <t>Critério de prontidão para a certificação em 2027</t>
  </si>
  <si>
    <t>RG-SGE-05 LBE_Modelo; RG-SGE-12</t>
  </si>
  <si>
    <t>Melhoria demonstrada (Sim/Não)</t>
  </si>
  <si>
    <t>ISO 19011 (edição em vigor)</t>
  </si>
  <si>
    <t>Diretrizes para auditoria de sistemas de gestão</t>
  </si>
  <si>
    <t>Auditoria</t>
  </si>
  <si>
    <t>Programa, imparcialidade, relato</t>
  </si>
  <si>
    <t>RG-SGE-12; PR-SGE-11</t>
  </si>
  <si>
    <t>Cumprimento do programa</t>
  </si>
  <si>
    <t>ISO 50009:2021</t>
  </si>
  <si>
    <t>Implementação de um SGE comum a várias organizações</t>
  </si>
  <si>
    <t>Apoio (não aplicável)</t>
  </si>
  <si>
    <t>Só uma unidade — não aplicável</t>
  </si>
  <si>
    <t>Não aplicável</t>
  </si>
  <si>
    <t>ISO/PAS 50010:2023</t>
  </si>
  <si>
    <t>Orientação para 'net zero energy' nas operações com um SGE ISO 50001</t>
  </si>
  <si>
    <t>Apoio técnico (clima)</t>
  </si>
  <si>
    <t>6.2, 8.3 b)</t>
  </si>
  <si>
    <t>Visão de longo prazo da UPAC e da eletricidade renovável (OBJ-E-05)</t>
  </si>
  <si>
    <t>RG-SGE-05; PL-SGA-01</t>
  </si>
  <si>
    <t>IDE-10</t>
  </si>
  <si>
    <t>Correção: não trata de 'desempenho energético e financeiro'</t>
  </si>
  <si>
    <t>ISO 50007:2017</t>
  </si>
  <si>
    <t>Serviços de energia — avaliação e melhoria do serviço prestado aos UTILIZADORES</t>
  </si>
  <si>
    <t>Apoio (contratos de serviços)</t>
  </si>
  <si>
    <t>Contratos de manutenção com impacto nos USE</t>
  </si>
  <si>
    <t>RG-SGE-09 CAQ-06</t>
  </si>
  <si>
    <t>Correção: é orientado aos utilizadores do serviço, não 'requisitos para provedores'</t>
  </si>
  <si>
    <t>ISO 50046:2019</t>
  </si>
  <si>
    <t>Métodos gerais para prever poupanças de energia</t>
  </si>
  <si>
    <t>Apoio</t>
  </si>
  <si>
    <t>6.3 d)</t>
  </si>
  <si>
    <t>Estimativa das poupanças das oportunidades (OPE-xx)</t>
  </si>
  <si>
    <t>RG-SGE-04 tbl_oportunidades</t>
  </si>
  <si>
    <t>MWh previstos</t>
  </si>
  <si>
    <t>ISO 50014 (inexistente)</t>
  </si>
  <si>
    <t>Não existe norma ISO 50014 publicada (verificado em iso.org)</t>
  </si>
  <si>
    <t>Correção à lista do ChatGPT</t>
  </si>
  <si>
    <t>EN 17267:2019</t>
  </si>
  <si>
    <t>Plano de medição e monitorização da energia</t>
  </si>
  <si>
    <t>Apoio (medição)</t>
  </si>
  <si>
    <t>6.6, 9.1.1</t>
  </si>
  <si>
    <t>Árvore de contadores, qualidade dos dados</t>
  </si>
  <si>
    <t>RG-SGE-06; PR-SGE-05</t>
  </si>
  <si>
    <t>KPI-E-01</t>
  </si>
  <si>
    <t>EN 17463:2021 (VALERI)</t>
  </si>
  <si>
    <t>Avaliação de investimentos relacionados com a energia</t>
  </si>
  <si>
    <t>Apoio (económico)</t>
  </si>
  <si>
    <t>8.2, 8.3</t>
  </si>
  <si>
    <t>LCC da IM-002</t>
  </si>
  <si>
    <t>RG-SGE-09 tbl_lcc</t>
  </si>
  <si>
    <t>LCC anual equivalente</t>
  </si>
  <si>
    <t>ISO 11011:2013</t>
  </si>
  <si>
    <t>Ar comprimido — avaliação da eficiência energética</t>
  </si>
  <si>
    <t>Técnica (USE-03)</t>
  </si>
  <si>
    <t>6.3, 8.1, 9.1.1</t>
  </si>
  <si>
    <t>Fugas, pressão, potência específica</t>
  </si>
  <si>
    <t>RG-SGE-08 CO-09 a 12; RG-SGE-11</t>
  </si>
  <si>
    <t>IDE-08</t>
  </si>
  <si>
    <t>ISO 1217 (anexo E)</t>
  </si>
  <si>
    <t>Compressores de deslocamento — ensaios de aceitação</t>
  </si>
  <si>
    <t>Técnica (compras)</t>
  </si>
  <si>
    <t>Potência específica declarada dos compressores</t>
  </si>
  <si>
    <t>RG-SGE-09 CAQ-02</t>
  </si>
  <si>
    <t>kW/(m³/min)</t>
  </si>
  <si>
    <t>IEC 60034-30-1 / Reg. (UE) 2019/1781</t>
  </si>
  <si>
    <t>Classes de eficiência de motores (IE)</t>
  </si>
  <si>
    <t>Técnica / legal</t>
  </si>
  <si>
    <t>Motores IE3/IE4</t>
  </si>
  <si>
    <t>RG-SGE-09 CAQ-04; RG-SGE-10 LEG-E-05</t>
  </si>
  <si>
    <t>IEC 62053-22 / IEC 61557-12</t>
  </si>
  <si>
    <t>Contadores (classe 0,5S) e analisadores de energia</t>
  </si>
  <si>
    <t>Técnica (medição)</t>
  </si>
  <si>
    <t>Exatidão dos contadores M00–M06 e do PA-01</t>
  </si>
  <si>
    <t>RG-SGE-06 tbl_equipamentos</t>
  </si>
  <si>
    <t>EUROMAP 60.1 / 60.2</t>
  </si>
  <si>
    <t>Consumo de energia de injetoras e máquinas de sopro</t>
  </si>
  <si>
    <t>Técnica (setor)</t>
  </si>
  <si>
    <t>Declaração do consumo específico nas compras de máquinas</t>
  </si>
  <si>
    <t>RG-SGE-09 CAQ-01</t>
  </si>
  <si>
    <t>kWh/kg</t>
  </si>
  <si>
    <t>EVO — IPMVP Core Concepts</t>
  </si>
  <si>
    <t>Protocolo internacional de M&amp;V (opções A–D)</t>
  </si>
  <si>
    <t>Protocolo</t>
  </si>
  <si>
    <t>Opções A, B e C</t>
  </si>
  <si>
    <t>ASHRAE Guideline 14</t>
  </si>
  <si>
    <t>Medição das poupanças de energia (critérios estatísticos)</t>
  </si>
  <si>
    <t>CV(RMSE), NMBE, R²</t>
  </si>
  <si>
    <t>RG-SGE-05 LBE_Modelo</t>
  </si>
  <si>
    <t>ISO 14001:2026</t>
  </si>
  <si>
    <t>Sistemas de gestão ambiental</t>
  </si>
  <si>
    <t>Integração (SGI)</t>
  </si>
  <si>
    <t>4.1, 6.1, 9.1.2</t>
  </si>
  <si>
    <t>Fonte única de contexto, riscos, requisitos legais e dados de energia</t>
  </si>
  <si>
    <t>RG-SGA-00 a 21</t>
  </si>
  <si>
    <t>ISO 9001:2026</t>
  </si>
  <si>
    <t>Sistemas de gestão da qualidade</t>
  </si>
  <si>
    <t>7.5, 9.2, 9.3</t>
  </si>
  <si>
    <t>Auditorias e revisões integradas; validação do setpoint do chiller</t>
  </si>
  <si>
    <t>RG-SGQ-00 a 19</t>
  </si>
  <si>
    <t>ISO 14064-1:2018</t>
  </si>
  <si>
    <t>Quantificação e relato de GEE organizacionais</t>
  </si>
  <si>
    <t>Integração (clima)</t>
  </si>
  <si>
    <t>4.1, 6.2</t>
  </si>
  <si>
    <t>Inventário GEE (âmbito 2 depende do SGE)</t>
  </si>
  <si>
    <t>RG-SGA-19</t>
  </si>
  <si>
    <t>tCO2e</t>
  </si>
  <si>
    <t>Aplicada (SGA)</t>
  </si>
  <si>
    <t>ISO 14067:2018</t>
  </si>
  <si>
    <t>Pegada de carbono de produtos</t>
  </si>
  <si>
    <t>PCF por SKU pedida pelos clientes (usa kWh por máquina)</t>
  </si>
  <si>
    <t>RG-SGA-19; RG-SGE-04 tbl_energia_maquina</t>
  </si>
  <si>
    <t>kgCO2e/1.000 un</t>
  </si>
  <si>
    <t>ISO 14040 / 14044</t>
  </si>
  <si>
    <t>Avaliação do ciclo de vida</t>
  </si>
  <si>
    <t>Decisões de projeto com ciclo de vida (SGA)</t>
  </si>
  <si>
    <t>RG-SGA-20</t>
  </si>
  <si>
    <t>ISO 14068-1:2023</t>
  </si>
  <si>
    <t>Gestão para a neutralidade carbónica</t>
  </si>
  <si>
    <t>Enquadramento das metas de descarbonização (PL-SGA-01)</t>
  </si>
  <si>
    <t>ISO 45001:2018</t>
  </si>
  <si>
    <t>Segurança e saúde no trabalho</t>
  </si>
  <si>
    <t>Integração (futura)</t>
  </si>
  <si>
    <t>Segurança nas intervenções em quadros elétricos e ar comprimido</t>
  </si>
  <si>
    <t>Não implementada</t>
  </si>
  <si>
    <t>Próximo subsistema do SGI</t>
  </si>
  <si>
    <t>ISO 55001:2024</t>
  </si>
  <si>
    <t>Gestão de ativos</t>
  </si>
  <si>
    <t>Integração</t>
  </si>
  <si>
    <t>8.1, 8.2, 8.3</t>
  </si>
  <si>
    <t>Plano de substituição das máquinas hidráulicas (OPE-06, OPE-14) com LCC</t>
  </si>
  <si>
    <t>ISO 31000:2018</t>
  </si>
  <si>
    <t>Gestão do risco — diretrizes</t>
  </si>
  <si>
    <t>Método dos riscos RE-xx</t>
  </si>
  <si>
    <t>NORMAS, REQUISITOS E FONTES CITADAS</t>
  </si>
  <si>
    <t>As orientações (ISO 5000x, EN, IPMVP, ASHRAE, BPF) não são requisitos auditáveis da ISO 50001 — foram usadas como boas práticas</t>
  </si>
  <si>
    <t>ID</t>
  </si>
  <si>
    <t>Referencia</t>
  </si>
  <si>
    <t>Onde</t>
  </si>
  <si>
    <t>Aplicada_em</t>
  </si>
  <si>
    <t>F-01</t>
  </si>
  <si>
    <t>NBR ISO 50001:2018 (texto da norma) — apostila da pasta de interpretação</t>
  </si>
  <si>
    <t>ISO 50001 - Sistema de Gestão da Energia - Interpretação/Norma-ISO-500012018-Apostila...pdf</t>
  </si>
  <si>
    <t>Texto dos requisitos 4 a 10 usado nas matrizes e nos procedimentos</t>
  </si>
  <si>
    <t>F-02</t>
  </si>
  <si>
    <t>ISO 50001:2018/Amd 1:2024 — Climate action changes</t>
  </si>
  <si>
    <t>https://www.iso.org/standard/88430.html</t>
  </si>
  <si>
    <t>4.1 e 4.2 (alterações climáticas) — RG-SGE-01 tbl_clima</t>
  </si>
  <si>
    <t>F-03</t>
  </si>
  <si>
    <t>ISO 50006:2023 (prévia oficial ISO/FDIS: índice, termos 3.1.1–3.1.18, secções 4–5)</t>
  </si>
  <si>
    <t>https://www.iso.org/standard/79367.html; https://standards.iteh.ai/catalog/standards/iso/a20f6ab7-5e8e-4f5e-bc3a-2bdda723d80e/iso-50006-2023</t>
  </si>
  <si>
    <t>Estrutura do RG-SGE-05 e do PR-SGE-03 (fronteiras, utilizadores, tipos de IDE, período de referência, normalização, fatores estáticos, demonstração)</t>
  </si>
  <si>
    <t>F-04</t>
  </si>
  <si>
    <t>Módulo M-9 'Medição e indicadores de desempenho energético — ISO 50006' (curso Bureau Veritas)</t>
  </si>
  <si>
    <t>Pasta de interpretação</t>
  </si>
  <si>
    <t>Plano de medição (o quê, porquê, como, frequência, valor esperado, desvio, ação) e tipos de IDE</t>
  </si>
  <si>
    <t>F-05</t>
  </si>
  <si>
    <t>Módulos M-2 a M-11 do curso de interpretação ISO 50001 (Bureau Veritas) e manuais de SGE da pasta</t>
  </si>
  <si>
    <t>Interpretação de cada secção nos procedimentos PR-SGE</t>
  </si>
  <si>
    <t>F-06</t>
  </si>
  <si>
    <t>ISO 50002-1:2025 — Energy audits, Part 1</t>
  </si>
  <si>
    <t>https://www.iso.org/standard/83645.html</t>
  </si>
  <si>
    <t>Revisão energética (RG-SGE-04)</t>
  </si>
  <si>
    <t>F-07</t>
  </si>
  <si>
    <t>https://www.iso.org/standard/77575.html</t>
  </si>
  <si>
    <t>Melhoria demonstrada para certificar; competência dos auditores</t>
  </si>
  <si>
    <t>Outro requisito</t>
  </si>
  <si>
    <t>F-08</t>
  </si>
  <si>
    <t>https://www.iso.org/standard/60043.html</t>
  </si>
  <si>
    <t>Planos de M&amp;V (RG-SGE-11)</t>
  </si>
  <si>
    <t>F-09</t>
  </si>
  <si>
    <t>https://www.iso.org/standard/67790.html</t>
  </si>
  <si>
    <t>Previsão das poupanças (RG-SGE-04)</t>
  </si>
  <si>
    <t>F-10</t>
  </si>
  <si>
    <t>https://www.iso.org/standard/81286.html</t>
  </si>
  <si>
    <t>Autoavaliação da gestão da energia (EMPS)</t>
  </si>
  <si>
    <t>F-11</t>
  </si>
  <si>
    <t>https://www.iso.org/standard/51873.html</t>
  </si>
  <si>
    <t>Visão net zero energy (OBJ-E-05)</t>
  </si>
  <si>
    <t>F-12</t>
  </si>
  <si>
    <t>LBNL — EnPI Lite 'Valid model requirements' e 50001 Ready Navigator (tarefa 11)</t>
  </si>
  <si>
    <t>https://enpilite.lbl.gov/valid-model-requirements; https://navigator.lbl.gov/guidance/task/11</t>
  </si>
  <si>
    <t>Testes estatísticos da LBE-01; passos de IDE/LBE</t>
  </si>
  <si>
    <t>F-13</t>
  </si>
  <si>
    <t>ASHRAE Guideline 14 (CV(RMSE) ≤ 15%, NMBE ±5% em dados mensais)</t>
  </si>
  <si>
    <t>https://www.ashrae.org</t>
  </si>
  <si>
    <t>Testes da LBE-01</t>
  </si>
  <si>
    <t>F-14</t>
  </si>
  <si>
    <t>https://evo-world.org</t>
  </si>
  <si>
    <t>Opções de M&amp;V</t>
  </si>
  <si>
    <t>F-15</t>
  </si>
  <si>
    <t>EN 17267:2019 — Energy measurement and monitoring plan</t>
  </si>
  <si>
    <t>https://standards.iteh.ai/catalog/standards/cen/a4a4eeca-3fee-406b-bd85-95d07aae506d/en-17267-2019</t>
  </si>
  <si>
    <t>F-16</t>
  </si>
  <si>
    <t>Kent, R. — Energy Management in Plastics Processing (BPF / Tangram)</t>
  </si>
  <si>
    <t>https://tangram.co.uk/wp-content/uploads/BPF-Energy-Management-in-Plastics-Processing.pdf</t>
  </si>
  <si>
    <t>Benchmarks do setor (carga de base 20–40%, fugas 20–40%, +1 °C ≈ −3% no chiller, standby)</t>
  </si>
  <si>
    <t>F-17</t>
  </si>
  <si>
    <t>UNIDO — Practical guide / EnMS toolkit</t>
  </si>
  <si>
    <t>https://decarbonization.unido.org/resources/practical-guide-for-implementing-an-energy-management-system/</t>
  </si>
  <si>
    <t>Estrutura dos registos (oportunidades, IDE)</t>
  </si>
  <si>
    <t>F-18</t>
  </si>
  <si>
    <t>SGCIE — perguntas frequentes e conversor; DGEG</t>
  </si>
  <si>
    <t>https://sgcie.pt/faq/; https://www.dgeg.gov.pt</t>
  </si>
  <si>
    <t>RG-SGE-10 (limiares, metas do PREn, REP)</t>
  </si>
  <si>
    <t>Requisito legal</t>
  </si>
  <si>
    <t>F-19</t>
  </si>
  <si>
    <t>Decreto-Lei 71/2008 (SGCIE); Despacho 17313/2008; DL 68-A/2015</t>
  </si>
  <si>
    <t>https://diariodarepublica.pt</t>
  </si>
  <si>
    <t>F-20</t>
  </si>
  <si>
    <t>Diretiva (UE) 2023/1791 e análise DNV</t>
  </si>
  <si>
    <t>https://eur-lex.europa.eu/eli/dir/2023/1791/oj; https://www.dnv.com/assurance/Management-Systems/eu-directive-2023-1791-energy-efficiency-iso-50001/</t>
  </si>
  <si>
    <t>Art. 11.º (85 TJ / 10 TJ) — LEG-E-03, OE-02</t>
  </si>
  <si>
    <t>F-21</t>
  </si>
  <si>
    <t>Decreto-Lei 130/2026 (altera o DL 15/2022 — SEN; autoconsumo)</t>
  </si>
  <si>
    <t>https://diariodarepublica.pt/dr/detalhe/decreto-lei/130-2026-1139897687</t>
  </si>
  <si>
    <t>LEG-E-04 (UPAC)</t>
  </si>
  <si>
    <t>F-22</t>
  </si>
  <si>
    <t>Registos do SGA (RG-SGA-01, 02, 04, 10, 11, 13, 17, 18, 19) e do SGQ (RG-SGQ-07, 11, 13, 16)</t>
  </si>
  <si>
    <t>SGI_Sistema-de-gestao-integrado</t>
  </si>
  <si>
    <t>Fontes únicas de contexto, riscos, legal, energia mensal, fatores de emissão, alterações</t>
  </si>
  <si>
    <t>F-23</t>
  </si>
  <si>
    <t>Dataset do projeto (fact_production, dim_machine_profile)</t>
  </si>
  <si>
    <t>datasets/silver; datasets/dim</t>
  </si>
  <si>
    <t>Produção, horas e paragens por máquina; ano de instalação</t>
  </si>
  <si>
    <t>MATRIZ DE FONTE ÚNICA — SGE ↔ SGA ↔ SGQ</t>
  </si>
  <si>
    <t>Assunto</t>
  </si>
  <si>
    <t>Registo_Dono</t>
  </si>
  <si>
    <t>Tabelas_Donas</t>
  </si>
  <si>
    <t>So_Referenciado_Em</t>
  </si>
  <si>
    <t>Regra_Nota</t>
  </si>
  <si>
    <t>Contexto do SGI (PESTEL, SWOT, TOWS)</t>
  </si>
  <si>
    <t>RG-SGA-01</t>
  </si>
  <si>
    <t>tbl_pestel; tbl_swot; tbl_tows</t>
  </si>
  <si>
    <t>RG-SGE-01 tbl_contexto_energia (ID_Contexto_SGI)</t>
  </si>
  <si>
    <t>Questões só de energia com prefixo CTX-E</t>
  </si>
  <si>
    <t>Riscos e oportunidades do SGI</t>
  </si>
  <si>
    <t>RG-SGA-02</t>
  </si>
  <si>
    <t>tbRiscos; tbOportunidades</t>
  </si>
  <si>
    <t>RG-SGE-03 (R22, R25, R34, R35, R39, O6, O15)</t>
  </si>
  <si>
    <t>RE-xx / OE-xx propostos para inclusão</t>
  </si>
  <si>
    <t>Requisitos legais do SGI</t>
  </si>
  <si>
    <t>RG-SGA-04</t>
  </si>
  <si>
    <t>tbl_legal; tbl_obrigacoes</t>
  </si>
  <si>
    <t>RG-SGE-10 (LEG-08, OBR-06)</t>
  </si>
  <si>
    <t>LEG-E-xx propostos para inclusão</t>
  </si>
  <si>
    <t>Eletricidade mensal por uso mar/2025–dez/2026</t>
  </si>
  <si>
    <t>RG-SGA-13</t>
  </si>
  <si>
    <t>tbl_dados_ambientais</t>
  </si>
  <si>
    <t>RG-SGE-04/05/06/09 (valores lidos por envdata.ambiente())</t>
  </si>
  <si>
    <t>Fonte única completa: o RG-SGA-13 inclui o fecho de 2026 (set–dez) com o efeito das ações de energia</t>
  </si>
  <si>
    <t>Parâmetros do rateio (KW_*, AR_FRAC, FRIO_*)</t>
  </si>
  <si>
    <t>tbl_parametros</t>
  </si>
  <si>
    <t>RG-SGE-04 tbl_campanha (confirma os kW)</t>
  </si>
  <si>
    <t>A campanha sugere rever AR_FRAC após os VSD</t>
  </si>
  <si>
    <t>Equipamentos EQP-01 a EQP-05</t>
  </si>
  <si>
    <t>tbl_equipamentos</t>
  </si>
  <si>
    <t>RG-SGE-06 tbl_equipamentos (cópia com Registo_Dono)</t>
  </si>
  <si>
    <t>EQE-xx novos do SGE</t>
  </si>
  <si>
    <t>Fatores de emissão e gasóleo (âmbito 1)</t>
  </si>
  <si>
    <t>tbl_fatores_emissao; tbl_inventario_gee</t>
  </si>
  <si>
    <t>RG-SGE-04 tbl_tipos_energia; tbl_consumo_uso</t>
  </si>
  <si>
    <t>Fatores SGCIE (Despacho 17313/2008) só no SGE</t>
  </si>
  <si>
    <t>Planeamento de alterações</t>
  </si>
  <si>
    <t>RG-SGA-18</t>
  </si>
  <si>
    <t>tbl_alteracoes</t>
  </si>
  <si>
    <t>RG-SGE-09 tbl_projetos; RG-SGE-05 tbl_alteracoes_lbe</t>
  </si>
  <si>
    <t>Secção de energia na checklist (RD-E-26-D05)</t>
  </si>
  <si>
    <t>Fornecedor de eletricidade</t>
  </si>
  <si>
    <t>RG-SGA-11</t>
  </si>
  <si>
    <t>tbl_outros_fornecedores (ENE-01)</t>
  </si>
  <si>
    <t>RG-SGE-01 PIE-03; RG-SGE-09 tbl_compra_energia</t>
  </si>
  <si>
    <t>IDE, LBE, objetivos e metas energéticas</t>
  </si>
  <si>
    <t>tbl_kpi; tbl_lbe; tbl_objetivos</t>
  </si>
  <si>
    <t>RG-SGA-05 OBJ-01/KPI-01 (mesma intenção; SGA mantém para o relato ambiental)</t>
  </si>
  <si>
    <t>O SGE é dono da medição normalizada</t>
  </si>
  <si>
    <t>Revisão energética, USE e oportunidades</t>
  </si>
  <si>
    <t>tbl_usos; tbl_use; tbl_oportunidades</t>
  </si>
  <si>
    <t>RG-SGA-03 (aspetos de energia AA-007, 010, 021, 030–032)</t>
  </si>
  <si>
    <t>Energia por máquina (campanha e rateio)</t>
  </si>
  <si>
    <t>tbl_campanha; tbl_energia_maquina</t>
  </si>
  <si>
    <t>RG-SGA-19 (PCF por SKU — futuro)</t>
  </si>
  <si>
    <t>Faturas, tarifas e potência</t>
  </si>
  <si>
    <t>tbl_faturas; tbl_precos</t>
  </si>
  <si>
    <t>RG-SGE-04/05 (preço médio); RG-SGA-17 (prm_Preco_Eletricidade)</t>
  </si>
  <si>
    <t>Atualizar o parâmetro do SGA com o preço de 2026</t>
  </si>
  <si>
    <t>Trajetória SGCIE (PREn)</t>
  </si>
  <si>
    <t>tbl_sgcie</t>
  </si>
  <si>
    <t>RG-SGA-04 LEG-08</t>
  </si>
  <si>
    <t>Pessoas e operadores</t>
  </si>
  <si>
    <t>RG-SGQ-07 / dataset</t>
  </si>
  <si>
    <t>tbl_pessoas</t>
  </si>
  <si>
    <t>Folha</t>
  </si>
  <si>
    <t>Tabela</t>
  </si>
  <si>
    <t>Linha_Cabecalho</t>
  </si>
  <si>
    <t>N_Linhas</t>
  </si>
  <si>
    <t>N_Colunas</t>
  </si>
  <si>
    <t>Chave_Primaria</t>
  </si>
  <si>
    <t>Leitura_pandas</t>
  </si>
  <si>
    <t>Contexto_Energia</t>
  </si>
  <si>
    <t>tbl_contexto_energia</t>
  </si>
  <si>
    <t>ID_Contexto</t>
  </si>
  <si>
    <t>pd.read_excel("SGE-01_Contexto_Ambito_Fronteiras.xlsx", sheet_name="Contexto_Energia", header=3)</t>
  </si>
  <si>
    <t>Partes_Interessadas</t>
  </si>
  <si>
    <t>tbl_partes_interessadas</t>
  </si>
  <si>
    <t>ID_PI</t>
  </si>
  <si>
    <t>pd.read_excel("SGE-01_Contexto_Ambito_Fronteiras.xlsx", sheet_name="Partes_Interessadas", header=3)</t>
  </si>
  <si>
    <t>Clima</t>
  </si>
  <si>
    <t>tbl_clima</t>
  </si>
  <si>
    <t>ID_Clima</t>
  </si>
  <si>
    <t>pd.read_excel("SGE-01_Contexto_Ambito_Fronteiras.xlsx", sheet_name="Clima", header=3)</t>
  </si>
  <si>
    <t>Ambito</t>
  </si>
  <si>
    <t>tbl_ambito</t>
  </si>
  <si>
    <t>Elemento</t>
  </si>
  <si>
    <t>pd.read_excel("SGE-01_Contexto_Ambito_Fronteiras.xlsx", sheet_name="Ambito", header=3)</t>
  </si>
  <si>
    <t>Mapa_Fronteiras</t>
  </si>
  <si>
    <t>tbl_fronteiras</t>
  </si>
  <si>
    <t>ID_Fronteira</t>
  </si>
  <si>
    <t>pd.read_excel("SGE-01_Contexto_Ambito_Fronteiras.xlsx", sheet_name="Mapa_Fronteiras", header=3)</t>
  </si>
  <si>
    <t>tbl_dicionario</t>
  </si>
  <si>
    <t>pd.read_excel("SGE-01_Contexto_Ambito_Fronteiras.xlsx", sheet_name="Dicionario_Dados", header=0)</t>
  </si>
  <si>
    <t>Lideranca</t>
  </si>
  <si>
    <t>tbl_lideranca</t>
  </si>
  <si>
    <t>pd.read_excel("SGE-02_Lideranca_Politica_Equipa.xlsx", sheet_name="Lideranca", header=3)</t>
  </si>
  <si>
    <t>Compromissos</t>
  </si>
  <si>
    <t>tbl_politica</t>
  </si>
  <si>
    <t>ID_Politica</t>
  </si>
  <si>
    <t>pd.read_excel("SGE-02_Lideranca_Politica_Equipa.xlsx", sheet_name="Compromissos", header=0)</t>
  </si>
  <si>
    <t>Verificacao_5_2</t>
  </si>
  <si>
    <t>tbl_verif_politica</t>
  </si>
  <si>
    <t>Requisito_5_2</t>
  </si>
  <si>
    <t>pd.read_excel("SGE-02_Lideranca_Politica_Equipa.xlsx", sheet_name="Verificacao_5_2", header=0)</t>
  </si>
  <si>
    <t>Equipa_Gestao_Energia</t>
  </si>
  <si>
    <t>tbl_equipa_energia</t>
  </si>
  <si>
    <t>ID_Membro</t>
  </si>
  <si>
    <t>pd.read_excel("SGE-02_Lideranca_Politica_Equipa.xlsx", sheet_name="Equipa_Gestao_Energia", header=3)</t>
  </si>
  <si>
    <t>RACI</t>
  </si>
  <si>
    <t>tbl_raci</t>
  </si>
  <si>
    <t>ID_Processo</t>
  </si>
  <si>
    <t>pd.read_excel("SGE-02_Lideranca_Politica_Equipa.xlsx", sheet_name="RACI", header=3)</t>
  </si>
  <si>
    <t>pd.read_excel("SGE-02_Lideranca_Politica_Equipa.xlsx", sheet_name="Dicionario_Dados", header=0)</t>
  </si>
  <si>
    <t>Riscos_SGE</t>
  </si>
  <si>
    <t>tbl_riscos_e</t>
  </si>
  <si>
    <t>ID_Risco</t>
  </si>
  <si>
    <t>pd.read_excel("SGE-03_Riscos_Oportunidades.xlsx", sheet_name="Riscos_SGE", header=3)</t>
  </si>
  <si>
    <t>Oportunidades_SGE</t>
  </si>
  <si>
    <t>tbl_oport_e</t>
  </si>
  <si>
    <t>ID_Oport</t>
  </si>
  <si>
    <t>pd.read_excel("SGE-03_Riscos_Oportunidades.xlsx", sheet_name="Oportunidades_SGE", header=3)</t>
  </si>
  <si>
    <t>pd.read_excel("SGE-03_Riscos_Oportunidades.xlsx", sheet_name="Dicionario_Dados", header=0)</t>
  </si>
  <si>
    <t>Parametros</t>
  </si>
  <si>
    <t>pd.read_excel("SGE-04_Revisao_Energetica_USE.xlsx", sheet_name="Parametros", header=3)</t>
  </si>
  <si>
    <t>Tipos_Energia</t>
  </si>
  <si>
    <t>tbl_tipos_energia</t>
  </si>
  <si>
    <t>ID_Tipo</t>
  </si>
  <si>
    <t>pd.read_excel("SGE-04_Revisao_Energetica_USE.xlsx", sheet_name="Tipos_Energia", header=3)</t>
  </si>
  <si>
    <t>Consumo_Mensal_Uso</t>
  </si>
  <si>
    <t>tbl_consumo_uso</t>
  </si>
  <si>
    <t>Mes</t>
  </si>
  <si>
    <t>pd.read_excel("SGE-04_Revisao_Energetica_USE.xlsx", sheet_name="Consumo_Mensal_Uso", header=3)</t>
  </si>
  <si>
    <t>Usos_Energia</t>
  </si>
  <si>
    <t>tbl_usos</t>
  </si>
  <si>
    <t>ID_Uso</t>
  </si>
  <si>
    <t>pd.read_excel("SGE-04_Revisao_Energetica_USE.xlsx", sheet_name="Usos_Energia", header=3)</t>
  </si>
  <si>
    <t>Ficha_USE</t>
  </si>
  <si>
    <t>tbl_use</t>
  </si>
  <si>
    <t>ID_USE</t>
  </si>
  <si>
    <t>pd.read_excel("SGE-04_Revisao_Energetica_USE.xlsx", sheet_name="Ficha_USE", header=3)</t>
  </si>
  <si>
    <t>Campanha_Maquinas</t>
  </si>
  <si>
    <t>tbl_campanha</t>
  </si>
  <si>
    <t>ID_Maquina</t>
  </si>
  <si>
    <t>pd.read_excel("SGE-04_Revisao_Energetica_USE.xlsx", sheet_name="Campanha_Maquinas", header=3)</t>
  </si>
  <si>
    <t>Energia_Maquina_Mensal</t>
  </si>
  <si>
    <t>tbl_energia_maquina</t>
  </si>
  <si>
    <t>pd.read_excel("SGE-04_Revisao_Energetica_USE.xlsx", sheet_name="Energia_Maquina_Mensal", header=3)</t>
  </si>
  <si>
    <t>Oportunidades</t>
  </si>
  <si>
    <t>tbl_oportunidades</t>
  </si>
  <si>
    <t>ID_Oportunidade</t>
  </si>
  <si>
    <t>pd.read_excel("SGE-04_Revisao_Energetica_USE.xlsx", sheet_name="Oportunidades", header=3)</t>
  </si>
  <si>
    <t>Previsao_2027</t>
  </si>
  <si>
    <t>tbl_previsao</t>
  </si>
  <si>
    <t>pd.read_excel("SGE-04_Revisao_Energetica_USE.xlsx", sheet_name="Previsao_2027", header=3)</t>
  </si>
  <si>
    <t>pd.read_excel("SGE-04_Revisao_Energetica_USE.xlsx", sheet_name="Dicionario_Dados", header=0)</t>
  </si>
  <si>
    <t>Base_Mensal</t>
  </si>
  <si>
    <t>tbl_base_energia</t>
  </si>
  <si>
    <t>pd.read_excel("SGE-05_IDE_LBE_Objetivos_Metas.xlsx", sheet_name="Base_Mensal", header=3)</t>
  </si>
  <si>
    <t>IDE_Mensal</t>
  </si>
  <si>
    <t>tbl_ide_mensal</t>
  </si>
  <si>
    <t>pd.read_excel("SGE-05_IDE_LBE_Objetivos_Metas.xlsx", sheet_name="IDE_Mensal", header=3)</t>
  </si>
  <si>
    <t>Variaveis_Relevantes</t>
  </si>
  <si>
    <t>tbl_variaveis</t>
  </si>
  <si>
    <t>ID_Variavel</t>
  </si>
  <si>
    <t>pd.read_excel("SGE-05_IDE_LBE_Objetivos_Metas.xlsx", sheet_name="Variaveis_Relevantes", header=3)</t>
  </si>
  <si>
    <t>Catalogo_IDE</t>
  </si>
  <si>
    <t>tbl_kpi</t>
  </si>
  <si>
    <t>ID_KPI</t>
  </si>
  <si>
    <t>pd.read_excel("SGE-05_IDE_LBE_Objetivos_Metas.xlsx", sheet_name="Catalogo_IDE", header=3)</t>
  </si>
  <si>
    <t>Registo_LBE</t>
  </si>
  <si>
    <t>tbl_lbe</t>
  </si>
  <si>
    <t>ID_LBE</t>
  </si>
  <si>
    <t>pd.read_excel("SGE-05_IDE_LBE_Objetivos_Metas.xlsx", sheet_name="Registo_LBE", header=3)</t>
  </si>
  <si>
    <t>Alteracoes_LBE</t>
  </si>
  <si>
    <t>tbl_alteracoes_lbe</t>
  </si>
  <si>
    <t>ID_Alteracao_LBE</t>
  </si>
  <si>
    <t>pd.read_excel("SGE-05_IDE_LBE_Objetivos_Metas.xlsx", sheet_name="Alteracoes_LBE", header=3)</t>
  </si>
  <si>
    <t>Fatores_Estaticos</t>
  </si>
  <si>
    <t>tbl_fatores_estaticos</t>
  </si>
  <si>
    <t>ID_Fator</t>
  </si>
  <si>
    <t>pd.read_excel("SGE-05_IDE_LBE_Objetivos_Metas.xlsx", sheet_name="Fatores_Estaticos", header=3)</t>
  </si>
  <si>
    <t>pd.read_excel("SGE-05_IDE_LBE_Objetivos_Metas.xlsx", sheet_name="Parametros", header=3)</t>
  </si>
  <si>
    <t>Objetivos_Energeticos</t>
  </si>
  <si>
    <t>tbl_objetivos</t>
  </si>
  <si>
    <t>ID_OBJ</t>
  </si>
  <si>
    <t>pd.read_excel("SGE-05_IDE_LBE_Objetivos_Metas.xlsx", sheet_name="Objetivos_Energeticos", header=3)</t>
  </si>
  <si>
    <t>Metas_Energeticas</t>
  </si>
  <si>
    <t>tbl_metas_energeticas</t>
  </si>
  <si>
    <t>ID_Meta</t>
  </si>
  <si>
    <t>pd.read_excel("SGE-05_IDE_LBE_Objetivos_Metas.xlsx", sheet_name="Metas_Energeticas", header=3)</t>
  </si>
  <si>
    <t>Planos_Acao</t>
  </si>
  <si>
    <t>tbl_planos_acao</t>
  </si>
  <si>
    <t>ID_Plano</t>
  </si>
  <si>
    <t>pd.read_excel("SGE-05_IDE_LBE_Objetivos_Metas.xlsx", sheet_name="Planos_Acao", header=3)</t>
  </si>
  <si>
    <t>pd.read_excel("SGE-05_IDE_LBE_Objetivos_Metas.xlsx", sheet_name="Dicionario_Dados", header=0)</t>
  </si>
  <si>
    <t>Arvore_Contadores</t>
  </si>
  <si>
    <t>tbl_contadores</t>
  </si>
  <si>
    <t>ID_Contador</t>
  </si>
  <si>
    <t>pd.read_excel("SGE-06_Recolha_Dados_Medicao.xlsx", sheet_name="Arvore_Contadores", header=3)</t>
  </si>
  <si>
    <t>Plano_Recolha_Dados</t>
  </si>
  <si>
    <t>tbl_plano_recolha</t>
  </si>
  <si>
    <t>ID_Dado</t>
  </si>
  <si>
    <t>pd.read_excel("SGE-06_Recolha_Dados_Medicao.xlsx", sheet_name="Plano_Recolha_Dados", header=3)</t>
  </si>
  <si>
    <t>Plano_Monitorizacao</t>
  </si>
  <si>
    <t>tbl_plano_monitorizacao</t>
  </si>
  <si>
    <t>ID_MED</t>
  </si>
  <si>
    <t>pd.read_excel("SGE-06_Recolha_Dados_Medicao.xlsx", sheet_name="Plano_Monitorizacao", header=3)</t>
  </si>
  <si>
    <t>Equipamentos_Medicao</t>
  </si>
  <si>
    <t>ID_Equipamento</t>
  </si>
  <si>
    <t>pd.read_excel("SGE-06_Recolha_Dados_Medicao.xlsx", sheet_name="Equipamentos_Medicao", header=3)</t>
  </si>
  <si>
    <t>Reconciliacao_Mensal</t>
  </si>
  <si>
    <t>tbl_reconciliacao</t>
  </si>
  <si>
    <t>pd.read_excel("SGE-06_Recolha_Dados_Medicao.xlsx", sheet_name="Reconciliacao_Mensal", header=3)</t>
  </si>
  <si>
    <t>pd.read_excel("SGE-06_Recolha_Dados_Medicao.xlsx", sheet_name="Dicionario_Dados", header=0)</t>
  </si>
  <si>
    <t>Competencias</t>
  </si>
  <si>
    <t>tbl_competencias</t>
  </si>
  <si>
    <t>ID_Competencia</t>
  </si>
  <si>
    <t>pd.read_excel("SGE-07_Competencias_Comunicacao.xlsx", sheet_name="Competencias", header=3)</t>
  </si>
  <si>
    <t>Formacoes</t>
  </si>
  <si>
    <t>tbl_formacoes</t>
  </si>
  <si>
    <t>ID_Formacao</t>
  </si>
  <si>
    <t>pd.read_excel("SGE-07_Competencias_Comunicacao.xlsx", sheet_name="Formacoes", header=3)</t>
  </si>
  <si>
    <t>Registo_Formacao</t>
  </si>
  <si>
    <t>tbl_registo_formacao</t>
  </si>
  <si>
    <t>ID_Registo</t>
  </si>
  <si>
    <t>pd.read_excel("SGE-07_Competencias_Comunicacao.xlsx", sheet_name="Registo_Formacao", header=3)</t>
  </si>
  <si>
    <t>Consciencializacao</t>
  </si>
  <si>
    <t>tbl_consciencializacao</t>
  </si>
  <si>
    <t>ID_Sessao</t>
  </si>
  <si>
    <t>pd.read_excel("SGE-07_Competencias_Comunicacao.xlsx", sheet_name="Consciencializacao", header=3)</t>
  </si>
  <si>
    <t>Comunicacao</t>
  </si>
  <si>
    <t>tbl_comunicacao</t>
  </si>
  <si>
    <t>ID_Comunicacao</t>
  </si>
  <si>
    <t>pd.read_excel("SGE-07_Competencias_Comunicacao.xlsx", sheet_name="Comunicacao", header=3)</t>
  </si>
  <si>
    <t>Sugestoes</t>
  </si>
  <si>
    <t>tbl_sugestoes</t>
  </si>
  <si>
    <t>ID_Sugestao</t>
  </si>
  <si>
    <t>pd.read_excel("SGE-07_Competencias_Comunicacao.xlsx", sheet_name="Sugestoes", header=3)</t>
  </si>
  <si>
    <t>pd.read_excel("SGE-07_Competencias_Comunicacao.xlsx", sheet_name="Dicionario_Dados", header=0)</t>
  </si>
  <si>
    <t>Criterios_Operacionais</t>
  </si>
  <si>
    <t>tbl_criterios_operacionais</t>
  </si>
  <si>
    <t>ID_Criterio</t>
  </si>
  <si>
    <t>pd.read_excel("SGE-08_Controlo_Operacional_USE.xlsx", sheet_name="Criterios_Operacionais", header=3)</t>
  </si>
  <si>
    <t>Rondas_Energia</t>
  </si>
  <si>
    <t>tbl_rondas_energia</t>
  </si>
  <si>
    <t>ID_Ronda</t>
  </si>
  <si>
    <t>pd.read_excel("SGE-08_Controlo_Operacional_USE.xlsx", sheet_name="Rondas_Energia", header=3)</t>
  </si>
  <si>
    <t>pd.read_excel("SGE-08_Controlo_Operacional_USE.xlsx", sheet_name="Dicionario_Dados", header=0)</t>
  </si>
  <si>
    <t>pd.read_excel("SGE-09_Projeto_Aquisicoes_Compra_Energia.xlsx", sheet_name="Parametros", header=3)</t>
  </si>
  <si>
    <t>Projetos</t>
  </si>
  <si>
    <t>tbl_projetos</t>
  </si>
  <si>
    <t>ID_Projeto</t>
  </si>
  <si>
    <t>pd.read_excel("SGE-09_Projeto_Aquisicoes_Compra_Energia.xlsx", sheet_name="Projetos", header=3)</t>
  </si>
  <si>
    <t>Criterios_Aquisicao</t>
  </si>
  <si>
    <t>tbl_criterios_aquisicao</t>
  </si>
  <si>
    <t>pd.read_excel("SGE-09_Projeto_Aquisicoes_Compra_Energia.xlsx", sheet_name="Criterios_Aquisicao", header=3)</t>
  </si>
  <si>
    <t>Aquisicoes_2026</t>
  </si>
  <si>
    <t>tbl_aquisicoes</t>
  </si>
  <si>
    <t>ID_Aquisicao</t>
  </si>
  <si>
    <t>pd.read_excel("SGE-09_Projeto_Aquisicoes_Compra_Energia.xlsx", sheet_name="Aquisicoes_2026", header=3)</t>
  </si>
  <si>
    <t>LCC</t>
  </si>
  <si>
    <t>tbl_lcc</t>
  </si>
  <si>
    <t>ID_LCC</t>
  </si>
  <si>
    <t>pd.read_excel("SGE-09_Projeto_Aquisicoes_Compra_Energia.xlsx", sheet_name="LCC", header=3)</t>
  </si>
  <si>
    <t>Compra_Energia</t>
  </si>
  <si>
    <t>tbl_compra_energia</t>
  </si>
  <si>
    <t>pd.read_excel("SGE-09_Projeto_Aquisicoes_Compra_Energia.xlsx", sheet_name="Compra_Energia", header=3)</t>
  </si>
  <si>
    <t>Precos</t>
  </si>
  <si>
    <t>tbl_precos</t>
  </si>
  <si>
    <t>Ano</t>
  </si>
  <si>
    <t>pd.read_excel("SGE-09_Projeto_Aquisicoes_Compra_Energia.xlsx", sheet_name="Precos", header=3)</t>
  </si>
  <si>
    <t>Faturas</t>
  </si>
  <si>
    <t>tbl_faturas</t>
  </si>
  <si>
    <t>ID_Fatura</t>
  </si>
  <si>
    <t>pd.read_excel("SGE-09_Projeto_Aquisicoes_Compra_Energia.xlsx", sheet_name="Faturas", header=3)</t>
  </si>
  <si>
    <t>pd.read_excel("SGE-09_Projeto_Aquisicoes_Compra_Energia.xlsx", sheet_name="Dicionario_Dados", header=0)</t>
  </si>
  <si>
    <t>Requisitos_Legais</t>
  </si>
  <si>
    <t>tbl_legal</t>
  </si>
  <si>
    <t>ID_Legal</t>
  </si>
  <si>
    <t>pd.read_excel("SGE-10_Conformidade_Legal_SGCIE.xlsx", sheet_name="Requisitos_Legais", header=3)</t>
  </si>
  <si>
    <t>Obrigacoes</t>
  </si>
  <si>
    <t>tbl_obrigacoes</t>
  </si>
  <si>
    <t>ID_Obrigacao</t>
  </si>
  <si>
    <t>pd.read_excel("SGE-10_Conformidade_Legal_SGCIE.xlsx", sheet_name="Obrigacoes", header=3)</t>
  </si>
  <si>
    <t>Trajetoria_SGCIE</t>
  </si>
  <si>
    <t>pd.read_excel("SGE-10_Conformidade_Legal_SGCIE.xlsx", sheet_name="Trajetoria_SGCIE", header=3)</t>
  </si>
  <si>
    <t>pd.read_excel("SGE-10_Conformidade_Legal_SGCIE.xlsx", sheet_name="Dicionario_Dados", header=0)</t>
  </si>
  <si>
    <t>Desvios_Significativos</t>
  </si>
  <si>
    <t>tbl_desvios</t>
  </si>
  <si>
    <t>ID_Desvio</t>
  </si>
  <si>
    <t>pd.read_excel("SGE-11_Desvios_MV_Poupancas.xlsx", sheet_name="Desvios_Significativos", header=3)</t>
  </si>
  <si>
    <t>Planos_MV</t>
  </si>
  <si>
    <t>tbl_mv_planos</t>
  </si>
  <si>
    <t>ID_MV</t>
  </si>
  <si>
    <t>pd.read_excel("SGE-11_Desvios_MV_Poupancas.xlsx", sheet_name="Planos_MV", header=3)</t>
  </si>
  <si>
    <t>Ar_Comprimido_MV</t>
  </si>
  <si>
    <t>tbl_ar_mv</t>
  </si>
  <si>
    <t>Fase</t>
  </si>
  <si>
    <t>pd.read_excel("SGE-11_Desvios_MV_Poupancas.xlsx", sheet_name="Ar_Comprimido_MV", header=3)</t>
  </si>
  <si>
    <t>Poupancas_Verificadas</t>
  </si>
  <si>
    <t>tbl_poupancas</t>
  </si>
  <si>
    <t>ID_Poupanca</t>
  </si>
  <si>
    <t>pd.read_excel("SGE-11_Desvios_MV_Poupancas.xlsx", sheet_name="Poupancas_Verificadas", header=3)</t>
  </si>
  <si>
    <t>pd.read_excel("SGE-11_Desvios_MV_Poupancas.xlsx", sheet_name="Dicionario_Dados", header=0)</t>
  </si>
  <si>
    <t>Auditores</t>
  </si>
  <si>
    <t>tbl_auditores</t>
  </si>
  <si>
    <t>ID_Auditor</t>
  </si>
  <si>
    <t>pd.read_excel("SGE-12_Auditoria_Interna.xlsx", sheet_name="Auditores", header=3)</t>
  </si>
  <si>
    <t>Programa_Auditorias</t>
  </si>
  <si>
    <t>tbl_programa_auditorias</t>
  </si>
  <si>
    <t>ID_Auditoria</t>
  </si>
  <si>
    <t>pd.read_excel("SGE-12_Auditoria_Interna.xlsx", sheet_name="Programa_Auditorias", header=3)</t>
  </si>
  <si>
    <t>Checklist</t>
  </si>
  <si>
    <t>tbl_checklist_aud</t>
  </si>
  <si>
    <t>ID_Pergunta</t>
  </si>
  <si>
    <t>pd.read_excel("SGE-12_Auditoria_Interna.xlsx", sheet_name="Checklist", header=3)</t>
  </si>
  <si>
    <t>Constatacoes</t>
  </si>
  <si>
    <t>tbl_constatacoes</t>
  </si>
  <si>
    <t>ID_Constatacao</t>
  </si>
  <si>
    <t>pd.read_excel("SGE-12_Auditoria_Interna.xlsx", sheet_name="Constatacoes", header=3)</t>
  </si>
  <si>
    <t>pd.read_excel("SGE-12_Auditoria_Interna.xlsx", sheet_name="Dicionario_Dados", header=0)</t>
  </si>
  <si>
    <t>Agenda</t>
  </si>
  <si>
    <t>tbl_agenda</t>
  </si>
  <si>
    <t>ID_Reuniao</t>
  </si>
  <si>
    <t>pd.read_excel("SGE-13_Revisao_pela_Gestao.xlsx", sheet_name="Agenda", header=3)</t>
  </si>
  <si>
    <t>Decisoes</t>
  </si>
  <si>
    <t>tbl_decisoes</t>
  </si>
  <si>
    <t>ID_Decisao</t>
  </si>
  <si>
    <t>pd.read_excel("SGE-13_Revisao_pela_Gestao.xlsx", sheet_name="Decisoes", header=3)</t>
  </si>
  <si>
    <t>Acoes_Anteriores</t>
  </si>
  <si>
    <t>tbl_acoes_anteriores</t>
  </si>
  <si>
    <t>pd.read_excel("SGE-13_Revisao_pela_Gestao.xlsx", sheet_name="Acoes_Anteriores", header=0)</t>
  </si>
  <si>
    <t>pd.read_excel("SGE-13_Revisao_pela_Gestao.xlsx", sheet_name="Dicionario_Dados", header=0)</t>
  </si>
  <si>
    <t>Nao_Conformidades</t>
  </si>
  <si>
    <t>tbl_nc</t>
  </si>
  <si>
    <t>ID_NC</t>
  </si>
  <si>
    <t>pd.read_excel("SGE-14_NC_Acao_Corretiva_Melhoria.xlsx", sheet_name="Nao_Conformidades", header=3)</t>
  </si>
  <si>
    <t>Cinco_Porques</t>
  </si>
  <si>
    <t>tbl_5porques</t>
  </si>
  <si>
    <t>pd.read_excel("SGE-14_NC_Acao_Corretiva_Melhoria.xlsx", sheet_name="Cinco_Porques", header=3)</t>
  </si>
  <si>
    <t>Melhoria_Continua</t>
  </si>
  <si>
    <t>tbl_melhoria</t>
  </si>
  <si>
    <t>ID_Melhoria</t>
  </si>
  <si>
    <t>pd.read_excel("SGE-14_NC_Acao_Corretiva_Melhoria.xlsx", sheet_name="Melhoria_Continua", header=3)</t>
  </si>
  <si>
    <t>pd.read_excel("SGE-14_NC_Acao_Corretiva_Melhoria.xlsx", sheet_name="Dicionario_Dados", header=0)</t>
  </si>
  <si>
    <t>Tabela_Origem</t>
  </si>
  <si>
    <t>Coluna</t>
  </si>
  <si>
    <t>Tabela_Destino</t>
  </si>
  <si>
    <t>N_Referencias</t>
  </si>
  <si>
    <t>N_Invalidas</t>
  </si>
  <si>
    <t>IDs_Invalidos</t>
  </si>
  <si>
    <t>Resultado</t>
  </si>
  <si>
    <t>ID_Contexto_SGI</t>
  </si>
  <si>
    <t>SGA · tbl_pestel / SGA · tbl_swot / SGA · tbl_tows</t>
  </si>
  <si>
    <t>OK</t>
  </si>
  <si>
    <t>ID_RO</t>
  </si>
  <si>
    <t>tbl_riscos_e / tbl_oport_e</t>
  </si>
  <si>
    <t>ID_PI_SGI</t>
  </si>
  <si>
    <t>SGA · tbl_partes_interessadas</t>
  </si>
  <si>
    <t>IDs_Legal</t>
  </si>
  <si>
    <t>tbl_legal / SGA · tbl_legal</t>
  </si>
  <si>
    <t>SGA · tbRiscos</t>
  </si>
  <si>
    <t>SGA · tbOportunidades</t>
  </si>
  <si>
    <t>Aspeto_SGA</t>
  </si>
  <si>
    <t>SGA · tbl_aspetos</t>
  </si>
  <si>
    <t>IDE</t>
  </si>
  <si>
    <t>Acoes_PAM</t>
  </si>
  <si>
    <t>Origem_IDs</t>
  </si>
  <si>
    <t>tbl_use / tbl_oportunidades / tbl_riscos_e / SGA · tbl_pestel / SGA · tbOportunidades / SGA · tbRiscos / SGA · tbl_alteracoes / SGA · tbl_kaizen / tbl_alteracoes_lbe</t>
  </si>
  <si>
    <t>ID_PAM_SGA</t>
  </si>
  <si>
    <t>SGA · tbl_pam</t>
  </si>
  <si>
    <t>Equipamentos</t>
  </si>
  <si>
    <t>SGA · tbl_equipamentos</t>
  </si>
  <si>
    <t>Formacao_Obrigatoria</t>
  </si>
  <si>
    <t>ID_Alteracao_SGI</t>
  </si>
  <si>
    <t>SGA · tbl_alteracoes</t>
  </si>
  <si>
    <t>SGA · tbl_legal</t>
  </si>
  <si>
    <t>SGA · tbl_obrigacoes</t>
  </si>
  <si>
    <t>ID_Origem</t>
  </si>
  <si>
    <t>tbl_constatacoes / tbl_desvios</t>
  </si>
  <si>
    <t>Uso</t>
  </si>
  <si>
    <t>Tipo_Energia</t>
  </si>
  <si>
    <t>Processo_SGA</t>
  </si>
  <si>
    <t>Variavel_Candidata</t>
  </si>
  <si>
    <t>SOP</t>
  </si>
  <si>
    <t>Sopro de frascos (ISBM): aquecimento de pré-formas, sopro, hidráulica</t>
  </si>
  <si>
    <t>Eletricidade</t>
  </si>
  <si>
    <t>ISBM-001 a ISBM-010</t>
  </si>
  <si>
    <t>Horas de marcha; unidades produzidas</t>
  </si>
  <si>
    <t>INJ</t>
  </si>
  <si>
    <t>Injeção de tampas e potes: aquecimento do canhão, hidráulica/servo, extração</t>
  </si>
  <si>
    <t>IM-001 a IM-009</t>
  </si>
  <si>
    <t>UTL-AR</t>
  </si>
  <si>
    <t>Ar comprimido (compressores CMP-01/02 de velocidade variável desde 02/2026, secadores)</t>
  </si>
  <si>
    <t>UTL</t>
  </si>
  <si>
    <t>CMP-01, CMP-02</t>
  </si>
  <si>
    <t>Procura de ar das máquinas; fugas</t>
  </si>
  <si>
    <t>UTL-FRIO</t>
  </si>
  <si>
    <t>Arrefecimento de moldes e óleo (chiller CH-01, torre TR-01, bombas)</t>
  </si>
  <si>
    <t>CH-01, TR-01, bombas de circulação</t>
  </si>
  <si>
    <t>Carga térmica dos moldes; temperatura exterior</t>
  </si>
  <si>
    <t>GER</t>
  </si>
  <si>
    <t>Serviços gerais: iluminação, AVAC, escritórios, armazéns, laboratório</t>
  </si>
  <si>
    <t>QGBT serviços</t>
  </si>
  <si>
    <t>Temperatura exterior; dias úteis</t>
  </si>
  <si>
    <t>SER</t>
  </si>
  <si>
    <t>Serigrafia (decoração) com cura UV/IR</t>
  </si>
  <si>
    <t>SS-001, SS-002</t>
  </si>
  <si>
    <t>Horas de marcha</t>
  </si>
  <si>
    <t>HFS</t>
  </si>
  <si>
    <t>Hot foil stamping (decoração)</t>
  </si>
  <si>
    <t>HF-001, HF-002</t>
  </si>
  <si>
    <t>FRO</t>
  </si>
  <si>
    <t>Frota: 2 viaturas de serviço e 1 carrinha</t>
  </si>
  <si>
    <t>Gasóleo rodoviário</t>
  </si>
  <si>
    <t>Viaturas VS-01, VS-02, CR-01</t>
  </si>
  <si>
    <t>km percorridos</t>
  </si>
  <si>
    <t>GER-EMG</t>
  </si>
  <si>
    <t>Gerador de emergência GE-01 (testes mensais)</t>
  </si>
  <si>
    <t>Gasóleo</t>
  </si>
  <si>
    <t>GE-01</t>
  </si>
  <si>
    <t>Horas de teste</t>
  </si>
  <si>
    <t>ID_Funcao</t>
  </si>
  <si>
    <t>Funcao</t>
  </si>
  <si>
    <t>Area</t>
  </si>
  <si>
    <t>FE-01</t>
  </si>
  <si>
    <t>GES</t>
  </si>
  <si>
    <t>FE-02</t>
  </si>
  <si>
    <t>FE-03</t>
  </si>
  <si>
    <t>FE-04</t>
  </si>
  <si>
    <t>Gerente de Manutenção</t>
  </si>
  <si>
    <t>MAN</t>
  </si>
  <si>
    <t>FE-05</t>
  </si>
  <si>
    <t>Gerente de Produção</t>
  </si>
  <si>
    <t>PCP</t>
  </si>
  <si>
    <t>FE-06</t>
  </si>
  <si>
    <t>Técnico de Utilidades</t>
  </si>
  <si>
    <t>FE-07</t>
  </si>
  <si>
    <t>Gestor do SGA / EHS (Responsável Ambiental)</t>
  </si>
  <si>
    <t>FE-08</t>
  </si>
  <si>
    <t>Gerente da Qualidade</t>
  </si>
  <si>
    <t>QUA</t>
  </si>
  <si>
    <t>FE-09</t>
  </si>
  <si>
    <t>Diretor Financeiro</t>
  </si>
  <si>
    <t>FE-10</t>
  </si>
  <si>
    <t>Responsável de Compras</t>
  </si>
  <si>
    <t>CMP</t>
  </si>
  <si>
    <t>FE-11</t>
  </si>
  <si>
    <t>Responsável de R&amp;D</t>
  </si>
  <si>
    <t>RD</t>
  </si>
  <si>
    <t>FE-12</t>
  </si>
  <si>
    <t>RH</t>
  </si>
  <si>
    <t>FE-13</t>
  </si>
  <si>
    <t>Gerente de Dados / TI</t>
  </si>
  <si>
    <t>TI</t>
  </si>
  <si>
    <t>FE-14</t>
  </si>
  <si>
    <t>Engenheiro(a) de Processo</t>
  </si>
  <si>
    <t>FE-15</t>
  </si>
  <si>
    <t>Chefe de Turno</t>
  </si>
  <si>
    <t>FE-16</t>
  </si>
  <si>
    <t>Operador de Injeção</t>
  </si>
  <si>
    <t>FE-17</t>
  </si>
  <si>
    <t>Operador de Sopro (ISBM)</t>
  </si>
  <si>
    <t>FE-18</t>
  </si>
  <si>
    <t>Operador de Serigrafia</t>
  </si>
  <si>
    <t>FE-19</t>
  </si>
  <si>
    <t>Operador de Hot Foil</t>
  </si>
  <si>
    <t>FE-20</t>
  </si>
  <si>
    <t>Técnico de Manutenção</t>
  </si>
  <si>
    <t>FE-21</t>
  </si>
  <si>
    <t>FE-22</t>
  </si>
  <si>
    <t>Responsável de Armazém e Logística</t>
  </si>
  <si>
    <t>EXP</t>
  </si>
  <si>
    <t>Compreender a organização e o seu contexto</t>
  </si>
  <si>
    <t>Sim</t>
  </si>
  <si>
    <t>Compreender as necessidades e expectativas das partes interessadas</t>
  </si>
  <si>
    <t>Determinar o âmbito do SGE</t>
  </si>
  <si>
    <t>Manter (âmbito e fronteiras)</t>
  </si>
  <si>
    <t>Não</t>
  </si>
  <si>
    <t>Sistema de gestão da energia</t>
  </si>
  <si>
    <t>5.1</t>
  </si>
  <si>
    <t>Liderança e compromisso</t>
  </si>
  <si>
    <t>Funções, responsabilidades e autoridades (equipa de gestão de energia)</t>
  </si>
  <si>
    <t>Ações para tratar riscos e oportunidades</t>
  </si>
  <si>
    <t>Objetivos, metas energéticas e planeamento para os atingir</t>
  </si>
  <si>
    <t>Reter (objetivos, metas e planos de ação)</t>
  </si>
  <si>
    <t>Revisão energética</t>
  </si>
  <si>
    <t>Manter (métodos e critérios); Reter (resultados)</t>
  </si>
  <si>
    <t>Indicadores de desempenho energético (IDE)</t>
  </si>
  <si>
    <t>Manter (metodologia); Reter (valores dos IDE)</t>
  </si>
  <si>
    <t>Linha de base energética (LBE)</t>
  </si>
  <si>
    <t>Reter (LBE, variáveis relevantes, alterações)</t>
  </si>
  <si>
    <t>Planeamento da recolha de dados energéticos</t>
  </si>
  <si>
    <t>Reter (dados recolhidos; exatidão e repetibilidade)</t>
  </si>
  <si>
    <t>Competência</t>
  </si>
  <si>
    <t>Reter (evidência de competência)</t>
  </si>
  <si>
    <t>Consciencialização</t>
  </si>
  <si>
    <t>Comunicação (incl. sugestões de melhoria)</t>
  </si>
  <si>
    <t>Considerar reter (sugestões)</t>
  </si>
  <si>
    <t>Informação documentada</t>
  </si>
  <si>
    <t>Planeamento e controlo operacional</t>
  </si>
  <si>
    <t>Projeto (design)</t>
  </si>
  <si>
    <t>Reter (atividades de projeto)</t>
  </si>
  <si>
    <t>Aquisição (compras)</t>
  </si>
  <si>
    <t>Monitorização, medição, análise e avaliação — generalidades</t>
  </si>
  <si>
    <t>Reter (resultados; investigação de desvios significativos)</t>
  </si>
  <si>
    <t>Avaliação da conformidade com requisitos legais e outros requisitos</t>
  </si>
  <si>
    <t>Reter (resultados e ações)</t>
  </si>
  <si>
    <t>Auditoria interna</t>
  </si>
  <si>
    <t>Reter (programa e resultados)</t>
  </si>
  <si>
    <t>Revisão pela gestão</t>
  </si>
  <si>
    <t>Reter (resultados)</t>
  </si>
  <si>
    <t>Não conformidade e ação corretiva</t>
  </si>
  <si>
    <t>Reter (natureza, ações, resultados)</t>
  </si>
  <si>
    <t>Melhoria contínua</t>
  </si>
  <si>
    <t>Processo</t>
  </si>
  <si>
    <t>Ano_Instalacao</t>
  </si>
  <si>
    <t>Tecnologia</t>
  </si>
  <si>
    <t>ISBM-001</t>
  </si>
  <si>
    <t>ISBM elétrica com recuperação de ar</t>
  </si>
  <si>
    <t>ISBM-002</t>
  </si>
  <si>
    <t>ISBM hidráulica</t>
  </si>
  <si>
    <t>ISBM-003</t>
  </si>
  <si>
    <t>ISBM-004</t>
  </si>
  <si>
    <t>ISBM-005</t>
  </si>
  <si>
    <t>ISBM-006</t>
  </si>
  <si>
    <t>ISBM-007</t>
  </si>
  <si>
    <t>ISBM híbrida (servo)</t>
  </si>
  <si>
    <t>ISBM-008</t>
  </si>
  <si>
    <t>ISBM-009</t>
  </si>
  <si>
    <t>ISBM-010</t>
  </si>
  <si>
    <t>IM-001</t>
  </si>
  <si>
    <t>Injetora totalmente elétrica</t>
  </si>
  <si>
    <t>IM-002</t>
  </si>
  <si>
    <t>Injetora hidráulica de bomba fixa</t>
  </si>
  <si>
    <t>IM-003</t>
  </si>
  <si>
    <t>Injetora servo-hidráulica</t>
  </si>
  <si>
    <t>IM-004</t>
  </si>
  <si>
    <t>IM-005</t>
  </si>
  <si>
    <t>IM-006</t>
  </si>
  <si>
    <t>IM-007</t>
  </si>
  <si>
    <t>IM-008</t>
  </si>
  <si>
    <t>IM-009</t>
  </si>
  <si>
    <t>Injetora totalmente elétrica (linha dedicada a contacto alimentar)</t>
  </si>
  <si>
    <t>SS-001</t>
  </si>
  <si>
    <t>Serigrafia com cura UV</t>
  </si>
  <si>
    <t>SS-002</t>
  </si>
  <si>
    <t>HF-001</t>
  </si>
  <si>
    <t>Hot foil</t>
  </si>
  <si>
    <t>HF-002</t>
  </si>
  <si>
    <t>AUTOAVALIAÇÃO DE MATURIDADE DO SGE (ISO 50005 / ISO/TS 50011)</t>
  </si>
  <si>
    <t>Nível 3 = implementado e eficaz na maioria dos requisitos · Autoavaliação da equipa de gestão de energia em 31/12/2026</t>
  </si>
  <si>
    <t>Nivel_1a4</t>
  </si>
  <si>
    <t>Proximo_Passo</t>
  </si>
  <si>
    <t>MAT-01</t>
  </si>
  <si>
    <t>Contexto, âmbito e fronteiras (4)</t>
  </si>
  <si>
    <t>Documentado e ligado ao contexto do SGI; clima considerado.</t>
  </si>
  <si>
    <t>Rever com a transposição da Diretiva 2023/1791.</t>
  </si>
  <si>
    <t>MAT-02</t>
  </si>
  <si>
    <t>Liderança e equipa (5)</t>
  </si>
  <si>
    <t>Equipa nomeada, política aprovada, revisão pela gestão realizada.</t>
  </si>
  <si>
    <t>Integrar energia nos investimentos (RD-E-26-D05).</t>
  </si>
  <si>
    <t>MAT-03</t>
  </si>
  <si>
    <t>Revisão energética e USE (6.3)</t>
  </si>
  <si>
    <t>USE e oportunidades quantificados; consumos por uso ainda estimados.</t>
  </si>
  <si>
    <t>Refazer com 12 meses de submedição (2027).</t>
  </si>
  <si>
    <t>MAT-04</t>
  </si>
  <si>
    <t>IDE e LBE (6.4, 6.5)</t>
  </si>
  <si>
    <t>Modelo estatístico com testes e domínio; melhoria demonstrada no 4.º trimestre.</t>
  </si>
  <si>
    <t>LBE por USE medidas; LBE-01b.</t>
  </si>
  <si>
    <t>MAT-05</t>
  </si>
  <si>
    <t>Recolha de dados e medição (6.6, 9.1)</t>
  </si>
  <si>
    <t>Árvore de contadores com 95% medido desde 15/12/2026.</t>
  </si>
  <si>
    <t>Dados de 15 min no BI e alarmes.</t>
  </si>
  <si>
    <t>MAT-06</t>
  </si>
  <si>
    <t>Controlo operacional (8.1)</t>
  </si>
  <si>
    <t>16 critérios e rondas semanais com tendência positiva.</t>
  </si>
  <si>
    <t>Automatizar alarmes de desvio por USE.</t>
  </si>
  <si>
    <t>MAT-07</t>
  </si>
  <si>
    <t>Projeto e aquisições (8.2, 8.3)</t>
  </si>
  <si>
    <t>Critérios e LCC definidos, mas NC em projeto e serviços em 2026.</t>
  </si>
  <si>
    <t>Aplicar a checklist de energia a 100% das alterações.</t>
  </si>
  <si>
    <t>MAT-08</t>
  </si>
  <si>
    <t>Competência e comunicação (7)</t>
  </si>
  <si>
    <t>Formação com eficácia e sugestões com prazo.</t>
  </si>
  <si>
    <t>Substituto do Gestor de Energia (RE-05).</t>
  </si>
  <si>
    <t>MAT-09</t>
  </si>
  <si>
    <t>Avaliação, auditoria e melhoria (9, 10)</t>
  </si>
  <si>
    <t>Auditoria, revisão e NC com ciclo completo; M&amp;V coerente.</t>
  </si>
  <si>
    <t>Demonstrar melhoria anual em 2027.</t>
  </si>
  <si>
    <t>HARMONIZAÇÃO SGE ↔ SGA / SGQ — RESUMO POR TABELA</t>
  </si>
  <si>
    <t>Padrão do SGI = SGA (e SGQ nos temas que o SGA não tem) · Consolidar juntando tabelas homónimas e renomeando as 'Equivalentes'</t>
  </si>
  <si>
    <t>ID_Par</t>
  </si>
  <si>
    <t>Registo_SGE</t>
  </si>
  <si>
    <t>Tabela_SGE</t>
  </si>
  <si>
    <t>Registo_Padrao</t>
  </si>
  <si>
    <t>Tabela_Padrao</t>
  </si>
  <si>
    <t>Mesmo_Nome_Tabela</t>
  </si>
  <si>
    <t>N_Colunas_SGE</t>
  </si>
  <si>
    <t>N_Colunas_Padrao</t>
  </si>
  <si>
    <t>N_Iguais</t>
  </si>
  <si>
    <t>N_Equivalentes</t>
  </si>
  <si>
    <t>Pct_Comum_Padrao</t>
  </si>
  <si>
    <t>HE-01</t>
  </si>
  <si>
    <t>Partes interessadas</t>
  </si>
  <si>
    <t>HE-02</t>
  </si>
  <si>
    <t>Política</t>
  </si>
  <si>
    <t>RG-SGA-05</t>
  </si>
  <si>
    <t>HE-03</t>
  </si>
  <si>
    <t>RG-SGA-08</t>
  </si>
  <si>
    <t>HE-04</t>
  </si>
  <si>
    <t>Catálogo de indicadores</t>
  </si>
  <si>
    <t>HE-05</t>
  </si>
  <si>
    <t>Objetivos</t>
  </si>
  <si>
    <t>HE-06</t>
  </si>
  <si>
    <t>Parâmetros</t>
  </si>
  <si>
    <t>HE-07</t>
  </si>
  <si>
    <t>Plano de monitorização</t>
  </si>
  <si>
    <t>HE-08</t>
  </si>
  <si>
    <t>Equipamentos de medição</t>
  </si>
  <si>
    <t>HE-09</t>
  </si>
  <si>
    <t>Competências</t>
  </si>
  <si>
    <t>HE-10</t>
  </si>
  <si>
    <t>Registo de formação</t>
  </si>
  <si>
    <t>HE-11</t>
  </si>
  <si>
    <t>Comunicação</t>
  </si>
  <si>
    <t>RG-SGA-09</t>
  </si>
  <si>
    <t>HE-12</t>
  </si>
  <si>
    <t>Requisitos legais</t>
  </si>
  <si>
    <t>HE-13</t>
  </si>
  <si>
    <t>Obrigações</t>
  </si>
  <si>
    <t>HE-14</t>
  </si>
  <si>
    <t>Programa de auditorias</t>
  </si>
  <si>
    <t>RG-SGA-14</t>
  </si>
  <si>
    <t>HE-15</t>
  </si>
  <si>
    <t>Constatações</t>
  </si>
  <si>
    <t>HE-16</t>
  </si>
  <si>
    <t>Agenda da revisão</t>
  </si>
  <si>
    <t>RG-SGA-15</t>
  </si>
  <si>
    <t>HE-17</t>
  </si>
  <si>
    <t>Decisões da revisão</t>
  </si>
  <si>
    <t>HE-18</t>
  </si>
  <si>
    <t>Não conformidades</t>
  </si>
  <si>
    <t>RG-SGA-07</t>
  </si>
  <si>
    <t>HE-19</t>
  </si>
  <si>
    <t>5 Porquês</t>
  </si>
  <si>
    <t>HE-20</t>
  </si>
  <si>
    <t>Matriz de requisitos</t>
  </si>
  <si>
    <t>tbl_matriz_iso</t>
  </si>
  <si>
    <t>RG-SGA-00</t>
  </si>
  <si>
    <t>HE-21</t>
  </si>
  <si>
    <t>Fonte única</t>
  </si>
  <si>
    <t>tbl_fonte_unica</t>
  </si>
  <si>
    <t>HE-22</t>
  </si>
  <si>
    <t>RG-SGQ-01</t>
  </si>
  <si>
    <t>HE-23</t>
  </si>
  <si>
    <t>Âmbito</t>
  </si>
  <si>
    <t>HE-24</t>
  </si>
  <si>
    <t>RG-SGQ-03</t>
  </si>
  <si>
    <t>HE-25</t>
  </si>
  <si>
    <t>RG-SGQ-07</t>
  </si>
  <si>
    <t>HE-26</t>
  </si>
  <si>
    <t>Sugestões</t>
  </si>
  <si>
    <t>RG-SGQ-19</t>
  </si>
  <si>
    <t>HE-27</t>
  </si>
  <si>
    <t>RG-SGQ-16</t>
  </si>
  <si>
    <t>HE-28</t>
  </si>
  <si>
    <t>Checklist de auditoria</t>
  </si>
  <si>
    <t>HE-29</t>
  </si>
  <si>
    <t>Ações anteriores da revisão</t>
  </si>
  <si>
    <t>RG-SGQ-17</t>
  </si>
  <si>
    <t>MATRIZ DE HARMONIZAÇÃO — COLUNA A COLUNA</t>
  </si>
  <si>
    <t>Coluna_SGE</t>
  </si>
  <si>
    <t>Posicao_SGE</t>
  </si>
  <si>
    <t>Sistema_Padrao</t>
  </si>
  <si>
    <t>Coluna_Padrao</t>
  </si>
  <si>
    <t>Posicao_Padrao</t>
  </si>
  <si>
    <t>Correspondencia</t>
  </si>
  <si>
    <t>Nome_Consolidado</t>
  </si>
  <si>
    <t>SGA</t>
  </si>
  <si>
    <t>Igual</t>
  </si>
  <si>
    <t>Parte_Interessada</t>
  </si>
  <si>
    <t>Categoria</t>
  </si>
  <si>
    <t>Necessidades_Expectativas</t>
  </si>
  <si>
    <t>Condicao_Ambiental</t>
  </si>
  <si>
    <t>Relevante</t>
  </si>
  <si>
    <t>Tratado_pelo_SGE</t>
  </si>
  <si>
    <t>Torna_se_Obrigacao</t>
  </si>
  <si>
    <t>Equivalente (renomear na consolidação)</t>
  </si>
  <si>
    <t>Tipo_Obrigacao</t>
  </si>
  <si>
    <t>Como_Monitorizar</t>
  </si>
  <si>
    <t>Influencia</t>
  </si>
  <si>
    <t>Interesse</t>
  </si>
  <si>
    <t>Estrategia</t>
  </si>
  <si>
    <t>Dono</t>
  </si>
  <si>
    <t>Só SGE</t>
  </si>
  <si>
    <t>Fonte_Requisito</t>
  </si>
  <si>
    <t>Registo_Evidencia</t>
  </si>
  <si>
    <t>Data_Revisao</t>
  </si>
  <si>
    <t>Só SGA</t>
  </si>
  <si>
    <t>IDs_Risco_SGI</t>
  </si>
  <si>
    <t>Percepcao_Risco</t>
  </si>
  <si>
    <t>Alineas_5_2</t>
  </si>
  <si>
    <t>Compromisso</t>
  </si>
  <si>
    <t>N_Objetivos</t>
  </si>
  <si>
    <t>Processo_SGE</t>
  </si>
  <si>
    <t>Diretor_Geral</t>
  </si>
  <si>
    <t>Diretor_Industrial</t>
  </si>
  <si>
    <t>Gestor_Energia</t>
  </si>
  <si>
    <t>Gerente_Manutencao</t>
  </si>
  <si>
    <t>Gerente_Producao</t>
  </si>
  <si>
    <t>Tecnico_Utilidades</t>
  </si>
  <si>
    <t>Gestor_SGA</t>
  </si>
  <si>
    <t>Diretor_Financeiro</t>
  </si>
  <si>
    <t>Resp_Compras</t>
  </si>
  <si>
    <t>Resp_RD</t>
  </si>
  <si>
    <t>Resp_RH</t>
  </si>
  <si>
    <t>Gerente_Dados_TI</t>
  </si>
  <si>
    <t>Chefes_Turno</t>
  </si>
  <si>
    <t>Operadores</t>
  </si>
  <si>
    <t>N_Aprovadores</t>
  </si>
  <si>
    <t>Controlo_RACI</t>
  </si>
  <si>
    <t>Gerente_Qualidade</t>
  </si>
  <si>
    <t>Resp_Armazem_Logistica</t>
  </si>
  <si>
    <t>Nome</t>
  </si>
  <si>
    <t>Formula_Calculo</t>
  </si>
  <si>
    <t>Unidade</t>
  </si>
  <si>
    <t>Polaridade</t>
  </si>
  <si>
    <t>Tipo_IDE_ISO50006</t>
  </si>
  <si>
    <t>Tipo_ISO14031</t>
  </si>
  <si>
    <t>Fonte_Dados</t>
  </si>
  <si>
    <t>Baseline</t>
  </si>
  <si>
    <t>Fronteira</t>
  </si>
  <si>
    <t>Normalizacao</t>
  </si>
  <si>
    <t>Utilizadores</t>
  </si>
  <si>
    <t>Coluna_Mensal</t>
  </si>
  <si>
    <t>Meta</t>
  </si>
  <si>
    <t>Valor_LBE_Externo</t>
  </si>
  <si>
    <t>Valor_Reporte_Externo</t>
  </si>
  <si>
    <t>Valor_Reporte</t>
  </si>
  <si>
    <t>Variacao_vs_LBE</t>
  </si>
  <si>
    <t>Ligacao_SGI</t>
  </si>
  <si>
    <t>Qualidade_Dados</t>
  </si>
  <si>
    <t>Origem_Tipo</t>
  </si>
  <si>
    <t>Origem_Descricao</t>
  </si>
  <si>
    <t>Declaracao_Objetivo</t>
  </si>
  <si>
    <t>Indicador_KPI</t>
  </si>
  <si>
    <t>Meta_Tipo</t>
  </si>
  <si>
    <t>Meta_Valor</t>
  </si>
  <si>
    <t>Meta_Numerica</t>
  </si>
  <si>
    <t>Prazo</t>
  </si>
  <si>
    <t>Recursos_Humanos</t>
  </si>
  <si>
    <t>Recursos_Materiais</t>
  </si>
  <si>
    <t>Recursos_Financeiros_EUR</t>
  </si>
  <si>
    <t>Valor_Atual</t>
  </si>
  <si>
    <t>Progresso</t>
  </si>
  <si>
    <t>Dias_ate_Prazo</t>
  </si>
  <si>
    <t>S_Especifico</t>
  </si>
  <si>
    <t>M_Mensuravel</t>
  </si>
  <si>
    <t>A_Atingivel</t>
  </si>
  <si>
    <t>R_Relevante</t>
  </si>
  <si>
    <t>T_Temporal</t>
  </si>
  <si>
    <t>Validacao_SMART</t>
  </si>
  <si>
    <t>Data_Aprovacao</t>
  </si>
  <si>
    <t>Considera_USE</t>
  </si>
  <si>
    <t>Oportunidades_Revisao</t>
  </si>
  <si>
    <t>Requisitos_Aplicaveis</t>
  </si>
  <si>
    <t>Comunicado</t>
  </si>
  <si>
    <t>Ligacao_SGA</t>
  </si>
  <si>
    <t>Valor</t>
  </si>
  <si>
    <t>Descricao</t>
  </si>
  <si>
    <t>Fonte</t>
  </si>
  <si>
    <t>O_Que_Medir</t>
  </si>
  <si>
    <t>Como_Medir</t>
  </si>
  <si>
    <t>Quando_Medir</t>
  </si>
  <si>
    <t>Quem_Mede</t>
  </si>
  <si>
    <t>Criterio_Meta</t>
  </si>
  <si>
    <t>Quando_Analisar</t>
  </si>
  <si>
    <t>Caracteristica_9_1_1</t>
  </si>
  <si>
    <t>Desvio_Significativo</t>
  </si>
  <si>
    <t>Acao_Desvio</t>
  </si>
  <si>
    <t>IDs_Aspetos</t>
  </si>
  <si>
    <t>Estado_Equipamentos</t>
  </si>
  <si>
    <t>Equipamento</t>
  </si>
  <si>
    <t>IDs_MED</t>
  </si>
  <si>
    <t>Tipo_Controlo</t>
  </si>
  <si>
    <t>Ultima_Calibracao</t>
  </si>
  <si>
    <t>Periodicidade_Meses</t>
  </si>
  <si>
    <t>Entidade</t>
  </si>
  <si>
    <t>Proxima_Calibracao</t>
  </si>
  <si>
    <t>Classe_Exatidao</t>
  </si>
  <si>
    <t>Incerteza</t>
  </si>
  <si>
    <t>Verificacao_Repetibilidade</t>
  </si>
  <si>
    <t>ID_Aspeto_AAS</t>
  </si>
  <si>
    <t>USE_Descricao</t>
  </si>
  <si>
    <t>Aspeto_Significativo</t>
  </si>
  <si>
    <t>Educacao_Habilitacoes</t>
  </si>
  <si>
    <t>Formacao_Descricao</t>
  </si>
  <si>
    <t>Experiencia</t>
  </si>
  <si>
    <t>Soft_Skills</t>
  </si>
  <si>
    <t>Tema_Consciencializacao</t>
  </si>
  <si>
    <t>Consequencia_Desvio</t>
  </si>
  <si>
    <t>Avaliacao_Eficacia</t>
  </si>
  <si>
    <t>N_Colaboradores</t>
  </si>
  <si>
    <t>Registos_Aprovados</t>
  </si>
  <si>
    <t>Cobertura</t>
  </si>
  <si>
    <t>Selecionado_Atv_4_1</t>
  </si>
  <si>
    <t>Colaborador</t>
  </si>
  <si>
    <t>Data_Realizacao</t>
  </si>
  <si>
    <t>Duracao_h</t>
  </si>
  <si>
    <t>Nota_Teste</t>
  </si>
  <si>
    <t>Nivel_Avaliado</t>
  </si>
  <si>
    <t>Reciclagem_Meses</t>
  </si>
  <si>
    <t>Validade</t>
  </si>
  <si>
    <t>Valida</t>
  </si>
  <si>
    <t>Cenario</t>
  </si>
  <si>
    <t>O_Que_Mensagem</t>
  </si>
  <si>
    <t>A_Quem_Publico</t>
  </si>
  <si>
    <t>Quando_Momento</t>
  </si>
  <si>
    <t>Como_Canal</t>
  </si>
  <si>
    <t>Porque_Objetivo</t>
  </si>
  <si>
    <t>Participacao_Feedback</t>
  </si>
  <si>
    <t>Data_Prevista</t>
  </si>
  <si>
    <t>Data_Realizada</t>
  </si>
  <si>
    <t>Alcance_Previsto</t>
  </si>
  <si>
    <t>Alcance_Real</t>
  </si>
  <si>
    <t>Taxa_Alcance</t>
  </si>
  <si>
    <t>Selecionado_Atv_4_2</t>
  </si>
  <si>
    <t>Diploma_Documento</t>
  </si>
  <si>
    <t>Tipo_Diploma</t>
  </si>
  <si>
    <t>Data_Publicacao</t>
  </si>
  <si>
    <t>Entidade_Fiscalizadora</t>
  </si>
  <si>
    <t>Resumo_Obrigacoes</t>
  </si>
  <si>
    <t>Aplicabilidade</t>
  </si>
  <si>
    <t>Justificacao_Aplicabilidade</t>
  </si>
  <si>
    <t>Processos</t>
  </si>
  <si>
    <t>IDs_USE</t>
  </si>
  <si>
    <t>Disposicoes_Internas</t>
  </si>
  <si>
    <t>Avaliacao_Conformidade_Evidencia</t>
  </si>
  <si>
    <t>Tipo_Evidencia</t>
  </si>
  <si>
    <t>Data_Evidencia</t>
  </si>
  <si>
    <t>Data_Avaliacao</t>
  </si>
  <si>
    <t>Proxima_Avaliacao</t>
  </si>
  <si>
    <t>Idade_Evidencia_Dias</t>
  </si>
  <si>
    <t>Alerta</t>
  </si>
  <si>
    <t>ID_Acao</t>
  </si>
  <si>
    <t>ID_PAM</t>
  </si>
  <si>
    <t>Fonte_Oficial</t>
  </si>
  <si>
    <t>Natureza_Obrigacao</t>
  </si>
  <si>
    <t>Papel_Plasticom</t>
  </si>
  <si>
    <t>Codigo_Tema</t>
  </si>
  <si>
    <t>IDs_Req_Embalagem</t>
  </si>
  <si>
    <t>Obrigacao</t>
  </si>
  <si>
    <t>Prazo_Proximo</t>
  </si>
  <si>
    <t>Ultimo_Cumprimento</t>
  </si>
  <si>
    <t>Objetivo</t>
  </si>
  <si>
    <t>Criterios</t>
  </si>
  <si>
    <t>Metodo</t>
  </si>
  <si>
    <t>Equipa_Auditora</t>
  </si>
  <si>
    <t>Data_Planeada</t>
  </si>
  <si>
    <t>Data_Real</t>
  </si>
  <si>
    <t>Relatorio_Emitido</t>
  </si>
  <si>
    <t>N_Constatacoes</t>
  </si>
  <si>
    <t>N_NC</t>
  </si>
  <si>
    <t>Data_Inicio</t>
  </si>
  <si>
    <t>Data_Fim</t>
  </si>
  <si>
    <t>Independencia</t>
  </si>
  <si>
    <t>N_Questoes</t>
  </si>
  <si>
    <t>N_OM</t>
  </si>
  <si>
    <t>Classificacao</t>
  </si>
  <si>
    <t>Processo_Auditado</t>
  </si>
  <si>
    <t>Constatacao</t>
  </si>
  <si>
    <t>Evidencia_Objetiva</t>
  </si>
  <si>
    <t>Questao_Auditoria</t>
  </si>
  <si>
    <t>Evidencia_Esperada</t>
  </si>
  <si>
    <t>Gravidade</t>
  </si>
  <si>
    <t>Requisito_Violado_ou_Melhoravel</t>
  </si>
  <si>
    <t>Justificacao</t>
  </si>
  <si>
    <t>Auditor</t>
  </si>
  <si>
    <t>Controlo_Qualidade</t>
  </si>
  <si>
    <t>Ponto</t>
  </si>
  <si>
    <t>Entrada_9_3_2</t>
  </si>
  <si>
    <t>Topico</t>
  </si>
  <si>
    <t>Apresentador</t>
  </si>
  <si>
    <t>Duracao_min</t>
  </si>
  <si>
    <t>N_Decisoes</t>
  </si>
  <si>
    <t>Hora_Inicio</t>
  </si>
  <si>
    <t>Ponto_Agenda</t>
  </si>
  <si>
    <t>Tipo_Saida_9_3_4</t>
  </si>
  <si>
    <t>Tipo_Saida_9_3_3</t>
  </si>
  <si>
    <t>Decisao_Tomada</t>
  </si>
  <si>
    <t>Recursos_EUR</t>
  </si>
  <si>
    <t>Ligacao</t>
  </si>
  <si>
    <t>Problema_Analise</t>
  </si>
  <si>
    <t>Recursos_Pessoas</t>
  </si>
  <si>
    <t>IDs_PAM</t>
  </si>
  <si>
    <t>Data_Detecao</t>
  </si>
  <si>
    <t>Origem</t>
  </si>
  <si>
    <t>Requisito_Violado</t>
  </si>
  <si>
    <t>Correcao_C1</t>
  </si>
  <si>
    <t>Causa_Raiz</t>
  </si>
  <si>
    <t>Categoria_6M</t>
  </si>
  <si>
    <t>Metodo_Analise</t>
  </si>
  <si>
    <t>Acao_Corretiva</t>
  </si>
  <si>
    <t>NC_Semelhantes</t>
  </si>
  <si>
    <t>Alteracao_SGE</t>
  </si>
  <si>
    <t>Data_Fecho</t>
  </si>
  <si>
    <t>Eficacia</t>
  </si>
  <si>
    <t>Data_Verif_Eficacia</t>
  </si>
  <si>
    <t>Dias_Aberta</t>
  </si>
  <si>
    <t>No_Prazo</t>
  </si>
  <si>
    <t>Local</t>
  </si>
  <si>
    <t>Tipo_Registo</t>
  </si>
  <si>
    <t>Impacte_Potencial</t>
  </si>
  <si>
    <t>Severidade</t>
  </si>
  <si>
    <t>N_Porques</t>
  </si>
  <si>
    <t>ID_PAM_C1</t>
  </si>
  <si>
    <t>ID_PAM_C2</t>
  </si>
  <si>
    <t>Recorrente</t>
  </si>
  <si>
    <t>Custo_EUR</t>
  </si>
  <si>
    <t>Reportado_Por</t>
  </si>
  <si>
    <t>Nivel</t>
  </si>
  <si>
    <t>Chave</t>
  </si>
  <si>
    <t>Pergunta_Porque</t>
  </si>
  <si>
    <t>Resposta</t>
  </si>
  <si>
    <t>E_Causa_Raiz</t>
  </si>
  <si>
    <t>Novo_ou_Alterado_2026</t>
  </si>
  <si>
    <t>SGQ</t>
  </si>
  <si>
    <t>Pergunta</t>
  </si>
  <si>
    <t>Ligacoes</t>
  </si>
  <si>
    <t>Alinea</t>
  </si>
  <si>
    <t>Como_Demonstra</t>
  </si>
  <si>
    <t>Novo_2026</t>
  </si>
  <si>
    <t>Só SGQ</t>
  </si>
  <si>
    <t>Data</t>
  </si>
  <si>
    <t>Alineas_7_3</t>
  </si>
  <si>
    <t>Publico</t>
  </si>
  <si>
    <t>Presentes</t>
  </si>
  <si>
    <t>Convocados</t>
  </si>
  <si>
    <t>Proponente</t>
  </si>
  <si>
    <t>Sugestao</t>
  </si>
  <si>
    <t>Dias_Resposta</t>
  </si>
  <si>
    <t>Poupanca_Estimada_MWh</t>
  </si>
  <si>
    <t>Resposta_no_Prazo</t>
  </si>
  <si>
    <t>Qualificacao</t>
  </si>
  <si>
    <t>Conhecimento_Tecnico</t>
  </si>
  <si>
    <t>Pode_Auditar</t>
  </si>
  <si>
    <t>Horas_Auditoria</t>
  </si>
  <si>
    <t>Avaliacao_Desempenho</t>
  </si>
  <si>
    <t>Nao_Pode_Auditar</t>
  </si>
  <si>
    <t>Competencia_Remota</t>
  </si>
  <si>
    <t>Ultima_Formacao</t>
  </si>
  <si>
    <t>Qualificado</t>
  </si>
  <si>
    <t>Decisao</t>
  </si>
  <si>
    <t>MODELO DE DADOS DO SGE</t>
  </si>
  <si>
    <t>Estrutura</t>
  </si>
  <si>
    <t>Modelo em estrela: factos mensais (tbl_base_energia, tbl_ide_mensal, tbl_consumo_uso, tbl_energia_maquina, tbl_faturas, tbl_rondas_energia) ligados às dimensões mês, uso, máquina, função e cláusula, e aos registos de gestão (IDE, LBE, objetivos, planos, riscos, NC) por IDs estáveis.</t>
  </si>
  <si>
    <t>Convenção de IDs</t>
  </si>
  <si>
    <t>CTX-E / PIE (contexto) · POL-E / LIDE / EGE / PE (liderança) · RE / OE (riscos) · TE / USE / OPE (revisão energética) · IDE / KPI-E / LBE / ALE / FEST / VAR / OBJ-E / MET-E / PA-E (desempenho) · DAD / MEDE / M00–M10 / EQE (dados) · COMPE / FOR-E / REGE / CONE / COME / SUGE (pessoas) · CO / RE-26 (operação) · PRJ-E / CAQ / AQE / LCC / FT (compras) · LEG-E / OBRE (legal) · DSV / MV / POU (desvios e M&amp;V) · AUDE / AUD-E / CHKE / CONE-A (auditoria) · RD-E (revisão) · NCE / MEL (melhoria).</t>
  </si>
  <si>
    <t>Ligação ao SGA e SGQ</t>
  </si>
  <si>
    <t>Contexto, riscos, legal, energia mensal, equipamentos EQP, alterações e kaizen são lidos dos registos do SGA (prefixo SGA: na integridade). As tabelas com assunto igual têm o mesmo nome e colunas (Matriz_Harmonizacao_SGI).</t>
  </si>
  <si>
    <t>Casos de análise / ML</t>
  </si>
  <si>
    <t>1) Previsão do consumo mensal (modelo da LBE como baseline e ML para resíduos). 2) Deteção de anomalias em dados de 15 min dos analisadores. 3) Consumo por SKU a partir de tbl_energia_maquina (PCF). 4) Otimização do setpoint do chiller com a temperatura.</t>
  </si>
  <si>
    <t>Atualização</t>
  </si>
  <si>
    <t>python _build/build_all.py reconstrói tudo e recalcula no Excel; python _build/build_docs.py gera os procedimentos Word.</t>
  </si>
  <si>
    <t>Localização (Excel PT)</t>
  </si>
  <si>
    <t>As fórmulas usam números de série de data e funções clássicas (LINEST, TDIST, FDIST, TINV) que funcionam em Excel português.</t>
  </si>
  <si>
    <t>LISTAS CONTROLADAS (domínios de validação de dados) — editar aqui para alterar opções</t>
  </si>
  <si>
    <t>DataReferencia</t>
  </si>
  <si>
    <t>SimNao</t>
  </si>
  <si>
    <t>Dominio_Unidade</t>
  </si>
  <si>
    <t>Obrigatorio</t>
  </si>
  <si>
    <t>tbl_ficheiros</t>
  </si>
  <si>
    <t>Texto</t>
  </si>
  <si>
    <t>Entrada</t>
  </si>
  <si>
    <t>Ficheiro.</t>
  </si>
  <si>
    <t>Código do registo.</t>
  </si>
  <si>
    <t>PK</t>
  </si>
  <si>
    <t>Conteúdo.</t>
  </si>
  <si>
    <t>Cláusulas ISO 50001.</t>
  </si>
  <si>
    <t>Requisito.</t>
  </si>
  <si>
    <t>Cláusula.</t>
  </si>
  <si>
    <t>Calculado (fórmula)</t>
  </si>
  <si>
    <t>Capítulo 4–10.</t>
  </si>
  <si>
    <t>Requisito (resumo).</t>
  </si>
  <si>
    <t>Alterado pela Amd 1:2024 (clima) — posição de Novo_ou_Alterado_2026.</t>
  </si>
  <si>
    <t>Manter / reter / não exigida.</t>
  </si>
  <si>
    <t>Documento controlado.</t>
  </si>
  <si>
    <t>Evidência.</t>
  </si>
  <si>
    <t>Conforme · Parcial · Lacuna (31/12/2026).</t>
  </si>
  <si>
    <t>Lista lst_Estado</t>
  </si>
  <si>
    <t>Observação.</t>
  </si>
  <si>
    <t>Ação.</t>
  </si>
  <si>
    <t>Decimal</t>
  </si>
  <si>
    <t>1 · 0,5 · 0.</t>
  </si>
  <si>
    <t>[Só SGE/SGQ] A manter · B reter · C organização.</t>
  </si>
  <si>
    <t>Lista lst_Classe</t>
  </si>
  <si>
    <t>tbl_matriz_mestra</t>
  </si>
  <si>
    <t>Código.</t>
  </si>
  <si>
    <t>Informação documentada exigida pela ISO 50001.</t>
  </si>
  <si>
    <t>Documento / registo.</t>
  </si>
  <si>
    <t>A manter / B reter / C organização.</t>
  </si>
  <si>
    <t>Responsável.</t>
  </si>
  <si>
    <t>Aprovação.</t>
  </si>
  <si>
    <t>Frequência.</t>
  </si>
  <si>
    <t>Retenção.</t>
  </si>
  <si>
    <t>Onde está.</t>
  </si>
  <si>
    <t>tbl_matriz_normativa</t>
  </si>
  <si>
    <t>Norma / protocolo.</t>
  </si>
  <si>
    <t>Título.</t>
  </si>
  <si>
    <t>Relação com a ISO 50001.</t>
  </si>
  <si>
    <t>Requisitos da ISO 50001 que apoia.</t>
  </si>
  <si>
    <t>Como foi aplicada na Plasticom.</t>
  </si>
  <si>
    <t>Registo / documento.</t>
  </si>
  <si>
    <t>Indicador associado.</t>
  </si>
  <si>
    <t>Aplicada / referência / não aplicável.</t>
  </si>
  <si>
    <t>Nota (inclui correções verificadas em iso.org).</t>
  </si>
  <si>
    <t>tbl_fontes</t>
  </si>
  <si>
    <t>Norma / fonte.</t>
  </si>
  <si>
    <t>Localização / URL.</t>
  </si>
  <si>
    <t>Onde foi aplicada.</t>
  </si>
  <si>
    <t>Requisito / orientação / dados.</t>
  </si>
  <si>
    <t>tbl_catalogo</t>
  </si>
  <si>
    <t>Inteiro</t>
  </si>
  <si>
    <t>tbl_integridade</t>
  </si>
  <si>
    <t>tbl_dim_uso</t>
  </si>
  <si>
    <t>tbl_dim_funcao</t>
  </si>
  <si>
    <t>tbl_dim_clausula</t>
  </si>
  <si>
    <t>tbl_dim_maquina</t>
  </si>
  <si>
    <t>tbl_maturidade</t>
  </si>
  <si>
    <t>1 inicial · 2 em desenvolvimento · 3 implementado · 4 otimizado (ISO 50005).</t>
  </si>
  <si>
    <t>Lista lst_Nivel</t>
  </si>
  <si>
    <t>tbl_harmonizacao_resumo</t>
  </si>
  <si>
    <t>Registo do SGA (padrão do SGI) ou do SGQ.</t>
  </si>
  <si>
    <t>Percentagem (fração 0-1)</t>
  </si>
  <si>
    <t>% das colunas do padrão presentes no SGE.</t>
  </si>
  <si>
    <t>tbl_harmonizacao</t>
  </si>
  <si>
    <t>Lista lst_Correspondencia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</si>
</sst>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5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vertical="top" wrapText="1"/>
    </xf>
    <xf numFmtId="4" fontId="4" fillId="4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9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5" fontId="4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22"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ill>
        <patternFill patternType="solid">
          <fgColor rgb="FFFCE4C4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ficheiros" displayName="tbl_ficheiros" ref="A4:D18">
  <autoFilter ref="A4:D18" xr:uid="{00000000-0009-0000-0100-000001000000}"/>
  <tableColumns count="4">
    <tableColumn id="1" xr3:uid="{00000000-0010-0000-0000-000001000000}" name="Ficheiro"/>
    <tableColumn id="2" xr3:uid="{00000000-0010-0000-0000-000002000000}" name="Codigo"/>
    <tableColumn id="3" xr3:uid="{00000000-0010-0000-0000-000003000000}" name="Conteudo"/>
    <tableColumn id="4" xr3:uid="{00000000-0010-0000-0000-000004000000}" name="Clausula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matriz_iso" displayName="tbl_matriz_iso" ref="A4:M32">
  <autoFilter ref="A4:M32" xr:uid="{00000000-0009-0000-0100-000002000000}"/>
  <tableColumns count="13">
    <tableColumn id="1" xr3:uid="{00000000-0010-0000-0100-000001000000}" name="ID_Requisito"/>
    <tableColumn id="2" xr3:uid="{00000000-0010-0000-0100-000002000000}" name="Clausula"/>
    <tableColumn id="3" xr3:uid="{00000000-0010-0000-0100-000003000000}" name="Grupo"/>
    <tableColumn id="4" xr3:uid="{00000000-0010-0000-0100-000004000000}" name="Requisito"/>
    <tableColumn id="5" xr3:uid="{00000000-0010-0000-0100-000005000000}" name="Alterado_Amd1_2024"/>
    <tableColumn id="6" xr3:uid="{00000000-0010-0000-0100-000006000000}" name="Informacao_Documentada"/>
    <tableColumn id="7" xr3:uid="{00000000-0010-0000-0100-000007000000}" name="Documento"/>
    <tableColumn id="8" xr3:uid="{00000000-0010-0000-0100-000008000000}" name="Evidencia_Registo_Tabelas"/>
    <tableColumn id="9" xr3:uid="{00000000-0010-0000-0100-000009000000}" name="Estado"/>
    <tableColumn id="10" xr3:uid="{00000000-0010-0000-0100-00000A000000}" name="Observacao"/>
    <tableColumn id="11" xr3:uid="{00000000-0010-0000-0100-00000B000000}" name="Acao"/>
    <tableColumn id="12" xr3:uid="{00000000-0010-0000-0100-00000C000000}" name="Pontos"/>
    <tableColumn id="13" xr3:uid="{00000000-0010-0000-0100-00000D000000}" name="Class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atriz_mestra" displayName="tbl_matriz_mestra" ref="A4:J23">
  <autoFilter ref="A4:J23" xr:uid="{00000000-0009-0000-0100-000003000000}"/>
  <tableColumns count="10">
    <tableColumn id="1" xr3:uid="{00000000-0010-0000-0200-000001000000}" name="Codigo"/>
    <tableColumn id="2" xr3:uid="{00000000-0010-0000-0200-000002000000}" name="Documento_Registo"/>
    <tableColumn id="3" xr3:uid="{00000000-0010-0000-0200-000003000000}" name="Tipo"/>
    <tableColumn id="4" xr3:uid="{00000000-0010-0000-0200-000004000000}" name="Requisito"/>
    <tableColumn id="5" xr3:uid="{00000000-0010-0000-0200-000005000000}" name="Obrigatoriedade"/>
    <tableColumn id="6" xr3:uid="{00000000-0010-0000-0200-000006000000}" name="Responsavel"/>
    <tableColumn id="7" xr3:uid="{00000000-0010-0000-0200-000007000000}" name="Aprovacao"/>
    <tableColumn id="8" xr3:uid="{00000000-0010-0000-0200-000008000000}" name="Frequencia"/>
    <tableColumn id="9" xr3:uid="{00000000-0010-0000-0200-000009000000}" name="Retencao"/>
    <tableColumn id="10" xr3:uid="{00000000-0010-0000-0200-00000A000000}" name="Onde_no_SG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matriz_normativa" displayName="tbl_matriz_normativa" ref="A4:I38">
  <autoFilter ref="A4:I38" xr:uid="{00000000-0009-0000-0100-000004000000}"/>
  <tableColumns count="9">
    <tableColumn id="1" xr3:uid="{00000000-0010-0000-0300-000001000000}" name="Norma"/>
    <tableColumn id="2" xr3:uid="{00000000-0010-0000-0300-000002000000}" name="Titulo"/>
    <tableColumn id="3" xr3:uid="{00000000-0010-0000-0300-000003000000}" name="Relacao_ISO50001"/>
    <tableColumn id="4" xr3:uid="{00000000-0010-0000-0300-000004000000}" name="Requisitos_50001_Apoiados"/>
    <tableColumn id="5" xr3:uid="{00000000-0010-0000-0300-000005000000}" name="Aplicacao_Plasticom"/>
    <tableColumn id="6" xr3:uid="{00000000-0010-0000-0300-000006000000}" name="Evidencia"/>
    <tableColumn id="7" xr3:uid="{00000000-0010-0000-0300-000007000000}" name="KPI"/>
    <tableColumn id="8" xr3:uid="{00000000-0010-0000-0300-000008000000}" name="Estado_Uso"/>
    <tableColumn id="9" xr3:uid="{00000000-0010-0000-0300-000009000000}" name="Nota_Correca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fontes" displayName="tbl_fontes" ref="A4:E27">
  <autoFilter ref="A4:E27" xr:uid="{00000000-0009-0000-0100-000005000000}"/>
  <tableColumns count="5">
    <tableColumn id="1" xr3:uid="{00000000-0010-0000-0400-000001000000}" name="ID"/>
    <tableColumn id="2" xr3:uid="{00000000-0010-0000-0400-000002000000}" name="Referencia"/>
    <tableColumn id="3" xr3:uid="{00000000-0010-0000-0400-000003000000}" name="Onde"/>
    <tableColumn id="4" xr3:uid="{00000000-0010-0000-0400-000004000000}" name="Aplicada_em"/>
    <tableColumn id="5" xr3:uid="{00000000-0010-0000-0400-000005000000}" name="Tip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fonte_unica" displayName="tbl_fonte_unica" ref="A4:E19">
  <autoFilter ref="A4:E19" xr:uid="{00000000-0009-0000-0100-000006000000}"/>
  <tableColumns count="5">
    <tableColumn id="1" xr3:uid="{00000000-0010-0000-0500-000001000000}" name="Assunto"/>
    <tableColumn id="2" xr3:uid="{00000000-0010-0000-0500-000002000000}" name="Registo_Dono"/>
    <tableColumn id="3" xr3:uid="{00000000-0010-0000-0500-000003000000}" name="Tabelas_Donas"/>
    <tableColumn id="4" xr3:uid="{00000000-0010-0000-0500-000004000000}" name="So_Referenciado_Em"/>
    <tableColumn id="5" xr3:uid="{00000000-0010-0000-0500-000005000000}" name="Regra_Nota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catalogo" displayName="tbl_catalogo" ref="A1:H85">
  <autoFilter ref="A1:H85" xr:uid="{00000000-0009-0000-0100-000007000000}"/>
  <tableColumns count="8">
    <tableColumn id="1" xr3:uid="{00000000-0010-0000-0600-000001000000}" name="Ficheiro"/>
    <tableColumn id="2" xr3:uid="{00000000-0010-0000-0600-000002000000}" name="Folha"/>
    <tableColumn id="3" xr3:uid="{00000000-0010-0000-0600-000003000000}" name="Tabela"/>
    <tableColumn id="4" xr3:uid="{00000000-0010-0000-0600-000004000000}" name="Linha_Cabecalho"/>
    <tableColumn id="5" xr3:uid="{00000000-0010-0000-0600-000005000000}" name="N_Linhas"/>
    <tableColumn id="6" xr3:uid="{00000000-0010-0000-0600-000006000000}" name="N_Colunas"/>
    <tableColumn id="7" xr3:uid="{00000000-0010-0000-0600-000007000000}" name="Chave_Primaria"/>
    <tableColumn id="8" xr3:uid="{00000000-0010-0000-0600-000008000000}" name="Leitura_panda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integridade" displayName="tbl_integridade" ref="A1:G51">
  <autoFilter ref="A1:G51" xr:uid="{00000000-0009-0000-0100-000008000000}"/>
  <tableColumns count="7">
    <tableColumn id="1" xr3:uid="{00000000-0010-0000-0700-000001000000}" name="Tabela_Origem"/>
    <tableColumn id="2" xr3:uid="{00000000-0010-0000-0700-000002000000}" name="Coluna"/>
    <tableColumn id="3" xr3:uid="{00000000-0010-0000-0700-000003000000}" name="Tabela_Destino"/>
    <tableColumn id="4" xr3:uid="{00000000-0010-0000-0700-000004000000}" name="N_Referencias"/>
    <tableColumn id="5" xr3:uid="{00000000-0010-0000-0700-000005000000}" name="N_Invalidas"/>
    <tableColumn id="6" xr3:uid="{00000000-0010-0000-0700-000006000000}" name="IDs_Invalidos"/>
    <tableColumn id="7" xr3:uid="{00000000-0010-0000-0700-000007000000}" name="Resultado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dim_uso" displayName="tbl_dim_uso" ref="A1:F10">
  <autoFilter ref="A1:F10" xr:uid="{00000000-0009-0000-0100-000009000000}"/>
  <tableColumns count="6">
    <tableColumn id="1" xr3:uid="{00000000-0010-0000-0800-000001000000}" name="Codigo"/>
    <tableColumn id="2" xr3:uid="{00000000-0010-0000-0800-000002000000}" name="Uso"/>
    <tableColumn id="3" xr3:uid="{00000000-0010-0000-0800-000003000000}" name="Tipo_Energia"/>
    <tableColumn id="4" xr3:uid="{00000000-0010-0000-0800-000004000000}" name="Processo_SGA"/>
    <tableColumn id="5" xr3:uid="{00000000-0010-0000-0800-000005000000}" name="Equipamentos"/>
    <tableColumn id="6" xr3:uid="{00000000-0010-0000-0800-000006000000}" name="Variavel_Candidata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dim_funcao" displayName="tbl_dim_funcao" ref="A1:C23">
  <autoFilter ref="A1:C23" xr:uid="{00000000-0009-0000-0100-00000A000000}"/>
  <tableColumns count="3">
    <tableColumn id="1" xr3:uid="{00000000-0010-0000-0900-000001000000}" name="ID_Funcao"/>
    <tableColumn id="2" xr3:uid="{00000000-0010-0000-0900-000002000000}" name="Funcao"/>
    <tableColumn id="3" xr3:uid="{00000000-0010-0000-0900-000003000000}" name="Area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dim_clausula" displayName="tbl_dim_clausula" ref="A1:D28">
  <autoFilter ref="A1:D28" xr:uid="{00000000-0009-0000-0100-00000B000000}"/>
  <tableColumns count="4">
    <tableColumn id="1" xr3:uid="{00000000-0010-0000-0A00-000001000000}" name="Clausula"/>
    <tableColumn id="2" xr3:uid="{00000000-0010-0000-0A00-000002000000}" name="Titulo"/>
    <tableColumn id="3" xr3:uid="{00000000-0010-0000-0A00-000003000000}" name="Informacao_Documentada"/>
    <tableColumn id="4" xr3:uid="{00000000-0010-0000-0A00-000004000000}" name="Alterado_Amd1_2024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dim_maquina" displayName="tbl_dim_maquina" ref="A1:D24">
  <autoFilter ref="A1:D24" xr:uid="{00000000-0009-0000-0100-00000C000000}"/>
  <tableColumns count="4">
    <tableColumn id="1" xr3:uid="{00000000-0010-0000-0B00-000001000000}" name="ID_Maquina"/>
    <tableColumn id="2" xr3:uid="{00000000-0010-0000-0B00-000002000000}" name="Processo"/>
    <tableColumn id="3" xr3:uid="{00000000-0010-0000-0B00-000003000000}" name="Ano_Instalacao"/>
    <tableColumn id="4" xr3:uid="{00000000-0010-0000-0B00-000004000000}" name="Tecnologia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maturidade" displayName="tbl_maturidade" ref="A4:E13">
  <autoFilter ref="A4:E13" xr:uid="{00000000-0009-0000-0100-00000D000000}"/>
  <tableColumns count="5">
    <tableColumn id="1" xr3:uid="{00000000-0010-0000-0C00-000001000000}" name="ID"/>
    <tableColumn id="2" xr3:uid="{00000000-0010-0000-0C00-000002000000}" name="Elemento"/>
    <tableColumn id="3" xr3:uid="{00000000-0010-0000-0C00-000003000000}" name="Nivel_1a4"/>
    <tableColumn id="4" xr3:uid="{00000000-0010-0000-0C00-000004000000}" name="Evidencia"/>
    <tableColumn id="5" xr3:uid="{00000000-0010-0000-0C00-000005000000}" name="Proximo_Passo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harmonizacao_resumo" displayName="tbl_harmonizacao_resumo" ref="A4:L33">
  <autoFilter ref="A4:L33" xr:uid="{00000000-0009-0000-0100-00000E000000}"/>
  <tableColumns count="12">
    <tableColumn id="1" xr3:uid="{00000000-0010-0000-0D00-000001000000}" name="ID_Par"/>
    <tableColumn id="2" xr3:uid="{00000000-0010-0000-0D00-000002000000}" name="Assunto"/>
    <tableColumn id="3" xr3:uid="{00000000-0010-0000-0D00-000003000000}" name="Registo_SGE"/>
    <tableColumn id="4" xr3:uid="{00000000-0010-0000-0D00-000004000000}" name="Tabela_SGE"/>
    <tableColumn id="5" xr3:uid="{00000000-0010-0000-0D00-000005000000}" name="Registo_Padrao"/>
    <tableColumn id="6" xr3:uid="{00000000-0010-0000-0D00-000006000000}" name="Tabela_Padrao"/>
    <tableColumn id="7" xr3:uid="{00000000-0010-0000-0D00-000007000000}" name="Mesmo_Nome_Tabela"/>
    <tableColumn id="8" xr3:uid="{00000000-0010-0000-0D00-000008000000}" name="N_Colunas_SGE"/>
    <tableColumn id="9" xr3:uid="{00000000-0010-0000-0D00-000009000000}" name="N_Colunas_Padrao"/>
    <tableColumn id="10" xr3:uid="{00000000-0010-0000-0D00-00000A000000}" name="N_Iguais"/>
    <tableColumn id="11" xr3:uid="{00000000-0010-0000-0D00-00000B000000}" name="N_Equivalentes"/>
    <tableColumn id="12" xr3:uid="{00000000-0010-0000-0D00-00000C000000}" name="Pct_Comum_Padrao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harmonizacao" displayName="tbl_harmonizacao" ref="A4:J419">
  <autoFilter ref="A4:J419" xr:uid="{00000000-0009-0000-0100-00000F000000}"/>
  <tableColumns count="10">
    <tableColumn id="1" xr3:uid="{00000000-0010-0000-0E00-000001000000}" name="ID_Par"/>
    <tableColumn id="2" xr3:uid="{00000000-0010-0000-0E00-000002000000}" name="Tabela_SGE"/>
    <tableColumn id="3" xr3:uid="{00000000-0010-0000-0E00-000003000000}" name="Coluna_SGE"/>
    <tableColumn id="4" xr3:uid="{00000000-0010-0000-0E00-000004000000}" name="Posicao_SGE"/>
    <tableColumn id="5" xr3:uid="{00000000-0010-0000-0E00-000005000000}" name="Sistema_Padrao"/>
    <tableColumn id="6" xr3:uid="{00000000-0010-0000-0E00-000006000000}" name="Tabela_Padrao"/>
    <tableColumn id="7" xr3:uid="{00000000-0010-0000-0E00-000007000000}" name="Coluna_Padrao"/>
    <tableColumn id="8" xr3:uid="{00000000-0010-0000-0E00-000008000000}" name="Posicao_Padrao"/>
    <tableColumn id="9" xr3:uid="{00000000-0010-0000-0E00-000009000000}" name="Correspondencia"/>
    <tableColumn id="10" xr3:uid="{00000000-0010-0000-0E00-00000A000000}" name="Nome_Consolidado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dicionario" displayName="tbl_dicionario" ref="A1:I106">
  <autoFilter ref="A1:I106" xr:uid="{00000000-0009-0000-0100-000010000000}"/>
  <tableColumns count="9">
    <tableColumn id="1" xr3:uid="{00000000-0010-0000-0F00-000001000000}" name="Folha"/>
    <tableColumn id="2" xr3:uid="{00000000-0010-0000-0F00-000002000000}" name="Tabela"/>
    <tableColumn id="3" xr3:uid="{00000000-0010-0000-0F00-000003000000}" name="Coluna"/>
    <tableColumn id="4" xr3:uid="{00000000-0010-0000-0F00-000004000000}" name="Tipo"/>
    <tableColumn id="5" xr3:uid="{00000000-0010-0000-0F00-000005000000}" name="Origem"/>
    <tableColumn id="6" xr3:uid="{00000000-0010-0000-0F00-000006000000}" name="Descricao"/>
    <tableColumn id="7" xr3:uid="{00000000-0010-0000-0F00-000007000000}" name="Dominio_Unidade"/>
    <tableColumn id="8" xr3:uid="{00000000-0010-0000-0F00-000008000000}" name="Obrigatorio"/>
    <tableColumn id="9" xr3:uid="{00000000-0010-0000-0F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55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52.8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ht="39.6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ht="52.8" x14ac:dyDescent="0.3">
      <c r="A26" s="5" t="s">
        <v>35</v>
      </c>
      <c r="B26" s="6" t="s">
        <v>36</v>
      </c>
    </row>
    <row r="28" spans="1:2" x14ac:dyDescent="0.3">
      <c r="A28" s="3" t="s">
        <v>37</v>
      </c>
      <c r="B28" s="4"/>
    </row>
    <row r="29" spans="1:2" x14ac:dyDescent="0.3">
      <c r="A29" s="5" t="s">
        <v>38</v>
      </c>
      <c r="B29" s="6" t="s">
        <v>39</v>
      </c>
    </row>
    <row r="30" spans="1:2" x14ac:dyDescent="0.3">
      <c r="A30" s="5" t="s">
        <v>40</v>
      </c>
      <c r="B30" s="6" t="s">
        <v>41</v>
      </c>
    </row>
    <row r="31" spans="1:2" x14ac:dyDescent="0.3">
      <c r="A31" s="5" t="s">
        <v>42</v>
      </c>
      <c r="B31" s="6" t="s">
        <v>43</v>
      </c>
    </row>
    <row r="32" spans="1:2" x14ac:dyDescent="0.3">
      <c r="A32" s="5" t="s">
        <v>44</v>
      </c>
      <c r="B32" s="6" t="s">
        <v>45</v>
      </c>
    </row>
    <row r="33" spans="1:2" x14ac:dyDescent="0.3">
      <c r="A33" s="5" t="s">
        <v>46</v>
      </c>
      <c r="B33" s="6" t="s">
        <v>47</v>
      </c>
    </row>
    <row r="34" spans="1:2" x14ac:dyDescent="0.3">
      <c r="A34" s="5" t="s">
        <v>48</v>
      </c>
      <c r="B34" s="6" t="s">
        <v>49</v>
      </c>
    </row>
    <row r="35" spans="1:2" x14ac:dyDescent="0.3">
      <c r="A35" s="5" t="s">
        <v>50</v>
      </c>
      <c r="B35" s="6" t="s">
        <v>51</v>
      </c>
    </row>
    <row r="36" spans="1:2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8" spans="1:2" x14ac:dyDescent="0.3">
      <c r="A38" s="5" t="s">
        <v>56</v>
      </c>
      <c r="B38" s="6" t="s">
        <v>57</v>
      </c>
    </row>
    <row r="39" spans="1:2" x14ac:dyDescent="0.3">
      <c r="A39" s="5" t="s">
        <v>58</v>
      </c>
      <c r="B39" s="6" t="s">
        <v>59</v>
      </c>
    </row>
    <row r="40" spans="1:2" x14ac:dyDescent="0.3">
      <c r="A40" s="5" t="s">
        <v>60</v>
      </c>
      <c r="B40" s="6" t="s">
        <v>61</v>
      </c>
    </row>
    <row r="41" spans="1:2" x14ac:dyDescent="0.3">
      <c r="A41" s="5" t="s">
        <v>62</v>
      </c>
      <c r="B41" s="6" t="s">
        <v>63</v>
      </c>
    </row>
    <row r="42" spans="1:2" x14ac:dyDescent="0.3">
      <c r="A42" s="5" t="s">
        <v>64</v>
      </c>
      <c r="B42" s="6" t="s">
        <v>65</v>
      </c>
    </row>
    <row r="43" spans="1:2" x14ac:dyDescent="0.3">
      <c r="A43" s="5" t="s">
        <v>66</v>
      </c>
      <c r="B43" s="6" t="s">
        <v>67</v>
      </c>
    </row>
    <row r="44" spans="1:2" x14ac:dyDescent="0.3">
      <c r="A44" s="5" t="s">
        <v>68</v>
      </c>
      <c r="B44" s="6" t="s">
        <v>69</v>
      </c>
    </row>
    <row r="45" spans="1:2" x14ac:dyDescent="0.3">
      <c r="A45" s="5" t="s">
        <v>70</v>
      </c>
      <c r="B45" s="6" t="s">
        <v>71</v>
      </c>
    </row>
    <row r="46" spans="1:2" x14ac:dyDescent="0.3">
      <c r="A46" s="5" t="s">
        <v>72</v>
      </c>
      <c r="B46" s="6" t="s">
        <v>73</v>
      </c>
    </row>
    <row r="47" spans="1:2" x14ac:dyDescent="0.3">
      <c r="A47" s="5" t="s">
        <v>74</v>
      </c>
      <c r="B47" s="6" t="s">
        <v>75</v>
      </c>
    </row>
    <row r="49" spans="1:2" x14ac:dyDescent="0.3">
      <c r="A49" s="3" t="s">
        <v>76</v>
      </c>
      <c r="B49" s="4"/>
    </row>
    <row r="50" spans="1:2" ht="26.4" x14ac:dyDescent="0.3">
      <c r="A50" s="5" t="s">
        <v>77</v>
      </c>
      <c r="B50" s="6" t="s">
        <v>78</v>
      </c>
    </row>
    <row r="51" spans="1:2" x14ac:dyDescent="0.3">
      <c r="A51" s="5" t="s">
        <v>79</v>
      </c>
      <c r="B51" s="6" t="s">
        <v>80</v>
      </c>
    </row>
    <row r="52" spans="1:2" x14ac:dyDescent="0.3">
      <c r="A52" s="5" t="s">
        <v>81</v>
      </c>
      <c r="B52" s="6" t="s">
        <v>82</v>
      </c>
    </row>
    <row r="53" spans="1:2" ht="26.4" x14ac:dyDescent="0.3">
      <c r="A53" s="5" t="s">
        <v>83</v>
      </c>
      <c r="B53" s="6" t="s">
        <v>84</v>
      </c>
    </row>
    <row r="54" spans="1:2" ht="26.4" x14ac:dyDescent="0.3">
      <c r="A54" s="5" t="s">
        <v>85</v>
      </c>
      <c r="B54" s="6" t="s">
        <v>86</v>
      </c>
    </row>
    <row r="55" spans="1:2" ht="52.8" x14ac:dyDescent="0.3">
      <c r="A55" s="5" t="s">
        <v>87</v>
      </c>
      <c r="B55" s="6" t="s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5F"/>
    <pageSetUpPr fitToPage="1"/>
  </sheetPr>
  <dimension ref="A1:D18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6" customWidth="1"/>
    <col min="2" max="2" width="10" customWidth="1"/>
    <col min="3" max="3" width="90" customWidth="1"/>
    <col min="4" max="4" width="18" customWidth="1"/>
  </cols>
  <sheetData>
    <row r="1" spans="1:4" ht="17.399999999999999" x14ac:dyDescent="0.3">
      <c r="A1" s="1" t="s">
        <v>89</v>
      </c>
    </row>
    <row r="2" spans="1:4" x14ac:dyDescent="0.3">
      <c r="A2" s="2" t="s">
        <v>90</v>
      </c>
    </row>
    <row r="4" spans="1:4" x14ac:dyDescent="0.3">
      <c r="A4" s="8" t="s">
        <v>91</v>
      </c>
      <c r="B4" s="8" t="s">
        <v>92</v>
      </c>
      <c r="C4" s="8" t="s">
        <v>93</v>
      </c>
      <c r="D4" s="8" t="s">
        <v>94</v>
      </c>
    </row>
    <row r="5" spans="1:4" ht="30" customHeight="1" x14ac:dyDescent="0.3">
      <c r="A5" s="9" t="s">
        <v>95</v>
      </c>
      <c r="B5" s="9" t="s">
        <v>96</v>
      </c>
      <c r="C5" s="9" t="s">
        <v>97</v>
      </c>
      <c r="D5" s="9" t="s">
        <v>98</v>
      </c>
    </row>
    <row r="6" spans="1:4" ht="30" customHeight="1" x14ac:dyDescent="0.3">
      <c r="A6" s="9" t="s">
        <v>99</v>
      </c>
      <c r="B6" s="9" t="s">
        <v>100</v>
      </c>
      <c r="C6" s="9" t="s">
        <v>101</v>
      </c>
      <c r="D6" s="9" t="s">
        <v>102</v>
      </c>
    </row>
    <row r="7" spans="1:4" ht="30" customHeight="1" x14ac:dyDescent="0.3">
      <c r="A7" s="9" t="s">
        <v>103</v>
      </c>
      <c r="B7" s="9" t="s">
        <v>104</v>
      </c>
      <c r="C7" s="9" t="s">
        <v>105</v>
      </c>
      <c r="D7" s="9" t="s">
        <v>106</v>
      </c>
    </row>
    <row r="8" spans="1:4" ht="30" customHeight="1" x14ac:dyDescent="0.3">
      <c r="A8" s="9" t="s">
        <v>107</v>
      </c>
      <c r="B8" s="9" t="s">
        <v>108</v>
      </c>
      <c r="C8" s="9" t="s">
        <v>109</v>
      </c>
      <c r="D8" s="9" t="s">
        <v>110</v>
      </c>
    </row>
    <row r="9" spans="1:4" ht="30" customHeight="1" x14ac:dyDescent="0.3">
      <c r="A9" s="9" t="s">
        <v>111</v>
      </c>
      <c r="B9" s="9" t="s">
        <v>112</v>
      </c>
      <c r="C9" s="9" t="s">
        <v>113</v>
      </c>
      <c r="D9" s="9" t="s">
        <v>114</v>
      </c>
    </row>
    <row r="10" spans="1:4" ht="30" customHeight="1" x14ac:dyDescent="0.3">
      <c r="A10" s="9" t="s">
        <v>115</v>
      </c>
      <c r="B10" s="9" t="s">
        <v>116</v>
      </c>
      <c r="C10" s="9" t="s">
        <v>117</v>
      </c>
      <c r="D10" s="9" t="s">
        <v>118</v>
      </c>
    </row>
    <row r="11" spans="1:4" ht="30" customHeight="1" x14ac:dyDescent="0.3">
      <c r="A11" s="9" t="s">
        <v>119</v>
      </c>
      <c r="B11" s="9" t="s">
        <v>120</v>
      </c>
      <c r="C11" s="9" t="s">
        <v>121</v>
      </c>
      <c r="D11" s="9" t="s">
        <v>122</v>
      </c>
    </row>
    <row r="12" spans="1:4" ht="30" customHeight="1" x14ac:dyDescent="0.3">
      <c r="A12" s="9" t="s">
        <v>123</v>
      </c>
      <c r="B12" s="9" t="s">
        <v>124</v>
      </c>
      <c r="C12" s="9" t="s">
        <v>125</v>
      </c>
      <c r="D12" s="9" t="s">
        <v>126</v>
      </c>
    </row>
    <row r="13" spans="1:4" ht="30" customHeight="1" x14ac:dyDescent="0.3">
      <c r="A13" s="9" t="s">
        <v>127</v>
      </c>
      <c r="B13" s="9" t="s">
        <v>128</v>
      </c>
      <c r="C13" s="9" t="s">
        <v>129</v>
      </c>
      <c r="D13" s="9" t="s">
        <v>130</v>
      </c>
    </row>
    <row r="14" spans="1:4" ht="30" customHeight="1" x14ac:dyDescent="0.3">
      <c r="A14" s="9" t="s">
        <v>131</v>
      </c>
      <c r="B14" s="9" t="s">
        <v>132</v>
      </c>
      <c r="C14" s="9" t="s">
        <v>133</v>
      </c>
      <c r="D14" s="9" t="s">
        <v>134</v>
      </c>
    </row>
    <row r="15" spans="1:4" ht="30" customHeight="1" x14ac:dyDescent="0.3">
      <c r="A15" s="9" t="s">
        <v>135</v>
      </c>
      <c r="B15" s="9" t="s">
        <v>136</v>
      </c>
      <c r="C15" s="9" t="s">
        <v>137</v>
      </c>
      <c r="D15" s="9" t="s">
        <v>138</v>
      </c>
    </row>
    <row r="16" spans="1:4" ht="30" customHeight="1" x14ac:dyDescent="0.3">
      <c r="A16" s="9" t="s">
        <v>139</v>
      </c>
      <c r="B16" s="9" t="s">
        <v>140</v>
      </c>
      <c r="C16" s="9" t="s">
        <v>141</v>
      </c>
      <c r="D16" s="9" t="s">
        <v>142</v>
      </c>
    </row>
    <row r="17" spans="1:4" ht="30" customHeight="1" x14ac:dyDescent="0.3">
      <c r="A17" s="9" t="s">
        <v>143</v>
      </c>
      <c r="B17" s="9" t="s">
        <v>144</v>
      </c>
      <c r="C17" s="9" t="s">
        <v>145</v>
      </c>
      <c r="D17" s="9" t="s">
        <v>146</v>
      </c>
    </row>
    <row r="18" spans="1:4" ht="30" customHeight="1" x14ac:dyDescent="0.3">
      <c r="A18" s="9" t="s">
        <v>147</v>
      </c>
      <c r="B18" s="9" t="s">
        <v>148</v>
      </c>
      <c r="C18" s="9" t="s">
        <v>149</v>
      </c>
      <c r="D18" s="9" t="s">
        <v>150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2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10" customWidth="1"/>
    <col min="3" max="3" width="6" customWidth="1"/>
    <col min="4" max="4" width="50" customWidth="1"/>
    <col min="5" max="5" width="8" customWidth="1"/>
    <col min="6" max="6" width="20" customWidth="1"/>
    <col min="7" max="7" width="18" customWidth="1"/>
    <col min="8" max="8" width="44" customWidth="1"/>
    <col min="9" max="9" width="9" customWidth="1"/>
    <col min="10" max="10" width="40" customWidth="1"/>
    <col min="11" max="11" width="14" customWidth="1"/>
    <col min="12" max="13" width="6" customWidth="1"/>
  </cols>
  <sheetData>
    <row r="1" spans="1:13" ht="17.399999999999999" x14ac:dyDescent="0.3">
      <c r="A1" s="1" t="s">
        <v>151</v>
      </c>
    </row>
    <row r="2" spans="1:13" x14ac:dyDescent="0.3">
      <c r="A2" s="2" t="s">
        <v>152</v>
      </c>
    </row>
    <row r="4" spans="1:13" ht="39.6" x14ac:dyDescent="0.3">
      <c r="A4" s="8" t="s">
        <v>153</v>
      </c>
      <c r="B4" s="8" t="s">
        <v>154</v>
      </c>
      <c r="C4" s="10" t="s">
        <v>155</v>
      </c>
      <c r="D4" s="8" t="s">
        <v>156</v>
      </c>
      <c r="E4" s="10" t="s">
        <v>157</v>
      </c>
      <c r="F4" s="8" t="s">
        <v>158</v>
      </c>
      <c r="G4" s="8" t="s">
        <v>159</v>
      </c>
      <c r="H4" s="8" t="s">
        <v>160</v>
      </c>
      <c r="I4" s="8" t="s">
        <v>14</v>
      </c>
      <c r="J4" s="8" t="s">
        <v>161</v>
      </c>
      <c r="K4" s="8" t="s">
        <v>162</v>
      </c>
      <c r="L4" s="10" t="s">
        <v>163</v>
      </c>
      <c r="M4" s="8" t="s">
        <v>164</v>
      </c>
    </row>
    <row r="5" spans="1:13" ht="31.95" customHeight="1" x14ac:dyDescent="0.3">
      <c r="A5" s="9" t="s">
        <v>165</v>
      </c>
      <c r="B5" s="9" t="s">
        <v>166</v>
      </c>
      <c r="C5" s="11" t="str">
        <f t="shared" ref="C5:C32" si="0">IF(B5="","",IF(LEFT(B5,2)="10","10",LEFT(B5,1)))</f>
        <v>4</v>
      </c>
      <c r="D5" s="9" t="s">
        <v>167</v>
      </c>
      <c r="E5" s="11" t="str">
        <f t="shared" ref="E5:E32" si="1">IF(A5="","",IF(OR(B5="4.1",B5="4.2"),"Sim","Não"))</f>
        <v>Sim</v>
      </c>
      <c r="F5" s="9" t="s">
        <v>168</v>
      </c>
      <c r="G5" s="9" t="s">
        <v>169</v>
      </c>
      <c r="H5" s="9" t="s">
        <v>170</v>
      </c>
      <c r="I5" s="9" t="s">
        <v>171</v>
      </c>
      <c r="J5" s="9" t="s">
        <v>172</v>
      </c>
      <c r="K5" s="9"/>
      <c r="L5" s="12">
        <f t="shared" ref="L5:L32" si="2">IF(I5="","",IF(I5="Conforme",1,IF(I5="Parcial",0.5,0)))</f>
        <v>1</v>
      </c>
      <c r="M5" s="9" t="s">
        <v>173</v>
      </c>
    </row>
    <row r="6" spans="1:13" ht="31.95" customHeight="1" x14ac:dyDescent="0.3">
      <c r="A6" s="9" t="s">
        <v>174</v>
      </c>
      <c r="B6" s="9" t="s">
        <v>175</v>
      </c>
      <c r="C6" s="11" t="str">
        <f t="shared" si="0"/>
        <v>4</v>
      </c>
      <c r="D6" s="9" t="s">
        <v>176</v>
      </c>
      <c r="E6" s="11" t="str">
        <f t="shared" si="1"/>
        <v>Sim</v>
      </c>
      <c r="F6" s="9" t="s">
        <v>168</v>
      </c>
      <c r="G6" s="9" t="s">
        <v>177</v>
      </c>
      <c r="H6" s="9" t="s">
        <v>178</v>
      </c>
      <c r="I6" s="9" t="s">
        <v>171</v>
      </c>
      <c r="J6" s="9"/>
      <c r="K6" s="9"/>
      <c r="L6" s="12">
        <f t="shared" si="2"/>
        <v>1</v>
      </c>
      <c r="M6" s="9" t="s">
        <v>173</v>
      </c>
    </row>
    <row r="7" spans="1:13" ht="31.95" customHeight="1" x14ac:dyDescent="0.3">
      <c r="A7" s="9" t="s">
        <v>179</v>
      </c>
      <c r="B7" s="9" t="s">
        <v>180</v>
      </c>
      <c r="C7" s="11" t="str">
        <f t="shared" si="0"/>
        <v>4</v>
      </c>
      <c r="D7" s="9" t="s">
        <v>181</v>
      </c>
      <c r="E7" s="11" t="str">
        <f t="shared" si="1"/>
        <v>Não</v>
      </c>
      <c r="F7" s="9" t="s">
        <v>182</v>
      </c>
      <c r="G7" s="9" t="s">
        <v>183</v>
      </c>
      <c r="H7" s="9" t="s">
        <v>184</v>
      </c>
      <c r="I7" s="9" t="s">
        <v>171</v>
      </c>
      <c r="J7" s="9" t="s">
        <v>185</v>
      </c>
      <c r="K7" s="9"/>
      <c r="L7" s="12">
        <f t="shared" si="2"/>
        <v>1</v>
      </c>
      <c r="M7" s="9" t="s">
        <v>186</v>
      </c>
    </row>
    <row r="8" spans="1:13" ht="31.95" customHeight="1" x14ac:dyDescent="0.3">
      <c r="A8" s="9" t="s">
        <v>187</v>
      </c>
      <c r="B8" s="9" t="s">
        <v>188</v>
      </c>
      <c r="C8" s="11" t="str">
        <f t="shared" si="0"/>
        <v>4</v>
      </c>
      <c r="D8" s="9" t="s">
        <v>189</v>
      </c>
      <c r="E8" s="11" t="str">
        <f t="shared" si="1"/>
        <v>Não</v>
      </c>
      <c r="F8" s="9" t="s">
        <v>168</v>
      </c>
      <c r="G8" s="9" t="s">
        <v>183</v>
      </c>
      <c r="H8" s="9" t="s">
        <v>190</v>
      </c>
      <c r="I8" s="9" t="s">
        <v>171</v>
      </c>
      <c r="J8" s="9"/>
      <c r="K8" s="9"/>
      <c r="L8" s="12">
        <f t="shared" si="2"/>
        <v>1</v>
      </c>
      <c r="M8" s="9" t="s">
        <v>173</v>
      </c>
    </row>
    <row r="9" spans="1:13" ht="31.95" customHeight="1" x14ac:dyDescent="0.3">
      <c r="A9" s="9" t="s">
        <v>191</v>
      </c>
      <c r="B9" s="9" t="s">
        <v>192</v>
      </c>
      <c r="C9" s="11" t="str">
        <f t="shared" si="0"/>
        <v>5</v>
      </c>
      <c r="D9" s="9" t="s">
        <v>193</v>
      </c>
      <c r="E9" s="11" t="str">
        <f t="shared" si="1"/>
        <v>Não</v>
      </c>
      <c r="F9" s="9" t="s">
        <v>168</v>
      </c>
      <c r="G9" s="9" t="s">
        <v>183</v>
      </c>
      <c r="H9" s="9" t="s">
        <v>194</v>
      </c>
      <c r="I9" s="9" t="s">
        <v>195</v>
      </c>
      <c r="J9" s="9" t="s">
        <v>196</v>
      </c>
      <c r="K9" s="9" t="s">
        <v>197</v>
      </c>
      <c r="L9" s="12">
        <f t="shared" si="2"/>
        <v>0.5</v>
      </c>
      <c r="M9" s="9" t="s">
        <v>173</v>
      </c>
    </row>
    <row r="10" spans="1:13" ht="31.95" customHeight="1" x14ac:dyDescent="0.3">
      <c r="A10" s="9" t="s">
        <v>198</v>
      </c>
      <c r="B10" s="9" t="s">
        <v>199</v>
      </c>
      <c r="C10" s="11" t="str">
        <f t="shared" si="0"/>
        <v>5</v>
      </c>
      <c r="D10" s="9" t="s">
        <v>200</v>
      </c>
      <c r="E10" s="11" t="str">
        <f t="shared" si="1"/>
        <v>Não</v>
      </c>
      <c r="F10" s="9" t="s">
        <v>168</v>
      </c>
      <c r="G10" s="9" t="s">
        <v>183</v>
      </c>
      <c r="H10" s="9" t="s">
        <v>201</v>
      </c>
      <c r="I10" s="9" t="s">
        <v>195</v>
      </c>
      <c r="J10" s="9" t="s">
        <v>202</v>
      </c>
      <c r="K10" s="9" t="s">
        <v>203</v>
      </c>
      <c r="L10" s="12">
        <f t="shared" si="2"/>
        <v>0.5</v>
      </c>
      <c r="M10" s="9" t="s">
        <v>173</v>
      </c>
    </row>
    <row r="11" spans="1:13" ht="31.95" customHeight="1" x14ac:dyDescent="0.3">
      <c r="A11" s="9" t="s">
        <v>204</v>
      </c>
      <c r="B11" s="9" t="s">
        <v>205</v>
      </c>
      <c r="C11" s="11" t="str">
        <f t="shared" si="0"/>
        <v>5</v>
      </c>
      <c r="D11" s="9" t="s">
        <v>206</v>
      </c>
      <c r="E11" s="11" t="str">
        <f t="shared" si="1"/>
        <v>Não</v>
      </c>
      <c r="F11" s="9" t="s">
        <v>207</v>
      </c>
      <c r="G11" s="9" t="s">
        <v>208</v>
      </c>
      <c r="H11" s="9" t="s">
        <v>209</v>
      </c>
      <c r="I11" s="9" t="s">
        <v>171</v>
      </c>
      <c r="J11" s="9" t="s">
        <v>210</v>
      </c>
      <c r="K11" s="9"/>
      <c r="L11" s="12">
        <f t="shared" si="2"/>
        <v>1</v>
      </c>
      <c r="M11" s="9" t="s">
        <v>186</v>
      </c>
    </row>
    <row r="12" spans="1:13" ht="31.95" customHeight="1" x14ac:dyDescent="0.3">
      <c r="A12" s="9" t="s">
        <v>211</v>
      </c>
      <c r="B12" s="9" t="s">
        <v>212</v>
      </c>
      <c r="C12" s="11" t="str">
        <f t="shared" si="0"/>
        <v>5</v>
      </c>
      <c r="D12" s="9" t="s">
        <v>213</v>
      </c>
      <c r="E12" s="11" t="str">
        <f t="shared" si="1"/>
        <v>Não</v>
      </c>
      <c r="F12" s="9" t="s">
        <v>168</v>
      </c>
      <c r="G12" s="9" t="s">
        <v>183</v>
      </c>
      <c r="H12" s="9" t="s">
        <v>214</v>
      </c>
      <c r="I12" s="9" t="s">
        <v>171</v>
      </c>
      <c r="J12" s="9" t="s">
        <v>215</v>
      </c>
      <c r="K12" s="9"/>
      <c r="L12" s="12">
        <f t="shared" si="2"/>
        <v>1</v>
      </c>
      <c r="M12" s="9" t="s">
        <v>173</v>
      </c>
    </row>
    <row r="13" spans="1:13" ht="31.95" customHeight="1" x14ac:dyDescent="0.3">
      <c r="A13" s="9" t="s">
        <v>216</v>
      </c>
      <c r="B13" s="9" t="s">
        <v>106</v>
      </c>
      <c r="C13" s="11" t="str">
        <f t="shared" si="0"/>
        <v>6</v>
      </c>
      <c r="D13" s="9" t="s">
        <v>217</v>
      </c>
      <c r="E13" s="11" t="str">
        <f t="shared" si="1"/>
        <v>Não</v>
      </c>
      <c r="F13" s="9" t="s">
        <v>168</v>
      </c>
      <c r="G13" s="9" t="s">
        <v>218</v>
      </c>
      <c r="H13" s="9" t="s">
        <v>104</v>
      </c>
      <c r="I13" s="9" t="s">
        <v>195</v>
      </c>
      <c r="J13" s="9" t="s">
        <v>219</v>
      </c>
      <c r="K13" s="9" t="s">
        <v>220</v>
      </c>
      <c r="L13" s="12">
        <f t="shared" si="2"/>
        <v>0.5</v>
      </c>
      <c r="M13" s="9" t="s">
        <v>173</v>
      </c>
    </row>
    <row r="14" spans="1:13" ht="31.95" customHeight="1" x14ac:dyDescent="0.3">
      <c r="A14" s="9" t="s">
        <v>221</v>
      </c>
      <c r="B14" s="9" t="s">
        <v>222</v>
      </c>
      <c r="C14" s="11" t="str">
        <f t="shared" si="0"/>
        <v>6</v>
      </c>
      <c r="D14" s="9" t="s">
        <v>223</v>
      </c>
      <c r="E14" s="11" t="str">
        <f t="shared" si="1"/>
        <v>Não</v>
      </c>
      <c r="F14" s="9" t="s">
        <v>224</v>
      </c>
      <c r="G14" s="9" t="s">
        <v>218</v>
      </c>
      <c r="H14" s="9" t="s">
        <v>225</v>
      </c>
      <c r="I14" s="9" t="s">
        <v>171</v>
      </c>
      <c r="J14" s="9" t="s">
        <v>226</v>
      </c>
      <c r="K14" s="9"/>
      <c r="L14" s="12">
        <f t="shared" si="2"/>
        <v>1</v>
      </c>
      <c r="M14" s="9" t="s">
        <v>227</v>
      </c>
    </row>
    <row r="15" spans="1:13" ht="31.95" customHeight="1" x14ac:dyDescent="0.3">
      <c r="A15" s="9" t="s">
        <v>228</v>
      </c>
      <c r="B15" s="9" t="s">
        <v>110</v>
      </c>
      <c r="C15" s="11" t="str">
        <f t="shared" si="0"/>
        <v>6</v>
      </c>
      <c r="D15" s="9" t="s">
        <v>229</v>
      </c>
      <c r="E15" s="11" t="str">
        <f t="shared" si="1"/>
        <v>Não</v>
      </c>
      <c r="F15" s="9" t="s">
        <v>230</v>
      </c>
      <c r="G15" s="9" t="s">
        <v>231</v>
      </c>
      <c r="H15" s="9" t="s">
        <v>108</v>
      </c>
      <c r="I15" s="9" t="s">
        <v>171</v>
      </c>
      <c r="J15" s="9" t="s">
        <v>232</v>
      </c>
      <c r="K15" s="9"/>
      <c r="L15" s="12">
        <f t="shared" si="2"/>
        <v>1</v>
      </c>
      <c r="M15" s="9" t="s">
        <v>186</v>
      </c>
    </row>
    <row r="16" spans="1:13" ht="31.95" customHeight="1" x14ac:dyDescent="0.3">
      <c r="A16" s="9" t="s">
        <v>233</v>
      </c>
      <c r="B16" s="9" t="s">
        <v>234</v>
      </c>
      <c r="C16" s="11" t="str">
        <f t="shared" si="0"/>
        <v>6</v>
      </c>
      <c r="D16" s="9" t="s">
        <v>235</v>
      </c>
      <c r="E16" s="11" t="str">
        <f t="shared" si="1"/>
        <v>Não</v>
      </c>
      <c r="F16" s="9" t="s">
        <v>230</v>
      </c>
      <c r="G16" s="9" t="s">
        <v>236</v>
      </c>
      <c r="H16" s="9" t="s">
        <v>237</v>
      </c>
      <c r="I16" s="9" t="s">
        <v>171</v>
      </c>
      <c r="J16" s="9"/>
      <c r="K16" s="9"/>
      <c r="L16" s="12">
        <f t="shared" si="2"/>
        <v>1</v>
      </c>
      <c r="M16" s="9" t="s">
        <v>186</v>
      </c>
    </row>
    <row r="17" spans="1:13" ht="31.95" customHeight="1" x14ac:dyDescent="0.3">
      <c r="A17" s="9" t="s">
        <v>238</v>
      </c>
      <c r="B17" s="9" t="s">
        <v>239</v>
      </c>
      <c r="C17" s="11" t="str">
        <f t="shared" si="0"/>
        <v>6</v>
      </c>
      <c r="D17" s="9" t="s">
        <v>240</v>
      </c>
      <c r="E17" s="11" t="str">
        <f t="shared" si="1"/>
        <v>Não</v>
      </c>
      <c r="F17" s="9" t="s">
        <v>224</v>
      </c>
      <c r="G17" s="9" t="s">
        <v>236</v>
      </c>
      <c r="H17" s="9" t="s">
        <v>241</v>
      </c>
      <c r="I17" s="9" t="s">
        <v>195</v>
      </c>
      <c r="J17" s="9" t="s">
        <v>242</v>
      </c>
      <c r="K17" s="9" t="s">
        <v>243</v>
      </c>
      <c r="L17" s="12">
        <f t="shared" si="2"/>
        <v>0.5</v>
      </c>
      <c r="M17" s="9" t="s">
        <v>227</v>
      </c>
    </row>
    <row r="18" spans="1:13" ht="31.95" customHeight="1" x14ac:dyDescent="0.3">
      <c r="A18" s="9" t="s">
        <v>244</v>
      </c>
      <c r="B18" s="9" t="s">
        <v>245</v>
      </c>
      <c r="C18" s="11" t="str">
        <f t="shared" si="0"/>
        <v>6</v>
      </c>
      <c r="D18" s="9" t="s">
        <v>246</v>
      </c>
      <c r="E18" s="11" t="str">
        <f t="shared" si="1"/>
        <v>Não</v>
      </c>
      <c r="F18" s="9" t="s">
        <v>224</v>
      </c>
      <c r="G18" s="9" t="s">
        <v>247</v>
      </c>
      <c r="H18" s="9" t="s">
        <v>116</v>
      </c>
      <c r="I18" s="9" t="s">
        <v>171</v>
      </c>
      <c r="J18" s="9" t="s">
        <v>248</v>
      </c>
      <c r="K18" s="9"/>
      <c r="L18" s="12">
        <f t="shared" si="2"/>
        <v>1</v>
      </c>
      <c r="M18" s="9" t="s">
        <v>227</v>
      </c>
    </row>
    <row r="19" spans="1:13" ht="31.95" customHeight="1" x14ac:dyDescent="0.3">
      <c r="A19" s="9" t="s">
        <v>249</v>
      </c>
      <c r="B19" s="9" t="s">
        <v>250</v>
      </c>
      <c r="C19" s="11" t="str">
        <f t="shared" si="0"/>
        <v>7</v>
      </c>
      <c r="D19" s="9" t="s">
        <v>251</v>
      </c>
      <c r="E19" s="11" t="str">
        <f t="shared" si="1"/>
        <v>Não</v>
      </c>
      <c r="F19" s="9" t="s">
        <v>168</v>
      </c>
      <c r="G19" s="9" t="s">
        <v>168</v>
      </c>
      <c r="H19" s="9" t="s">
        <v>252</v>
      </c>
      <c r="I19" s="9" t="s">
        <v>171</v>
      </c>
      <c r="J19" s="9"/>
      <c r="K19" s="9"/>
      <c r="L19" s="12">
        <f t="shared" si="2"/>
        <v>1</v>
      </c>
      <c r="M19" s="9" t="s">
        <v>173</v>
      </c>
    </row>
    <row r="20" spans="1:13" ht="31.95" customHeight="1" x14ac:dyDescent="0.3">
      <c r="A20" s="9" t="s">
        <v>253</v>
      </c>
      <c r="B20" s="9" t="s">
        <v>254</v>
      </c>
      <c r="C20" s="11" t="str">
        <f t="shared" si="0"/>
        <v>7</v>
      </c>
      <c r="D20" s="9" t="s">
        <v>255</v>
      </c>
      <c r="E20" s="11" t="str">
        <f t="shared" si="1"/>
        <v>Não</v>
      </c>
      <c r="F20" s="9" t="s">
        <v>224</v>
      </c>
      <c r="G20" s="9" t="s">
        <v>256</v>
      </c>
      <c r="H20" s="9" t="s">
        <v>257</v>
      </c>
      <c r="I20" s="9" t="s">
        <v>171</v>
      </c>
      <c r="J20" s="9"/>
      <c r="K20" s="9"/>
      <c r="L20" s="12">
        <f t="shared" si="2"/>
        <v>1</v>
      </c>
      <c r="M20" s="9" t="s">
        <v>227</v>
      </c>
    </row>
    <row r="21" spans="1:13" ht="31.95" customHeight="1" x14ac:dyDescent="0.3">
      <c r="A21" s="9" t="s">
        <v>258</v>
      </c>
      <c r="B21" s="9" t="s">
        <v>259</v>
      </c>
      <c r="C21" s="11" t="str">
        <f t="shared" si="0"/>
        <v>7</v>
      </c>
      <c r="D21" s="9" t="s">
        <v>260</v>
      </c>
      <c r="E21" s="11" t="str">
        <f t="shared" si="1"/>
        <v>Não</v>
      </c>
      <c r="F21" s="9" t="s">
        <v>168</v>
      </c>
      <c r="G21" s="9" t="s">
        <v>256</v>
      </c>
      <c r="H21" s="9" t="s">
        <v>261</v>
      </c>
      <c r="I21" s="9" t="s">
        <v>171</v>
      </c>
      <c r="J21" s="9"/>
      <c r="K21" s="9"/>
      <c r="L21" s="12">
        <f t="shared" si="2"/>
        <v>1</v>
      </c>
      <c r="M21" s="9" t="s">
        <v>173</v>
      </c>
    </row>
    <row r="22" spans="1:13" ht="31.95" customHeight="1" x14ac:dyDescent="0.3">
      <c r="A22" s="9" t="s">
        <v>262</v>
      </c>
      <c r="B22" s="9" t="s">
        <v>263</v>
      </c>
      <c r="C22" s="11" t="str">
        <f t="shared" si="0"/>
        <v>7</v>
      </c>
      <c r="D22" s="9" t="s">
        <v>264</v>
      </c>
      <c r="E22" s="11" t="str">
        <f t="shared" si="1"/>
        <v>Não</v>
      </c>
      <c r="F22" s="9" t="s">
        <v>265</v>
      </c>
      <c r="G22" s="9" t="s">
        <v>256</v>
      </c>
      <c r="H22" s="9" t="s">
        <v>266</v>
      </c>
      <c r="I22" s="9" t="s">
        <v>171</v>
      </c>
      <c r="J22" s="9" t="s">
        <v>267</v>
      </c>
      <c r="K22" s="9"/>
      <c r="L22" s="12">
        <f t="shared" si="2"/>
        <v>1</v>
      </c>
      <c r="M22" s="9" t="s">
        <v>173</v>
      </c>
    </row>
    <row r="23" spans="1:13" ht="31.95" customHeight="1" x14ac:dyDescent="0.3">
      <c r="A23" s="9" t="s">
        <v>268</v>
      </c>
      <c r="B23" s="9" t="s">
        <v>269</v>
      </c>
      <c r="C23" s="11" t="str">
        <f t="shared" si="0"/>
        <v>7</v>
      </c>
      <c r="D23" s="9" t="s">
        <v>270</v>
      </c>
      <c r="E23" s="11" t="str">
        <f t="shared" si="1"/>
        <v>Não</v>
      </c>
      <c r="F23" s="9" t="s">
        <v>168</v>
      </c>
      <c r="G23" s="9" t="s">
        <v>271</v>
      </c>
      <c r="H23" s="9" t="s">
        <v>272</v>
      </c>
      <c r="I23" s="9" t="s">
        <v>195</v>
      </c>
      <c r="J23" s="9" t="s">
        <v>273</v>
      </c>
      <c r="K23" s="9" t="s">
        <v>168</v>
      </c>
      <c r="L23" s="12">
        <f t="shared" si="2"/>
        <v>0.5</v>
      </c>
      <c r="M23" s="9" t="s">
        <v>173</v>
      </c>
    </row>
    <row r="24" spans="1:13" ht="31.95" customHeight="1" x14ac:dyDescent="0.3">
      <c r="A24" s="9" t="s">
        <v>274</v>
      </c>
      <c r="B24" s="9" t="s">
        <v>126</v>
      </c>
      <c r="C24" s="11" t="str">
        <f t="shared" si="0"/>
        <v>8</v>
      </c>
      <c r="D24" s="9" t="s">
        <v>275</v>
      </c>
      <c r="E24" s="11" t="str">
        <f t="shared" si="1"/>
        <v>Não</v>
      </c>
      <c r="F24" s="9" t="s">
        <v>276</v>
      </c>
      <c r="G24" s="9" t="s">
        <v>277</v>
      </c>
      <c r="H24" s="9" t="s">
        <v>124</v>
      </c>
      <c r="I24" s="9" t="s">
        <v>171</v>
      </c>
      <c r="J24" s="9" t="s">
        <v>278</v>
      </c>
      <c r="K24" s="9"/>
      <c r="L24" s="12">
        <f t="shared" si="2"/>
        <v>1</v>
      </c>
      <c r="M24" s="9" t="s">
        <v>227</v>
      </c>
    </row>
    <row r="25" spans="1:13" ht="31.95" customHeight="1" x14ac:dyDescent="0.3">
      <c r="A25" s="9" t="s">
        <v>279</v>
      </c>
      <c r="B25" s="9" t="s">
        <v>280</v>
      </c>
      <c r="C25" s="11" t="str">
        <f t="shared" si="0"/>
        <v>8</v>
      </c>
      <c r="D25" s="9" t="s">
        <v>281</v>
      </c>
      <c r="E25" s="11" t="str">
        <f t="shared" si="1"/>
        <v>Não</v>
      </c>
      <c r="F25" s="9" t="s">
        <v>224</v>
      </c>
      <c r="G25" s="9" t="s">
        <v>282</v>
      </c>
      <c r="H25" s="9" t="s">
        <v>283</v>
      </c>
      <c r="I25" s="9" t="s">
        <v>284</v>
      </c>
      <c r="J25" s="9" t="s">
        <v>285</v>
      </c>
      <c r="K25" s="9" t="s">
        <v>203</v>
      </c>
      <c r="L25" s="12">
        <f t="shared" si="2"/>
        <v>0</v>
      </c>
      <c r="M25" s="9" t="s">
        <v>227</v>
      </c>
    </row>
    <row r="26" spans="1:13" ht="31.95" customHeight="1" x14ac:dyDescent="0.3">
      <c r="A26" s="9" t="s">
        <v>286</v>
      </c>
      <c r="B26" s="9" t="s">
        <v>287</v>
      </c>
      <c r="C26" s="11" t="str">
        <f t="shared" si="0"/>
        <v>8</v>
      </c>
      <c r="D26" s="9" t="s">
        <v>288</v>
      </c>
      <c r="E26" s="11" t="str">
        <f t="shared" si="1"/>
        <v>Não</v>
      </c>
      <c r="F26" s="9" t="s">
        <v>168</v>
      </c>
      <c r="G26" s="9" t="s">
        <v>282</v>
      </c>
      <c r="H26" s="9" t="s">
        <v>289</v>
      </c>
      <c r="I26" s="9" t="s">
        <v>195</v>
      </c>
      <c r="J26" s="9" t="s">
        <v>290</v>
      </c>
      <c r="K26" s="9" t="s">
        <v>291</v>
      </c>
      <c r="L26" s="12">
        <f t="shared" si="2"/>
        <v>0.5</v>
      </c>
      <c r="M26" s="9" t="s">
        <v>173</v>
      </c>
    </row>
    <row r="27" spans="1:13" ht="31.95" customHeight="1" x14ac:dyDescent="0.3">
      <c r="A27" s="9" t="s">
        <v>292</v>
      </c>
      <c r="B27" s="9" t="s">
        <v>293</v>
      </c>
      <c r="C27" s="11" t="str">
        <f t="shared" si="0"/>
        <v>9</v>
      </c>
      <c r="D27" s="9" t="s">
        <v>294</v>
      </c>
      <c r="E27" s="11" t="str">
        <f t="shared" si="1"/>
        <v>Não</v>
      </c>
      <c r="F27" s="9" t="s">
        <v>224</v>
      </c>
      <c r="G27" s="9" t="s">
        <v>295</v>
      </c>
      <c r="H27" s="9" t="s">
        <v>296</v>
      </c>
      <c r="I27" s="9" t="s">
        <v>171</v>
      </c>
      <c r="J27" s="9" t="s">
        <v>297</v>
      </c>
      <c r="K27" s="9"/>
      <c r="L27" s="12">
        <f t="shared" si="2"/>
        <v>1</v>
      </c>
      <c r="M27" s="9" t="s">
        <v>227</v>
      </c>
    </row>
    <row r="28" spans="1:13" ht="31.95" customHeight="1" x14ac:dyDescent="0.3">
      <c r="A28" s="9" t="s">
        <v>298</v>
      </c>
      <c r="B28" s="9" t="s">
        <v>299</v>
      </c>
      <c r="C28" s="11" t="str">
        <f t="shared" si="0"/>
        <v>9</v>
      </c>
      <c r="D28" s="9" t="s">
        <v>300</v>
      </c>
      <c r="E28" s="11" t="str">
        <f t="shared" si="1"/>
        <v>Não</v>
      </c>
      <c r="F28" s="9" t="s">
        <v>224</v>
      </c>
      <c r="G28" s="9" t="s">
        <v>301</v>
      </c>
      <c r="H28" s="9" t="s">
        <v>132</v>
      </c>
      <c r="I28" s="9" t="s">
        <v>171</v>
      </c>
      <c r="J28" s="9" t="s">
        <v>302</v>
      </c>
      <c r="K28" s="9"/>
      <c r="L28" s="12">
        <f t="shared" si="2"/>
        <v>1</v>
      </c>
      <c r="M28" s="9" t="s">
        <v>227</v>
      </c>
    </row>
    <row r="29" spans="1:13" ht="31.95" customHeight="1" x14ac:dyDescent="0.3">
      <c r="A29" s="9" t="s">
        <v>303</v>
      </c>
      <c r="B29" s="9" t="s">
        <v>142</v>
      </c>
      <c r="C29" s="11" t="str">
        <f t="shared" si="0"/>
        <v>9</v>
      </c>
      <c r="D29" s="9" t="s">
        <v>304</v>
      </c>
      <c r="E29" s="11" t="str">
        <f t="shared" si="1"/>
        <v>Não</v>
      </c>
      <c r="F29" s="9" t="s">
        <v>224</v>
      </c>
      <c r="G29" s="9" t="s">
        <v>305</v>
      </c>
      <c r="H29" s="9" t="s">
        <v>140</v>
      </c>
      <c r="I29" s="9" t="s">
        <v>171</v>
      </c>
      <c r="J29" s="9" t="s">
        <v>306</v>
      </c>
      <c r="K29" s="9"/>
      <c r="L29" s="12">
        <f t="shared" si="2"/>
        <v>1</v>
      </c>
      <c r="M29" s="9" t="s">
        <v>227</v>
      </c>
    </row>
    <row r="30" spans="1:13" ht="31.95" customHeight="1" x14ac:dyDescent="0.3">
      <c r="A30" s="9" t="s">
        <v>307</v>
      </c>
      <c r="B30" s="9" t="s">
        <v>146</v>
      </c>
      <c r="C30" s="11" t="str">
        <f t="shared" si="0"/>
        <v>9</v>
      </c>
      <c r="D30" s="9" t="s">
        <v>308</v>
      </c>
      <c r="E30" s="11" t="str">
        <f t="shared" si="1"/>
        <v>Não</v>
      </c>
      <c r="F30" s="9" t="s">
        <v>224</v>
      </c>
      <c r="G30" s="9" t="s">
        <v>305</v>
      </c>
      <c r="H30" s="9" t="s">
        <v>144</v>
      </c>
      <c r="I30" s="9" t="s">
        <v>171</v>
      </c>
      <c r="J30" s="9" t="s">
        <v>309</v>
      </c>
      <c r="K30" s="9"/>
      <c r="L30" s="12">
        <f t="shared" si="2"/>
        <v>1</v>
      </c>
      <c r="M30" s="9" t="s">
        <v>227</v>
      </c>
    </row>
    <row r="31" spans="1:13" ht="31.95" customHeight="1" x14ac:dyDescent="0.3">
      <c r="A31" s="9" t="s">
        <v>310</v>
      </c>
      <c r="B31" s="9" t="s">
        <v>311</v>
      </c>
      <c r="C31" s="11" t="str">
        <f t="shared" si="0"/>
        <v>10</v>
      </c>
      <c r="D31" s="9" t="s">
        <v>312</v>
      </c>
      <c r="E31" s="11" t="str">
        <f t="shared" si="1"/>
        <v>Não</v>
      </c>
      <c r="F31" s="9" t="s">
        <v>224</v>
      </c>
      <c r="G31" s="9" t="s">
        <v>313</v>
      </c>
      <c r="H31" s="9" t="s">
        <v>314</v>
      </c>
      <c r="I31" s="9" t="s">
        <v>171</v>
      </c>
      <c r="J31" s="9" t="s">
        <v>315</v>
      </c>
      <c r="K31" s="9"/>
      <c r="L31" s="12">
        <f t="shared" si="2"/>
        <v>1</v>
      </c>
      <c r="M31" s="9" t="s">
        <v>227</v>
      </c>
    </row>
    <row r="32" spans="1:13" ht="31.95" customHeight="1" x14ac:dyDescent="0.3">
      <c r="A32" s="9" t="s">
        <v>316</v>
      </c>
      <c r="B32" s="9" t="s">
        <v>317</v>
      </c>
      <c r="C32" s="11" t="str">
        <f t="shared" si="0"/>
        <v>10</v>
      </c>
      <c r="D32" s="9" t="s">
        <v>318</v>
      </c>
      <c r="E32" s="11" t="str">
        <f t="shared" si="1"/>
        <v>Não</v>
      </c>
      <c r="F32" s="9" t="s">
        <v>168</v>
      </c>
      <c r="G32" s="9" t="s">
        <v>313</v>
      </c>
      <c r="H32" s="9" t="s">
        <v>319</v>
      </c>
      <c r="I32" s="9" t="s">
        <v>195</v>
      </c>
      <c r="J32" s="9" t="s">
        <v>320</v>
      </c>
      <c r="K32" s="9" t="s">
        <v>321</v>
      </c>
      <c r="L32" s="12">
        <f t="shared" si="2"/>
        <v>0.5</v>
      </c>
      <c r="M32" s="9" t="s">
        <v>173</v>
      </c>
    </row>
  </sheetData>
  <conditionalFormatting sqref="I5:I232">
    <cfRule type="expression" dxfId="21" priority="1">
      <formula>ISNUMBER(SEARCH("Conforme",I5))</formula>
    </cfRule>
    <cfRule type="expression" dxfId="20" priority="2">
      <formula>ISNUMBER(SEARCH("Parcial",I5))</formula>
    </cfRule>
    <cfRule type="expression" dxfId="19" priority="3">
      <formula>ISNUMBER(SEARCH("Lacuna",I5))</formula>
    </cfRule>
  </conditionalFormatting>
  <conditionalFormatting sqref="M5:M232">
    <cfRule type="expression" dxfId="18" priority="4">
      <formula>ISNUMBER(SEARCH("A",M5))</formula>
    </cfRule>
    <cfRule type="expression" dxfId="17" priority="5">
      <formula>ISNUMBER(SEARCH("B",M5))</formula>
    </cfRule>
  </conditionalFormatting>
  <dataValidations count="2">
    <dataValidation type="list" allowBlank="1" showErrorMessage="1" errorTitle="Valor inválido" error="Valor fora da lista controlada (ver folha Listas)." sqref="I5:I232" xr:uid="{00000000-0002-0000-0200-000000000000}">
      <formula1>lst_Estado</formula1>
    </dataValidation>
    <dataValidation type="list" allowBlank="1" showErrorMessage="1" errorTitle="Valor inválido" error="Valor fora da lista controlada (ver folha Listas)." sqref="M5:M232" xr:uid="{00000000-0002-0000-0200-000001000000}">
      <formula1>lst_Classe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G11"/>
  <sheetViews>
    <sheetView showGridLines="0" workbookViewId="0"/>
  </sheetViews>
  <sheetFormatPr defaultRowHeight="14.4" x14ac:dyDescent="0.3"/>
  <cols>
    <col min="1" max="1" width="10" customWidth="1"/>
    <col min="2" max="2" width="26" customWidth="1"/>
    <col min="3" max="3" width="11" customWidth="1"/>
    <col min="4" max="6" width="10" customWidth="1"/>
    <col min="7" max="7" width="12" customWidth="1"/>
  </cols>
  <sheetData>
    <row r="1" spans="1:7" ht="17.399999999999999" x14ac:dyDescent="0.3">
      <c r="A1" s="1" t="s">
        <v>322</v>
      </c>
    </row>
    <row r="2" spans="1:7" x14ac:dyDescent="0.3">
      <c r="A2" s="2" t="s">
        <v>323</v>
      </c>
    </row>
    <row r="3" spans="1:7" x14ac:dyDescent="0.3">
      <c r="A3" s="8" t="s">
        <v>324</v>
      </c>
      <c r="B3" s="8" t="s">
        <v>325</v>
      </c>
      <c r="C3" s="8" t="s">
        <v>326</v>
      </c>
      <c r="D3" s="8" t="s">
        <v>171</v>
      </c>
      <c r="E3" s="8" t="s">
        <v>195</v>
      </c>
      <c r="F3" s="8" t="s">
        <v>284</v>
      </c>
      <c r="G3" s="8" t="s">
        <v>327</v>
      </c>
    </row>
    <row r="4" spans="1:7" x14ac:dyDescent="0.3">
      <c r="A4" s="13" t="s">
        <v>328</v>
      </c>
      <c r="B4" s="13" t="s">
        <v>329</v>
      </c>
      <c r="C4" s="14">
        <f>COUNTIF(tbl_matriz_iso[Grupo],A4)</f>
        <v>4</v>
      </c>
      <c r="D4" s="14">
        <f>COUNTIFS(tbl_matriz_iso[Grupo],A4,tbl_matriz_iso[Estado],"Conforme")</f>
        <v>4</v>
      </c>
      <c r="E4" s="14">
        <f>COUNTIFS(tbl_matriz_iso[Grupo],A4,tbl_matriz_iso[Estado],"Parcial")</f>
        <v>0</v>
      </c>
      <c r="F4" s="14">
        <f>COUNTIFS(tbl_matriz_iso[Grupo],A4,tbl_matriz_iso[Estado],"Lacuna")</f>
        <v>0</v>
      </c>
      <c r="G4" s="15">
        <f>IFERROR(SUMIFS(tbl_matriz_iso[Pontos],tbl_matriz_iso[Grupo],A4)/C4,"")</f>
        <v>1</v>
      </c>
    </row>
    <row r="5" spans="1:7" x14ac:dyDescent="0.3">
      <c r="A5" s="13" t="s">
        <v>330</v>
      </c>
      <c r="B5" s="13" t="s">
        <v>331</v>
      </c>
      <c r="C5" s="14">
        <f>COUNTIF(tbl_matriz_iso[Grupo],A5)</f>
        <v>4</v>
      </c>
      <c r="D5" s="14">
        <f>COUNTIFS(tbl_matriz_iso[Grupo],A5,tbl_matriz_iso[Estado],"Conforme")</f>
        <v>2</v>
      </c>
      <c r="E5" s="14">
        <f>COUNTIFS(tbl_matriz_iso[Grupo],A5,tbl_matriz_iso[Estado],"Parcial")</f>
        <v>2</v>
      </c>
      <c r="F5" s="14">
        <f>COUNTIFS(tbl_matriz_iso[Grupo],A5,tbl_matriz_iso[Estado],"Lacuna")</f>
        <v>0</v>
      </c>
      <c r="G5" s="15">
        <f>IFERROR(SUMIFS(tbl_matriz_iso[Pontos],tbl_matriz_iso[Grupo],A5)/C5,"")</f>
        <v>0.75</v>
      </c>
    </row>
    <row r="6" spans="1:7" x14ac:dyDescent="0.3">
      <c r="A6" s="13" t="s">
        <v>332</v>
      </c>
      <c r="B6" s="13" t="s">
        <v>333</v>
      </c>
      <c r="C6" s="14">
        <f>COUNTIF(tbl_matriz_iso[Grupo],A6)</f>
        <v>6</v>
      </c>
      <c r="D6" s="14">
        <f>COUNTIFS(tbl_matriz_iso[Grupo],A6,tbl_matriz_iso[Estado],"Conforme")</f>
        <v>4</v>
      </c>
      <c r="E6" s="14">
        <f>COUNTIFS(tbl_matriz_iso[Grupo],A6,tbl_matriz_iso[Estado],"Parcial")</f>
        <v>2</v>
      </c>
      <c r="F6" s="14">
        <f>COUNTIFS(tbl_matriz_iso[Grupo],A6,tbl_matriz_iso[Estado],"Lacuna")</f>
        <v>0</v>
      </c>
      <c r="G6" s="15">
        <f>IFERROR(SUMIFS(tbl_matriz_iso[Pontos],tbl_matriz_iso[Grupo],A6)/C6,"")</f>
        <v>0.83333333333333337</v>
      </c>
    </row>
    <row r="7" spans="1:7" x14ac:dyDescent="0.3">
      <c r="A7" s="13" t="s">
        <v>334</v>
      </c>
      <c r="B7" s="13" t="s">
        <v>335</v>
      </c>
      <c r="C7" s="14">
        <f>COUNTIF(tbl_matriz_iso[Grupo],A7)</f>
        <v>5</v>
      </c>
      <c r="D7" s="14">
        <f>COUNTIFS(tbl_matriz_iso[Grupo],A7,tbl_matriz_iso[Estado],"Conforme")</f>
        <v>4</v>
      </c>
      <c r="E7" s="14">
        <f>COUNTIFS(tbl_matriz_iso[Grupo],A7,tbl_matriz_iso[Estado],"Parcial")</f>
        <v>1</v>
      </c>
      <c r="F7" s="14">
        <f>COUNTIFS(tbl_matriz_iso[Grupo],A7,tbl_matriz_iso[Estado],"Lacuna")</f>
        <v>0</v>
      </c>
      <c r="G7" s="15">
        <f>IFERROR(SUMIFS(tbl_matriz_iso[Pontos],tbl_matriz_iso[Grupo],A7)/C7,"")</f>
        <v>0.9</v>
      </c>
    </row>
    <row r="8" spans="1:7" x14ac:dyDescent="0.3">
      <c r="A8" s="13" t="s">
        <v>336</v>
      </c>
      <c r="B8" s="13" t="s">
        <v>337</v>
      </c>
      <c r="C8" s="14">
        <f>COUNTIF(tbl_matriz_iso[Grupo],A8)</f>
        <v>3</v>
      </c>
      <c r="D8" s="14">
        <f>COUNTIFS(tbl_matriz_iso[Grupo],A8,tbl_matriz_iso[Estado],"Conforme")</f>
        <v>1</v>
      </c>
      <c r="E8" s="14">
        <f>COUNTIFS(tbl_matriz_iso[Grupo],A8,tbl_matriz_iso[Estado],"Parcial")</f>
        <v>1</v>
      </c>
      <c r="F8" s="14">
        <f>COUNTIFS(tbl_matriz_iso[Grupo],A8,tbl_matriz_iso[Estado],"Lacuna")</f>
        <v>1</v>
      </c>
      <c r="G8" s="15">
        <f>IFERROR(SUMIFS(tbl_matriz_iso[Pontos],tbl_matriz_iso[Grupo],A8)/C8,"")</f>
        <v>0.5</v>
      </c>
    </row>
    <row r="9" spans="1:7" x14ac:dyDescent="0.3">
      <c r="A9" s="13" t="s">
        <v>338</v>
      </c>
      <c r="B9" s="13" t="s">
        <v>339</v>
      </c>
      <c r="C9" s="14">
        <f>COUNTIF(tbl_matriz_iso[Grupo],A9)</f>
        <v>4</v>
      </c>
      <c r="D9" s="14">
        <f>COUNTIFS(tbl_matriz_iso[Grupo],A9,tbl_matriz_iso[Estado],"Conforme")</f>
        <v>4</v>
      </c>
      <c r="E9" s="14">
        <f>COUNTIFS(tbl_matriz_iso[Grupo],A9,tbl_matriz_iso[Estado],"Parcial")</f>
        <v>0</v>
      </c>
      <c r="F9" s="14">
        <f>COUNTIFS(tbl_matriz_iso[Grupo],A9,tbl_matriz_iso[Estado],"Lacuna")</f>
        <v>0</v>
      </c>
      <c r="G9" s="15">
        <f>IFERROR(SUMIFS(tbl_matriz_iso[Pontos],tbl_matriz_iso[Grupo],A9)/C9,"")</f>
        <v>1</v>
      </c>
    </row>
    <row r="10" spans="1:7" x14ac:dyDescent="0.3">
      <c r="A10" s="13" t="s">
        <v>340</v>
      </c>
      <c r="B10" s="13" t="s">
        <v>341</v>
      </c>
      <c r="C10" s="14">
        <f>COUNTIF(tbl_matriz_iso[Grupo],A10)</f>
        <v>2</v>
      </c>
      <c r="D10" s="14">
        <f>COUNTIFS(tbl_matriz_iso[Grupo],A10,tbl_matriz_iso[Estado],"Conforme")</f>
        <v>1</v>
      </c>
      <c r="E10" s="14">
        <f>COUNTIFS(tbl_matriz_iso[Grupo],A10,tbl_matriz_iso[Estado],"Parcial")</f>
        <v>1</v>
      </c>
      <c r="F10" s="14">
        <f>COUNTIFS(tbl_matriz_iso[Grupo],A10,tbl_matriz_iso[Estado],"Lacuna")</f>
        <v>0</v>
      </c>
      <c r="G10" s="15">
        <f>IFERROR(SUMIFS(tbl_matriz_iso[Pontos],tbl_matriz_iso[Grupo],A10)/C10,"")</f>
        <v>0.75</v>
      </c>
    </row>
    <row r="11" spans="1:7" x14ac:dyDescent="0.3">
      <c r="A11" s="16" t="s">
        <v>342</v>
      </c>
      <c r="C11" s="17">
        <f>SUM(C4:C10)</f>
        <v>28</v>
      </c>
      <c r="D11" s="17">
        <f>SUM(D4:D10)</f>
        <v>20</v>
      </c>
      <c r="E11" s="17">
        <f>SUM(E4:E10)</f>
        <v>7</v>
      </c>
      <c r="F11" s="17">
        <f>SUM(F4:F10)</f>
        <v>1</v>
      </c>
      <c r="G11" s="18">
        <f>IFERROR(SUM(tbl_matriz_iso[Pontos])/C11,"")</f>
        <v>0.8392857142857143</v>
      </c>
    </row>
  </sheetData>
  <conditionalFormatting sqref="G4:G11">
    <cfRule type="expression" dxfId="16" priority="1">
      <formula>G4&lt;0.75</formula>
    </cfRule>
  </conditionalFormatting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44" customWidth="1"/>
    <col min="3" max="3" width="10" customWidth="1"/>
    <col min="4" max="4" width="8" customWidth="1"/>
    <col min="5" max="5" width="10" customWidth="1"/>
    <col min="6" max="6" width="22" customWidth="1"/>
    <col min="7" max="7" width="18" customWidth="1"/>
    <col min="8" max="8" width="12" customWidth="1"/>
    <col min="9" max="9" width="18" customWidth="1"/>
    <col min="10" max="10" width="40" customWidth="1"/>
  </cols>
  <sheetData>
    <row r="1" spans="1:10" ht="17.399999999999999" x14ac:dyDescent="0.3">
      <c r="A1" s="1" t="s">
        <v>343</v>
      </c>
    </row>
    <row r="4" spans="1:10" ht="26.4" x14ac:dyDescent="0.3">
      <c r="A4" s="8" t="s">
        <v>92</v>
      </c>
      <c r="B4" s="8" t="s">
        <v>344</v>
      </c>
      <c r="C4" s="8" t="s">
        <v>345</v>
      </c>
      <c r="D4" s="8" t="s">
        <v>156</v>
      </c>
      <c r="E4" s="8" t="s">
        <v>346</v>
      </c>
      <c r="F4" s="8" t="s">
        <v>347</v>
      </c>
      <c r="G4" s="8" t="s">
        <v>348</v>
      </c>
      <c r="H4" s="8" t="s">
        <v>349</v>
      </c>
      <c r="I4" s="8" t="s">
        <v>350</v>
      </c>
      <c r="J4" s="8" t="s">
        <v>351</v>
      </c>
    </row>
    <row r="5" spans="1:10" ht="24" customHeight="1" x14ac:dyDescent="0.3">
      <c r="A5" s="9" t="s">
        <v>352</v>
      </c>
      <c r="B5" s="9" t="s">
        <v>353</v>
      </c>
      <c r="C5" s="9" t="s">
        <v>159</v>
      </c>
      <c r="D5" s="9" t="s">
        <v>180</v>
      </c>
      <c r="E5" s="9" t="s">
        <v>354</v>
      </c>
      <c r="F5" s="9" t="s">
        <v>355</v>
      </c>
      <c r="G5" s="9" t="s">
        <v>356</v>
      </c>
      <c r="H5" s="9" t="s">
        <v>357</v>
      </c>
      <c r="I5" s="9" t="s">
        <v>358</v>
      </c>
      <c r="J5" s="9" t="s">
        <v>359</v>
      </c>
    </row>
    <row r="6" spans="1:10" ht="24" customHeight="1" x14ac:dyDescent="0.3">
      <c r="A6" s="9" t="s">
        <v>360</v>
      </c>
      <c r="B6" s="9" t="s">
        <v>361</v>
      </c>
      <c r="C6" s="9" t="s">
        <v>159</v>
      </c>
      <c r="D6" s="9" t="s">
        <v>205</v>
      </c>
      <c r="E6" s="9" t="s">
        <v>354</v>
      </c>
      <c r="F6" s="9" t="s">
        <v>356</v>
      </c>
      <c r="G6" s="9" t="s">
        <v>356</v>
      </c>
      <c r="H6" s="9" t="s">
        <v>357</v>
      </c>
      <c r="I6" s="9" t="s">
        <v>358</v>
      </c>
      <c r="J6" s="9" t="s">
        <v>362</v>
      </c>
    </row>
    <row r="7" spans="1:10" ht="24" customHeight="1" x14ac:dyDescent="0.3">
      <c r="A7" s="9" t="s">
        <v>363</v>
      </c>
      <c r="B7" s="9" t="s">
        <v>364</v>
      </c>
      <c r="C7" s="9" t="s">
        <v>159</v>
      </c>
      <c r="D7" s="9" t="s">
        <v>110</v>
      </c>
      <c r="E7" s="9" t="s">
        <v>354</v>
      </c>
      <c r="F7" s="9" t="s">
        <v>355</v>
      </c>
      <c r="G7" s="9" t="s">
        <v>365</v>
      </c>
      <c r="H7" s="9" t="s">
        <v>357</v>
      </c>
      <c r="I7" s="9" t="s">
        <v>358</v>
      </c>
      <c r="J7" s="9" t="s">
        <v>366</v>
      </c>
    </row>
    <row r="8" spans="1:10" ht="24" customHeight="1" x14ac:dyDescent="0.3">
      <c r="A8" s="9" t="s">
        <v>367</v>
      </c>
      <c r="B8" s="9" t="s">
        <v>368</v>
      </c>
      <c r="C8" s="9" t="s">
        <v>159</v>
      </c>
      <c r="D8" s="9" t="s">
        <v>234</v>
      </c>
      <c r="E8" s="9" t="s">
        <v>354</v>
      </c>
      <c r="F8" s="9" t="s">
        <v>355</v>
      </c>
      <c r="G8" s="9" t="s">
        <v>365</v>
      </c>
      <c r="H8" s="9" t="s">
        <v>357</v>
      </c>
      <c r="I8" s="9" t="s">
        <v>358</v>
      </c>
      <c r="J8" s="9" t="s">
        <v>369</v>
      </c>
    </row>
    <row r="9" spans="1:10" ht="24" customHeight="1" x14ac:dyDescent="0.3">
      <c r="A9" s="9" t="s">
        <v>370</v>
      </c>
      <c r="B9" s="9" t="s">
        <v>371</v>
      </c>
      <c r="C9" s="9" t="s">
        <v>159</v>
      </c>
      <c r="D9" s="9" t="s">
        <v>126</v>
      </c>
      <c r="E9" s="9" t="s">
        <v>354</v>
      </c>
      <c r="F9" s="9" t="s">
        <v>355</v>
      </c>
      <c r="G9" s="9" t="s">
        <v>365</v>
      </c>
      <c r="H9" s="9" t="s">
        <v>357</v>
      </c>
      <c r="I9" s="9" t="s">
        <v>358</v>
      </c>
      <c r="J9" s="9" t="s">
        <v>372</v>
      </c>
    </row>
    <row r="10" spans="1:10" ht="24" customHeight="1" x14ac:dyDescent="0.3">
      <c r="A10" s="9" t="s">
        <v>373</v>
      </c>
      <c r="B10" s="9" t="s">
        <v>374</v>
      </c>
      <c r="C10" s="9" t="s">
        <v>375</v>
      </c>
      <c r="D10" s="9" t="s">
        <v>222</v>
      </c>
      <c r="E10" s="9" t="s">
        <v>376</v>
      </c>
      <c r="F10" s="9" t="s">
        <v>355</v>
      </c>
      <c r="G10" s="9" t="s">
        <v>356</v>
      </c>
      <c r="H10" s="9" t="s">
        <v>357</v>
      </c>
      <c r="I10" s="9" t="s">
        <v>377</v>
      </c>
      <c r="J10" s="9" t="s">
        <v>378</v>
      </c>
    </row>
    <row r="11" spans="1:10" ht="24" customHeight="1" x14ac:dyDescent="0.3">
      <c r="A11" s="9" t="s">
        <v>379</v>
      </c>
      <c r="B11" s="9" t="s">
        <v>380</v>
      </c>
      <c r="C11" s="9" t="s">
        <v>375</v>
      </c>
      <c r="D11" s="9" t="s">
        <v>381</v>
      </c>
      <c r="E11" s="9" t="s">
        <v>376</v>
      </c>
      <c r="F11" s="9" t="s">
        <v>355</v>
      </c>
      <c r="G11" s="9" t="s">
        <v>365</v>
      </c>
      <c r="H11" s="9" t="s">
        <v>382</v>
      </c>
      <c r="I11" s="9" t="s">
        <v>377</v>
      </c>
      <c r="J11" s="9" t="s">
        <v>383</v>
      </c>
    </row>
    <row r="12" spans="1:10" ht="24" customHeight="1" x14ac:dyDescent="0.3">
      <c r="A12" s="9" t="s">
        <v>384</v>
      </c>
      <c r="B12" s="9" t="s">
        <v>385</v>
      </c>
      <c r="C12" s="9" t="s">
        <v>375</v>
      </c>
      <c r="D12" s="9" t="s">
        <v>110</v>
      </c>
      <c r="E12" s="9" t="s">
        <v>376</v>
      </c>
      <c r="F12" s="9" t="s">
        <v>355</v>
      </c>
      <c r="G12" s="9" t="s">
        <v>365</v>
      </c>
      <c r="H12" s="9" t="s">
        <v>357</v>
      </c>
      <c r="I12" s="9" t="s">
        <v>386</v>
      </c>
      <c r="J12" s="9" t="s">
        <v>108</v>
      </c>
    </row>
    <row r="13" spans="1:10" ht="24" customHeight="1" x14ac:dyDescent="0.3">
      <c r="A13" s="9" t="s">
        <v>387</v>
      </c>
      <c r="B13" s="9" t="s">
        <v>388</v>
      </c>
      <c r="C13" s="9" t="s">
        <v>375</v>
      </c>
      <c r="D13" s="9" t="s">
        <v>234</v>
      </c>
      <c r="E13" s="9" t="s">
        <v>376</v>
      </c>
      <c r="F13" s="9" t="s">
        <v>355</v>
      </c>
      <c r="G13" s="9" t="s">
        <v>168</v>
      </c>
      <c r="H13" s="9" t="s">
        <v>382</v>
      </c>
      <c r="I13" s="9" t="s">
        <v>386</v>
      </c>
      <c r="J13" s="9" t="s">
        <v>389</v>
      </c>
    </row>
    <row r="14" spans="1:10" ht="24" customHeight="1" x14ac:dyDescent="0.3">
      <c r="A14" s="9" t="s">
        <v>390</v>
      </c>
      <c r="B14" s="9" t="s">
        <v>391</v>
      </c>
      <c r="C14" s="9" t="s">
        <v>375</v>
      </c>
      <c r="D14" s="9" t="s">
        <v>239</v>
      </c>
      <c r="E14" s="9" t="s">
        <v>376</v>
      </c>
      <c r="F14" s="9" t="s">
        <v>355</v>
      </c>
      <c r="G14" s="9" t="s">
        <v>365</v>
      </c>
      <c r="H14" s="9" t="s">
        <v>392</v>
      </c>
      <c r="I14" s="9" t="s">
        <v>386</v>
      </c>
      <c r="J14" s="9" t="s">
        <v>393</v>
      </c>
    </row>
    <row r="15" spans="1:10" ht="24" customHeight="1" x14ac:dyDescent="0.3">
      <c r="A15" s="9" t="s">
        <v>394</v>
      </c>
      <c r="B15" s="9" t="s">
        <v>395</v>
      </c>
      <c r="C15" s="9" t="s">
        <v>375</v>
      </c>
      <c r="D15" s="9" t="s">
        <v>245</v>
      </c>
      <c r="E15" s="9" t="s">
        <v>376</v>
      </c>
      <c r="F15" s="9" t="s">
        <v>355</v>
      </c>
      <c r="G15" s="9" t="s">
        <v>168</v>
      </c>
      <c r="H15" s="9" t="s">
        <v>396</v>
      </c>
      <c r="I15" s="9" t="s">
        <v>386</v>
      </c>
      <c r="J15" s="9" t="s">
        <v>116</v>
      </c>
    </row>
    <row r="16" spans="1:10" ht="24" customHeight="1" x14ac:dyDescent="0.3">
      <c r="A16" s="9" t="s">
        <v>397</v>
      </c>
      <c r="B16" s="9" t="s">
        <v>398</v>
      </c>
      <c r="C16" s="9" t="s">
        <v>375</v>
      </c>
      <c r="D16" s="9" t="s">
        <v>254</v>
      </c>
      <c r="E16" s="9" t="s">
        <v>376</v>
      </c>
      <c r="F16" s="9" t="s">
        <v>399</v>
      </c>
      <c r="G16" s="9" t="s">
        <v>168</v>
      </c>
      <c r="H16" s="9" t="s">
        <v>400</v>
      </c>
      <c r="I16" s="9" t="s">
        <v>401</v>
      </c>
      <c r="J16" s="9" t="s">
        <v>402</v>
      </c>
    </row>
    <row r="17" spans="1:10" ht="24" customHeight="1" x14ac:dyDescent="0.3">
      <c r="A17" s="9" t="s">
        <v>403</v>
      </c>
      <c r="B17" s="9" t="s">
        <v>404</v>
      </c>
      <c r="C17" s="9" t="s">
        <v>375</v>
      </c>
      <c r="D17" s="9" t="s">
        <v>263</v>
      </c>
      <c r="E17" s="9" t="s">
        <v>173</v>
      </c>
      <c r="F17" s="9" t="s">
        <v>355</v>
      </c>
      <c r="G17" s="9" t="s">
        <v>168</v>
      </c>
      <c r="H17" s="9" t="s">
        <v>396</v>
      </c>
      <c r="I17" s="9" t="s">
        <v>377</v>
      </c>
      <c r="J17" s="9" t="s">
        <v>405</v>
      </c>
    </row>
    <row r="18" spans="1:10" ht="24" customHeight="1" x14ac:dyDescent="0.3">
      <c r="A18" s="9" t="s">
        <v>406</v>
      </c>
      <c r="B18" s="9" t="s">
        <v>407</v>
      </c>
      <c r="C18" s="9" t="s">
        <v>375</v>
      </c>
      <c r="D18" s="9" t="s">
        <v>280</v>
      </c>
      <c r="E18" s="9" t="s">
        <v>376</v>
      </c>
      <c r="F18" s="9" t="s">
        <v>365</v>
      </c>
      <c r="G18" s="9" t="s">
        <v>168</v>
      </c>
      <c r="H18" s="9" t="s">
        <v>408</v>
      </c>
      <c r="I18" s="9" t="s">
        <v>409</v>
      </c>
      <c r="J18" s="9" t="s">
        <v>283</v>
      </c>
    </row>
    <row r="19" spans="1:10" ht="24" customHeight="1" x14ac:dyDescent="0.3">
      <c r="A19" s="9" t="s">
        <v>410</v>
      </c>
      <c r="B19" s="9" t="s">
        <v>411</v>
      </c>
      <c r="C19" s="9" t="s">
        <v>375</v>
      </c>
      <c r="D19" s="9" t="s">
        <v>293</v>
      </c>
      <c r="E19" s="9" t="s">
        <v>376</v>
      </c>
      <c r="F19" s="9" t="s">
        <v>355</v>
      </c>
      <c r="G19" s="9" t="s">
        <v>168</v>
      </c>
      <c r="H19" s="9" t="s">
        <v>382</v>
      </c>
      <c r="I19" s="9" t="s">
        <v>386</v>
      </c>
      <c r="J19" s="9" t="s">
        <v>412</v>
      </c>
    </row>
    <row r="20" spans="1:10" ht="24" customHeight="1" x14ac:dyDescent="0.3">
      <c r="A20" s="9" t="s">
        <v>413</v>
      </c>
      <c r="B20" s="9" t="s">
        <v>414</v>
      </c>
      <c r="C20" s="9" t="s">
        <v>375</v>
      </c>
      <c r="D20" s="9" t="s">
        <v>299</v>
      </c>
      <c r="E20" s="9" t="s">
        <v>376</v>
      </c>
      <c r="F20" s="9" t="s">
        <v>355</v>
      </c>
      <c r="G20" s="9" t="s">
        <v>168</v>
      </c>
      <c r="H20" s="9" t="s">
        <v>415</v>
      </c>
      <c r="I20" s="9" t="s">
        <v>386</v>
      </c>
      <c r="J20" s="9" t="s">
        <v>132</v>
      </c>
    </row>
    <row r="21" spans="1:10" ht="24" customHeight="1" x14ac:dyDescent="0.3">
      <c r="A21" s="9" t="s">
        <v>416</v>
      </c>
      <c r="B21" s="9" t="s">
        <v>417</v>
      </c>
      <c r="C21" s="9" t="s">
        <v>375</v>
      </c>
      <c r="D21" s="9" t="s">
        <v>142</v>
      </c>
      <c r="E21" s="9" t="s">
        <v>376</v>
      </c>
      <c r="F21" s="9" t="s">
        <v>418</v>
      </c>
      <c r="G21" s="9" t="s">
        <v>168</v>
      </c>
      <c r="H21" s="9" t="s">
        <v>357</v>
      </c>
      <c r="I21" s="9" t="s">
        <v>386</v>
      </c>
      <c r="J21" s="9" t="s">
        <v>140</v>
      </c>
    </row>
    <row r="22" spans="1:10" ht="24" customHeight="1" x14ac:dyDescent="0.3">
      <c r="A22" s="9" t="s">
        <v>419</v>
      </c>
      <c r="B22" s="9" t="s">
        <v>420</v>
      </c>
      <c r="C22" s="9" t="s">
        <v>375</v>
      </c>
      <c r="D22" s="9" t="s">
        <v>146</v>
      </c>
      <c r="E22" s="9" t="s">
        <v>376</v>
      </c>
      <c r="F22" s="9" t="s">
        <v>356</v>
      </c>
      <c r="G22" s="9" t="s">
        <v>356</v>
      </c>
      <c r="H22" s="9" t="s">
        <v>357</v>
      </c>
      <c r="I22" s="9" t="s">
        <v>386</v>
      </c>
      <c r="J22" s="9" t="s">
        <v>144</v>
      </c>
    </row>
    <row r="23" spans="1:10" ht="24" customHeight="1" x14ac:dyDescent="0.3">
      <c r="A23" s="9" t="s">
        <v>421</v>
      </c>
      <c r="B23" s="9" t="s">
        <v>422</v>
      </c>
      <c r="C23" s="9" t="s">
        <v>375</v>
      </c>
      <c r="D23" s="9" t="s">
        <v>311</v>
      </c>
      <c r="E23" s="9" t="s">
        <v>376</v>
      </c>
      <c r="F23" s="9" t="s">
        <v>355</v>
      </c>
      <c r="G23" s="9" t="s">
        <v>168</v>
      </c>
      <c r="H23" s="9" t="s">
        <v>423</v>
      </c>
      <c r="I23" s="9" t="s">
        <v>386</v>
      </c>
      <c r="J23" s="9" t="s">
        <v>148</v>
      </c>
    </row>
  </sheetData>
  <conditionalFormatting sqref="E5:E223">
    <cfRule type="expression" dxfId="15" priority="1">
      <formula>ISNUMBER(SEARCH("A",E5))</formula>
    </cfRule>
    <cfRule type="expression" dxfId="14" priority="2">
      <formula>ISNUMBER(SEARCH("B",E5))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8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2" width="50" customWidth="1"/>
    <col min="3" max="3" width="22" customWidth="1"/>
    <col min="4" max="4" width="18" customWidth="1"/>
    <col min="5" max="5" width="50" customWidth="1"/>
    <col min="6" max="6" width="30" customWidth="1"/>
    <col min="7" max="7" width="18" customWidth="1"/>
    <col min="8" max="8" width="12" customWidth="1"/>
    <col min="9" max="9" width="44" customWidth="1"/>
  </cols>
  <sheetData>
    <row r="1" spans="1:9" ht="17.399999999999999" x14ac:dyDescent="0.3">
      <c r="A1" s="1" t="s">
        <v>424</v>
      </c>
    </row>
    <row r="2" spans="1:9" x14ac:dyDescent="0.3">
      <c r="A2" s="2" t="s">
        <v>425</v>
      </c>
    </row>
    <row r="4" spans="1:9" ht="26.4" x14ac:dyDescent="0.3">
      <c r="A4" s="8" t="s">
        <v>426</v>
      </c>
      <c r="B4" s="8" t="s">
        <v>427</v>
      </c>
      <c r="C4" s="8" t="s">
        <v>428</v>
      </c>
      <c r="D4" s="8" t="s">
        <v>429</v>
      </c>
      <c r="E4" s="8" t="s">
        <v>430</v>
      </c>
      <c r="F4" s="8" t="s">
        <v>431</v>
      </c>
      <c r="G4" s="8" t="s">
        <v>432</v>
      </c>
      <c r="H4" s="8" t="s">
        <v>433</v>
      </c>
      <c r="I4" s="8" t="s">
        <v>434</v>
      </c>
    </row>
    <row r="5" spans="1:9" ht="40.049999999999997" customHeight="1" x14ac:dyDescent="0.3">
      <c r="A5" s="9" t="s">
        <v>435</v>
      </c>
      <c r="B5" s="9" t="s">
        <v>436</v>
      </c>
      <c r="C5" s="9" t="s">
        <v>437</v>
      </c>
      <c r="D5" s="9" t="s">
        <v>438</v>
      </c>
      <c r="E5" s="9" t="s">
        <v>439</v>
      </c>
      <c r="F5" s="9" t="s">
        <v>440</v>
      </c>
      <c r="G5" s="9" t="s">
        <v>441</v>
      </c>
      <c r="H5" s="9" t="s">
        <v>442</v>
      </c>
      <c r="I5" s="9"/>
    </row>
    <row r="6" spans="1:9" ht="40.049999999999997" customHeight="1" x14ac:dyDescent="0.3">
      <c r="A6" s="9" t="s">
        <v>443</v>
      </c>
      <c r="B6" s="9" t="s">
        <v>444</v>
      </c>
      <c r="C6" s="9" t="s">
        <v>445</v>
      </c>
      <c r="D6" s="9" t="s">
        <v>446</v>
      </c>
      <c r="E6" s="9" t="s">
        <v>447</v>
      </c>
      <c r="F6" s="9" t="s">
        <v>448</v>
      </c>
      <c r="G6" s="9" t="s">
        <v>449</v>
      </c>
      <c r="H6" s="9" t="s">
        <v>442</v>
      </c>
      <c r="I6" s="9" t="s">
        <v>450</v>
      </c>
    </row>
    <row r="7" spans="1:9" ht="40.049999999999997" customHeight="1" x14ac:dyDescent="0.3">
      <c r="A7" s="9" t="s">
        <v>451</v>
      </c>
      <c r="B7" s="9" t="s">
        <v>452</v>
      </c>
      <c r="C7" s="9" t="s">
        <v>445</v>
      </c>
      <c r="D7" s="9" t="s">
        <v>453</v>
      </c>
      <c r="E7" s="9" t="s">
        <v>454</v>
      </c>
      <c r="F7" s="9" t="s">
        <v>455</v>
      </c>
      <c r="G7" s="9" t="s">
        <v>456</v>
      </c>
      <c r="H7" s="9" t="s">
        <v>442</v>
      </c>
      <c r="I7" s="9"/>
    </row>
    <row r="8" spans="1:9" ht="40.049999999999997" customHeight="1" x14ac:dyDescent="0.3">
      <c r="A8" s="9" t="s">
        <v>457</v>
      </c>
      <c r="B8" s="9" t="s">
        <v>458</v>
      </c>
      <c r="C8" s="9" t="s">
        <v>459</v>
      </c>
      <c r="D8" s="9" t="s">
        <v>460</v>
      </c>
      <c r="E8" s="9" t="s">
        <v>461</v>
      </c>
      <c r="F8" s="9" t="s">
        <v>462</v>
      </c>
      <c r="G8" s="9" t="s">
        <v>463</v>
      </c>
      <c r="H8" s="9" t="s">
        <v>442</v>
      </c>
      <c r="I8" s="9"/>
    </row>
    <row r="9" spans="1:9" ht="40.049999999999997" customHeight="1" x14ac:dyDescent="0.3">
      <c r="A9" s="9" t="s">
        <v>464</v>
      </c>
      <c r="B9" s="9" t="s">
        <v>465</v>
      </c>
      <c r="C9" s="9" t="s">
        <v>466</v>
      </c>
      <c r="D9" s="9" t="s">
        <v>110</v>
      </c>
      <c r="E9" s="9" t="s">
        <v>467</v>
      </c>
      <c r="F9" s="9" t="s">
        <v>468</v>
      </c>
      <c r="G9" s="9" t="s">
        <v>469</v>
      </c>
      <c r="H9" s="9" t="s">
        <v>442</v>
      </c>
      <c r="I9" s="9" t="s">
        <v>470</v>
      </c>
    </row>
    <row r="10" spans="1:9" ht="40.049999999999997" customHeight="1" x14ac:dyDescent="0.3">
      <c r="A10" s="9" t="s">
        <v>471</v>
      </c>
      <c r="B10" s="9" t="s">
        <v>472</v>
      </c>
      <c r="C10" s="9" t="s">
        <v>473</v>
      </c>
      <c r="D10" s="9" t="s">
        <v>110</v>
      </c>
      <c r="E10" s="9" t="s">
        <v>474</v>
      </c>
      <c r="F10" s="9" t="s">
        <v>108</v>
      </c>
      <c r="G10" s="9" t="s">
        <v>168</v>
      </c>
      <c r="H10" s="9" t="s">
        <v>475</v>
      </c>
      <c r="I10" s="9"/>
    </row>
    <row r="11" spans="1:9" ht="40.049999999999997" customHeight="1" x14ac:dyDescent="0.3">
      <c r="A11" s="9" t="s">
        <v>476</v>
      </c>
      <c r="B11" s="9" t="s">
        <v>477</v>
      </c>
      <c r="C11" s="9" t="s">
        <v>466</v>
      </c>
      <c r="D11" s="9" t="s">
        <v>478</v>
      </c>
      <c r="E11" s="9" t="s">
        <v>479</v>
      </c>
      <c r="F11" s="9" t="s">
        <v>480</v>
      </c>
      <c r="G11" s="9" t="s">
        <v>168</v>
      </c>
      <c r="H11" s="9" t="s">
        <v>442</v>
      </c>
      <c r="I11" s="9"/>
    </row>
    <row r="12" spans="1:9" ht="40.049999999999997" customHeight="1" x14ac:dyDescent="0.3">
      <c r="A12" s="9" t="s">
        <v>481</v>
      </c>
      <c r="B12" s="9" t="s">
        <v>482</v>
      </c>
      <c r="C12" s="9" t="s">
        <v>483</v>
      </c>
      <c r="D12" s="9" t="s">
        <v>478</v>
      </c>
      <c r="E12" s="9" t="s">
        <v>484</v>
      </c>
      <c r="F12" s="9" t="s">
        <v>485</v>
      </c>
      <c r="G12" s="9" t="s">
        <v>486</v>
      </c>
      <c r="H12" s="9" t="s">
        <v>442</v>
      </c>
      <c r="I12" s="9"/>
    </row>
    <row r="13" spans="1:9" ht="40.049999999999997" customHeight="1" x14ac:dyDescent="0.3">
      <c r="A13" s="9" t="s">
        <v>487</v>
      </c>
      <c r="B13" s="9" t="s">
        <v>488</v>
      </c>
      <c r="C13" s="9" t="s">
        <v>489</v>
      </c>
      <c r="D13" s="9" t="s">
        <v>478</v>
      </c>
      <c r="E13" s="9" t="s">
        <v>490</v>
      </c>
      <c r="F13" s="9" t="s">
        <v>4</v>
      </c>
      <c r="G13" s="9" t="s">
        <v>491</v>
      </c>
      <c r="H13" s="9" t="s">
        <v>475</v>
      </c>
      <c r="I13" s="9" t="s">
        <v>492</v>
      </c>
    </row>
    <row r="14" spans="1:9" ht="40.049999999999997" customHeight="1" x14ac:dyDescent="0.3">
      <c r="A14" s="9" t="s">
        <v>493</v>
      </c>
      <c r="B14" s="9" t="s">
        <v>494</v>
      </c>
      <c r="C14" s="9" t="s">
        <v>495</v>
      </c>
      <c r="D14" s="9" t="s">
        <v>496</v>
      </c>
      <c r="E14" s="9" t="s">
        <v>497</v>
      </c>
      <c r="F14" s="9" t="s">
        <v>498</v>
      </c>
      <c r="G14" s="9" t="s">
        <v>499</v>
      </c>
      <c r="H14" s="9" t="s">
        <v>442</v>
      </c>
      <c r="I14" s="9"/>
    </row>
    <row r="15" spans="1:9" ht="40.049999999999997" customHeight="1" x14ac:dyDescent="0.3">
      <c r="A15" s="9" t="s">
        <v>500</v>
      </c>
      <c r="B15" s="9" t="s">
        <v>501</v>
      </c>
      <c r="C15" s="9" t="s">
        <v>502</v>
      </c>
      <c r="D15" s="9" t="s">
        <v>142</v>
      </c>
      <c r="E15" s="9" t="s">
        <v>503</v>
      </c>
      <c r="F15" s="9" t="s">
        <v>504</v>
      </c>
      <c r="G15" s="9" t="s">
        <v>505</v>
      </c>
      <c r="H15" s="9" t="s">
        <v>442</v>
      </c>
      <c r="I15" s="9"/>
    </row>
    <row r="16" spans="1:9" ht="40.049999999999997" customHeight="1" x14ac:dyDescent="0.3">
      <c r="A16" s="9" t="s">
        <v>506</v>
      </c>
      <c r="B16" s="9" t="s">
        <v>507</v>
      </c>
      <c r="C16" s="9" t="s">
        <v>508</v>
      </c>
      <c r="D16" s="9" t="s">
        <v>180</v>
      </c>
      <c r="E16" s="9" t="s">
        <v>509</v>
      </c>
      <c r="F16" s="9" t="s">
        <v>168</v>
      </c>
      <c r="G16" s="9" t="s">
        <v>168</v>
      </c>
      <c r="H16" s="9" t="s">
        <v>510</v>
      </c>
      <c r="I16" s="9"/>
    </row>
    <row r="17" spans="1:9" ht="40.049999999999997" customHeight="1" x14ac:dyDescent="0.3">
      <c r="A17" s="9" t="s">
        <v>511</v>
      </c>
      <c r="B17" s="9" t="s">
        <v>512</v>
      </c>
      <c r="C17" s="9" t="s">
        <v>513</v>
      </c>
      <c r="D17" s="9" t="s">
        <v>514</v>
      </c>
      <c r="E17" s="9" t="s">
        <v>515</v>
      </c>
      <c r="F17" s="9" t="s">
        <v>516</v>
      </c>
      <c r="G17" s="9" t="s">
        <v>517</v>
      </c>
      <c r="H17" s="9" t="s">
        <v>475</v>
      </c>
      <c r="I17" s="9" t="s">
        <v>518</v>
      </c>
    </row>
    <row r="18" spans="1:9" ht="40.049999999999997" customHeight="1" x14ac:dyDescent="0.3">
      <c r="A18" s="9" t="s">
        <v>519</v>
      </c>
      <c r="B18" s="9" t="s">
        <v>520</v>
      </c>
      <c r="C18" s="9" t="s">
        <v>521</v>
      </c>
      <c r="D18" s="9" t="s">
        <v>287</v>
      </c>
      <c r="E18" s="9" t="s">
        <v>522</v>
      </c>
      <c r="F18" s="9" t="s">
        <v>523</v>
      </c>
      <c r="G18" s="9" t="s">
        <v>168</v>
      </c>
      <c r="H18" s="9" t="s">
        <v>475</v>
      </c>
      <c r="I18" s="9" t="s">
        <v>524</v>
      </c>
    </row>
    <row r="19" spans="1:9" ht="40.049999999999997" customHeight="1" x14ac:dyDescent="0.3">
      <c r="A19" s="9" t="s">
        <v>525</v>
      </c>
      <c r="B19" s="9" t="s">
        <v>526</v>
      </c>
      <c r="C19" s="9" t="s">
        <v>527</v>
      </c>
      <c r="D19" s="9" t="s">
        <v>528</v>
      </c>
      <c r="E19" s="9" t="s">
        <v>529</v>
      </c>
      <c r="F19" s="9" t="s">
        <v>530</v>
      </c>
      <c r="G19" s="9" t="s">
        <v>531</v>
      </c>
      <c r="H19" s="9" t="s">
        <v>442</v>
      </c>
      <c r="I19" s="9"/>
    </row>
    <row r="20" spans="1:9" ht="40.049999999999997" customHeight="1" x14ac:dyDescent="0.3">
      <c r="A20" s="9" t="s">
        <v>532</v>
      </c>
      <c r="B20" s="9" t="s">
        <v>168</v>
      </c>
      <c r="C20" s="9" t="s">
        <v>168</v>
      </c>
      <c r="D20" s="9" t="s">
        <v>168</v>
      </c>
      <c r="E20" s="9" t="s">
        <v>533</v>
      </c>
      <c r="F20" s="9" t="s">
        <v>168</v>
      </c>
      <c r="G20" s="9" t="s">
        <v>168</v>
      </c>
      <c r="H20" s="9" t="s">
        <v>510</v>
      </c>
      <c r="I20" s="9" t="s">
        <v>534</v>
      </c>
    </row>
    <row r="21" spans="1:9" ht="40.049999999999997" customHeight="1" x14ac:dyDescent="0.3">
      <c r="A21" s="9" t="s">
        <v>535</v>
      </c>
      <c r="B21" s="9" t="s">
        <v>536</v>
      </c>
      <c r="C21" s="9" t="s">
        <v>537</v>
      </c>
      <c r="D21" s="9" t="s">
        <v>538</v>
      </c>
      <c r="E21" s="9" t="s">
        <v>539</v>
      </c>
      <c r="F21" s="9" t="s">
        <v>540</v>
      </c>
      <c r="G21" s="9" t="s">
        <v>541</v>
      </c>
      <c r="H21" s="9" t="s">
        <v>442</v>
      </c>
      <c r="I21" s="9"/>
    </row>
    <row r="22" spans="1:9" ht="40.049999999999997" customHeight="1" x14ac:dyDescent="0.3">
      <c r="A22" s="9" t="s">
        <v>542</v>
      </c>
      <c r="B22" s="9" t="s">
        <v>543</v>
      </c>
      <c r="C22" s="9" t="s">
        <v>544</v>
      </c>
      <c r="D22" s="9" t="s">
        <v>545</v>
      </c>
      <c r="E22" s="9" t="s">
        <v>546</v>
      </c>
      <c r="F22" s="9" t="s">
        <v>547</v>
      </c>
      <c r="G22" s="9" t="s">
        <v>548</v>
      </c>
      <c r="H22" s="9" t="s">
        <v>442</v>
      </c>
      <c r="I22" s="9"/>
    </row>
    <row r="23" spans="1:9" ht="40.049999999999997" customHeight="1" x14ac:dyDescent="0.3">
      <c r="A23" s="9" t="s">
        <v>549</v>
      </c>
      <c r="B23" s="9" t="s">
        <v>550</v>
      </c>
      <c r="C23" s="9" t="s">
        <v>551</v>
      </c>
      <c r="D23" s="9" t="s">
        <v>552</v>
      </c>
      <c r="E23" s="9" t="s">
        <v>553</v>
      </c>
      <c r="F23" s="9" t="s">
        <v>554</v>
      </c>
      <c r="G23" s="9" t="s">
        <v>555</v>
      </c>
      <c r="H23" s="9" t="s">
        <v>442</v>
      </c>
      <c r="I23" s="9"/>
    </row>
    <row r="24" spans="1:9" ht="40.049999999999997" customHeight="1" x14ac:dyDescent="0.3">
      <c r="A24" s="9" t="s">
        <v>556</v>
      </c>
      <c r="B24" s="9" t="s">
        <v>557</v>
      </c>
      <c r="C24" s="9" t="s">
        <v>558</v>
      </c>
      <c r="D24" s="9" t="s">
        <v>287</v>
      </c>
      <c r="E24" s="9" t="s">
        <v>559</v>
      </c>
      <c r="F24" s="9" t="s">
        <v>560</v>
      </c>
      <c r="G24" s="9" t="s">
        <v>561</v>
      </c>
      <c r="H24" s="9" t="s">
        <v>442</v>
      </c>
      <c r="I24" s="9"/>
    </row>
    <row r="25" spans="1:9" ht="40.049999999999997" customHeight="1" x14ac:dyDescent="0.3">
      <c r="A25" s="9" t="s">
        <v>562</v>
      </c>
      <c r="B25" s="9" t="s">
        <v>563</v>
      </c>
      <c r="C25" s="9" t="s">
        <v>564</v>
      </c>
      <c r="D25" s="9" t="s">
        <v>287</v>
      </c>
      <c r="E25" s="9" t="s">
        <v>565</v>
      </c>
      <c r="F25" s="9" t="s">
        <v>566</v>
      </c>
      <c r="G25" s="9" t="s">
        <v>168</v>
      </c>
      <c r="H25" s="9" t="s">
        <v>442</v>
      </c>
      <c r="I25" s="9"/>
    </row>
    <row r="26" spans="1:9" ht="40.049999999999997" customHeight="1" x14ac:dyDescent="0.3">
      <c r="A26" s="9" t="s">
        <v>567</v>
      </c>
      <c r="B26" s="9" t="s">
        <v>568</v>
      </c>
      <c r="C26" s="9" t="s">
        <v>569</v>
      </c>
      <c r="D26" s="9" t="s">
        <v>245</v>
      </c>
      <c r="E26" s="9" t="s">
        <v>570</v>
      </c>
      <c r="F26" s="9" t="s">
        <v>571</v>
      </c>
      <c r="G26" s="9" t="s">
        <v>168</v>
      </c>
      <c r="H26" s="9" t="s">
        <v>442</v>
      </c>
      <c r="I26" s="9"/>
    </row>
    <row r="27" spans="1:9" ht="40.049999999999997" customHeight="1" x14ac:dyDescent="0.3">
      <c r="A27" s="9" t="s">
        <v>572</v>
      </c>
      <c r="B27" s="9" t="s">
        <v>573</v>
      </c>
      <c r="C27" s="9" t="s">
        <v>574</v>
      </c>
      <c r="D27" s="9" t="s">
        <v>287</v>
      </c>
      <c r="E27" s="9" t="s">
        <v>575</v>
      </c>
      <c r="F27" s="9" t="s">
        <v>576</v>
      </c>
      <c r="G27" s="9" t="s">
        <v>577</v>
      </c>
      <c r="H27" s="9" t="s">
        <v>442</v>
      </c>
      <c r="I27" s="9"/>
    </row>
    <row r="28" spans="1:9" ht="40.049999999999997" customHeight="1" x14ac:dyDescent="0.3">
      <c r="A28" s="9" t="s">
        <v>578</v>
      </c>
      <c r="B28" s="9" t="s">
        <v>579</v>
      </c>
      <c r="C28" s="9" t="s">
        <v>580</v>
      </c>
      <c r="D28" s="9" t="s">
        <v>453</v>
      </c>
      <c r="E28" s="9" t="s">
        <v>581</v>
      </c>
      <c r="F28" s="9" t="s">
        <v>136</v>
      </c>
      <c r="G28" s="9" t="s">
        <v>168</v>
      </c>
      <c r="H28" s="9" t="s">
        <v>442</v>
      </c>
      <c r="I28" s="9"/>
    </row>
    <row r="29" spans="1:9" ht="40.049999999999997" customHeight="1" x14ac:dyDescent="0.3">
      <c r="A29" s="9" t="s">
        <v>582</v>
      </c>
      <c r="B29" s="9" t="s">
        <v>583</v>
      </c>
      <c r="C29" s="9" t="s">
        <v>580</v>
      </c>
      <c r="D29" s="9" t="s">
        <v>239</v>
      </c>
      <c r="E29" s="9" t="s">
        <v>584</v>
      </c>
      <c r="F29" s="9" t="s">
        <v>585</v>
      </c>
      <c r="G29" s="9" t="s">
        <v>168</v>
      </c>
      <c r="H29" s="9" t="s">
        <v>442</v>
      </c>
      <c r="I29" s="9"/>
    </row>
    <row r="30" spans="1:9" ht="40.049999999999997" customHeight="1" x14ac:dyDescent="0.3">
      <c r="A30" s="9" t="s">
        <v>586</v>
      </c>
      <c r="B30" s="9" t="s">
        <v>587</v>
      </c>
      <c r="C30" s="9" t="s">
        <v>588</v>
      </c>
      <c r="D30" s="9" t="s">
        <v>589</v>
      </c>
      <c r="E30" s="9" t="s">
        <v>590</v>
      </c>
      <c r="F30" s="9" t="s">
        <v>591</v>
      </c>
      <c r="G30" s="9" t="s">
        <v>168</v>
      </c>
      <c r="H30" s="9" t="s">
        <v>442</v>
      </c>
      <c r="I30" s="9"/>
    </row>
    <row r="31" spans="1:9" ht="40.049999999999997" customHeight="1" x14ac:dyDescent="0.3">
      <c r="A31" s="9" t="s">
        <v>592</v>
      </c>
      <c r="B31" s="9" t="s">
        <v>593</v>
      </c>
      <c r="C31" s="9" t="s">
        <v>588</v>
      </c>
      <c r="D31" s="9" t="s">
        <v>594</v>
      </c>
      <c r="E31" s="9" t="s">
        <v>595</v>
      </c>
      <c r="F31" s="9" t="s">
        <v>596</v>
      </c>
      <c r="G31" s="9" t="s">
        <v>168</v>
      </c>
      <c r="H31" s="9" t="s">
        <v>442</v>
      </c>
      <c r="I31" s="9"/>
    </row>
    <row r="32" spans="1:9" ht="40.049999999999997" customHeight="1" x14ac:dyDescent="0.3">
      <c r="A32" s="9" t="s">
        <v>597</v>
      </c>
      <c r="B32" s="9" t="s">
        <v>598</v>
      </c>
      <c r="C32" s="9" t="s">
        <v>599</v>
      </c>
      <c r="D32" s="9" t="s">
        <v>600</v>
      </c>
      <c r="E32" s="9" t="s">
        <v>601</v>
      </c>
      <c r="F32" s="9" t="s">
        <v>602</v>
      </c>
      <c r="G32" s="9" t="s">
        <v>603</v>
      </c>
      <c r="H32" s="9" t="s">
        <v>604</v>
      </c>
      <c r="I32" s="9"/>
    </row>
    <row r="33" spans="1:9" ht="40.049999999999997" customHeight="1" x14ac:dyDescent="0.3">
      <c r="A33" s="9" t="s">
        <v>605</v>
      </c>
      <c r="B33" s="9" t="s">
        <v>606</v>
      </c>
      <c r="C33" s="9" t="s">
        <v>599</v>
      </c>
      <c r="D33" s="9" t="s">
        <v>175</v>
      </c>
      <c r="E33" s="9" t="s">
        <v>607</v>
      </c>
      <c r="F33" s="9" t="s">
        <v>608</v>
      </c>
      <c r="G33" s="9" t="s">
        <v>609</v>
      </c>
      <c r="H33" s="9" t="s">
        <v>195</v>
      </c>
      <c r="I33" s="9"/>
    </row>
    <row r="34" spans="1:9" ht="40.049999999999997" customHeight="1" x14ac:dyDescent="0.3">
      <c r="A34" s="9" t="s">
        <v>610</v>
      </c>
      <c r="B34" s="9" t="s">
        <v>611</v>
      </c>
      <c r="C34" s="9" t="s">
        <v>599</v>
      </c>
      <c r="D34" s="9" t="s">
        <v>280</v>
      </c>
      <c r="E34" s="9" t="s">
        <v>612</v>
      </c>
      <c r="F34" s="9" t="s">
        <v>613</v>
      </c>
      <c r="G34" s="9" t="s">
        <v>168</v>
      </c>
      <c r="H34" s="9" t="s">
        <v>475</v>
      </c>
      <c r="I34" s="9"/>
    </row>
    <row r="35" spans="1:9" ht="40.049999999999997" customHeight="1" x14ac:dyDescent="0.3">
      <c r="A35" s="9" t="s">
        <v>614</v>
      </c>
      <c r="B35" s="9" t="s">
        <v>615</v>
      </c>
      <c r="C35" s="9" t="s">
        <v>599</v>
      </c>
      <c r="D35" s="9" t="s">
        <v>222</v>
      </c>
      <c r="E35" s="9" t="s">
        <v>616</v>
      </c>
      <c r="F35" s="9" t="s">
        <v>602</v>
      </c>
      <c r="G35" s="9" t="s">
        <v>168</v>
      </c>
      <c r="H35" s="9" t="s">
        <v>475</v>
      </c>
      <c r="I35" s="9"/>
    </row>
    <row r="36" spans="1:9" ht="40.049999999999997" customHeight="1" x14ac:dyDescent="0.3">
      <c r="A36" s="9" t="s">
        <v>617</v>
      </c>
      <c r="B36" s="9" t="s">
        <v>618</v>
      </c>
      <c r="C36" s="9" t="s">
        <v>619</v>
      </c>
      <c r="D36" s="9" t="s">
        <v>126</v>
      </c>
      <c r="E36" s="9" t="s">
        <v>620</v>
      </c>
      <c r="F36" s="9" t="s">
        <v>168</v>
      </c>
      <c r="G36" s="9" t="s">
        <v>168</v>
      </c>
      <c r="H36" s="9" t="s">
        <v>621</v>
      </c>
      <c r="I36" s="9" t="s">
        <v>622</v>
      </c>
    </row>
    <row r="37" spans="1:9" ht="40.049999999999997" customHeight="1" x14ac:dyDescent="0.3">
      <c r="A37" s="9" t="s">
        <v>623</v>
      </c>
      <c r="B37" s="9" t="s">
        <v>624</v>
      </c>
      <c r="C37" s="9" t="s">
        <v>625</v>
      </c>
      <c r="D37" s="9" t="s">
        <v>626</v>
      </c>
      <c r="E37" s="9" t="s">
        <v>627</v>
      </c>
      <c r="F37" s="9" t="s">
        <v>128</v>
      </c>
      <c r="G37" s="9" t="s">
        <v>168</v>
      </c>
      <c r="H37" s="9" t="s">
        <v>475</v>
      </c>
      <c r="I37" s="9"/>
    </row>
    <row r="38" spans="1:9" ht="40.049999999999997" customHeight="1" x14ac:dyDescent="0.3">
      <c r="A38" s="9" t="s">
        <v>628</v>
      </c>
      <c r="B38" s="9" t="s">
        <v>629</v>
      </c>
      <c r="C38" s="9" t="s">
        <v>625</v>
      </c>
      <c r="D38" s="9" t="s">
        <v>106</v>
      </c>
      <c r="E38" s="9" t="s">
        <v>630</v>
      </c>
      <c r="F38" s="9" t="s">
        <v>104</v>
      </c>
      <c r="G38" s="9" t="s">
        <v>168</v>
      </c>
      <c r="H38" s="9" t="s">
        <v>442</v>
      </c>
      <c r="I38" s="9"/>
    </row>
  </sheetData>
  <conditionalFormatting sqref="H5:H238">
    <cfRule type="expression" dxfId="13" priority="1">
      <formula>ISNUMBER(SEARCH("Aplicada",H5))</formula>
    </cfRule>
    <cfRule type="expression" dxfId="12" priority="2">
      <formula>ISNUMBER(SEARCH("Referência",H5))</formula>
    </cfRule>
    <cfRule type="expression" dxfId="11" priority="3">
      <formula>ISNUMBER(SEARCH("Não",H5))</formula>
    </cfRule>
    <cfRule type="expression" dxfId="10" priority="4">
      <formula>ISNUMBER(SEARCH("Parcial",H5))</formula>
    </cfRule>
  </conditionalFormatting>
  <conditionalFormatting sqref="I5:I238">
    <cfRule type="expression" dxfId="9" priority="5">
      <formula>ISNUMBER(SEARCH("Correção",I5))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7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56" customWidth="1"/>
    <col min="3" max="3" width="60" customWidth="1"/>
    <col min="4" max="4" width="56" customWidth="1"/>
    <col min="5" max="5" width="14" customWidth="1"/>
  </cols>
  <sheetData>
    <row r="1" spans="1:5" ht="17.399999999999999" x14ac:dyDescent="0.3">
      <c r="A1" s="1" t="s">
        <v>631</v>
      </c>
    </row>
    <row r="2" spans="1:5" x14ac:dyDescent="0.3">
      <c r="A2" s="2" t="s">
        <v>632</v>
      </c>
    </row>
    <row r="4" spans="1:5" x14ac:dyDescent="0.3">
      <c r="A4" s="8" t="s">
        <v>633</v>
      </c>
      <c r="B4" s="8" t="s">
        <v>634</v>
      </c>
      <c r="C4" s="8" t="s">
        <v>635</v>
      </c>
      <c r="D4" s="8" t="s">
        <v>636</v>
      </c>
      <c r="E4" s="8" t="s">
        <v>345</v>
      </c>
    </row>
    <row r="5" spans="1:5" ht="30" customHeight="1" x14ac:dyDescent="0.3">
      <c r="A5" s="9" t="s">
        <v>637</v>
      </c>
      <c r="B5" s="9" t="s">
        <v>638</v>
      </c>
      <c r="C5" s="9" t="s">
        <v>639</v>
      </c>
      <c r="D5" s="9" t="s">
        <v>640</v>
      </c>
      <c r="E5" s="9" t="s">
        <v>156</v>
      </c>
    </row>
    <row r="6" spans="1:5" ht="30" customHeight="1" x14ac:dyDescent="0.3">
      <c r="A6" s="9" t="s">
        <v>641</v>
      </c>
      <c r="B6" s="9" t="s">
        <v>642</v>
      </c>
      <c r="C6" s="9" t="s">
        <v>643</v>
      </c>
      <c r="D6" s="9" t="s">
        <v>644</v>
      </c>
      <c r="E6" s="9" t="s">
        <v>156</v>
      </c>
    </row>
    <row r="7" spans="1:5" ht="30" customHeight="1" x14ac:dyDescent="0.3">
      <c r="A7" s="9" t="s">
        <v>645</v>
      </c>
      <c r="B7" s="9" t="s">
        <v>646</v>
      </c>
      <c r="C7" s="9" t="s">
        <v>647</v>
      </c>
      <c r="D7" s="9" t="s">
        <v>648</v>
      </c>
      <c r="E7" s="9" t="s">
        <v>459</v>
      </c>
    </row>
    <row r="8" spans="1:5" ht="30" customHeight="1" x14ac:dyDescent="0.3">
      <c r="A8" s="9" t="s">
        <v>649</v>
      </c>
      <c r="B8" s="9" t="s">
        <v>650</v>
      </c>
      <c r="C8" s="9" t="s">
        <v>651</v>
      </c>
      <c r="D8" s="9" t="s">
        <v>652</v>
      </c>
      <c r="E8" s="9" t="s">
        <v>459</v>
      </c>
    </row>
    <row r="9" spans="1:5" ht="30" customHeight="1" x14ac:dyDescent="0.3">
      <c r="A9" s="9" t="s">
        <v>653</v>
      </c>
      <c r="B9" s="9" t="s">
        <v>654</v>
      </c>
      <c r="C9" s="9" t="s">
        <v>651</v>
      </c>
      <c r="D9" s="9" t="s">
        <v>655</v>
      </c>
      <c r="E9" s="9" t="s">
        <v>459</v>
      </c>
    </row>
    <row r="10" spans="1:5" ht="30" customHeight="1" x14ac:dyDescent="0.3">
      <c r="A10" s="9" t="s">
        <v>656</v>
      </c>
      <c r="B10" s="9" t="s">
        <v>657</v>
      </c>
      <c r="C10" s="9" t="s">
        <v>658</v>
      </c>
      <c r="D10" s="9" t="s">
        <v>659</v>
      </c>
      <c r="E10" s="9" t="s">
        <v>459</v>
      </c>
    </row>
    <row r="11" spans="1:5" ht="30" customHeight="1" x14ac:dyDescent="0.3">
      <c r="A11" s="9" t="s">
        <v>660</v>
      </c>
      <c r="B11" s="9" t="s">
        <v>493</v>
      </c>
      <c r="C11" s="9" t="s">
        <v>661</v>
      </c>
      <c r="D11" s="9" t="s">
        <v>662</v>
      </c>
      <c r="E11" s="9" t="s">
        <v>663</v>
      </c>
    </row>
    <row r="12" spans="1:5" ht="30" customHeight="1" x14ac:dyDescent="0.3">
      <c r="A12" s="9" t="s">
        <v>664</v>
      </c>
      <c r="B12" s="9" t="s">
        <v>451</v>
      </c>
      <c r="C12" s="9" t="s">
        <v>665</v>
      </c>
      <c r="D12" s="9" t="s">
        <v>666</v>
      </c>
      <c r="E12" s="9" t="s">
        <v>459</v>
      </c>
    </row>
    <row r="13" spans="1:5" ht="30" customHeight="1" x14ac:dyDescent="0.3">
      <c r="A13" s="9" t="s">
        <v>667</v>
      </c>
      <c r="B13" s="9" t="s">
        <v>525</v>
      </c>
      <c r="C13" s="9" t="s">
        <v>668</v>
      </c>
      <c r="D13" s="9" t="s">
        <v>669</v>
      </c>
      <c r="E13" s="9" t="s">
        <v>459</v>
      </c>
    </row>
    <row r="14" spans="1:5" ht="30" customHeight="1" x14ac:dyDescent="0.3">
      <c r="A14" s="9" t="s">
        <v>670</v>
      </c>
      <c r="B14" s="9" t="s">
        <v>487</v>
      </c>
      <c r="C14" s="9" t="s">
        <v>671</v>
      </c>
      <c r="D14" s="9" t="s">
        <v>672</v>
      </c>
      <c r="E14" s="9" t="s">
        <v>459</v>
      </c>
    </row>
    <row r="15" spans="1:5" ht="30" customHeight="1" x14ac:dyDescent="0.3">
      <c r="A15" s="9" t="s">
        <v>673</v>
      </c>
      <c r="B15" s="9" t="s">
        <v>511</v>
      </c>
      <c r="C15" s="9" t="s">
        <v>674</v>
      </c>
      <c r="D15" s="9" t="s">
        <v>675</v>
      </c>
      <c r="E15" s="9" t="s">
        <v>459</v>
      </c>
    </row>
    <row r="16" spans="1:5" ht="30" customHeight="1" x14ac:dyDescent="0.3">
      <c r="A16" s="9" t="s">
        <v>676</v>
      </c>
      <c r="B16" s="9" t="s">
        <v>677</v>
      </c>
      <c r="C16" s="9" t="s">
        <v>678</v>
      </c>
      <c r="D16" s="9" t="s">
        <v>679</v>
      </c>
      <c r="E16" s="9" t="s">
        <v>459</v>
      </c>
    </row>
    <row r="17" spans="1:5" ht="30" customHeight="1" x14ac:dyDescent="0.3">
      <c r="A17" s="9" t="s">
        <v>680</v>
      </c>
      <c r="B17" s="9" t="s">
        <v>681</v>
      </c>
      <c r="C17" s="9" t="s">
        <v>682</v>
      </c>
      <c r="D17" s="9" t="s">
        <v>683</v>
      </c>
      <c r="E17" s="9" t="s">
        <v>459</v>
      </c>
    </row>
    <row r="18" spans="1:5" ht="30" customHeight="1" x14ac:dyDescent="0.3">
      <c r="A18" s="9" t="s">
        <v>684</v>
      </c>
      <c r="B18" s="9" t="s">
        <v>578</v>
      </c>
      <c r="C18" s="9" t="s">
        <v>685</v>
      </c>
      <c r="D18" s="9" t="s">
        <v>686</v>
      </c>
      <c r="E18" s="9" t="s">
        <v>459</v>
      </c>
    </row>
    <row r="19" spans="1:5" ht="30" customHeight="1" x14ac:dyDescent="0.3">
      <c r="A19" s="9" t="s">
        <v>687</v>
      </c>
      <c r="B19" s="9" t="s">
        <v>688</v>
      </c>
      <c r="C19" s="9" t="s">
        <v>689</v>
      </c>
      <c r="D19" s="9" t="s">
        <v>116</v>
      </c>
      <c r="E19" s="9" t="s">
        <v>459</v>
      </c>
    </row>
    <row r="20" spans="1:5" ht="30" customHeight="1" x14ac:dyDescent="0.3">
      <c r="A20" s="9" t="s">
        <v>690</v>
      </c>
      <c r="B20" s="9" t="s">
        <v>691</v>
      </c>
      <c r="C20" s="9" t="s">
        <v>692</v>
      </c>
      <c r="D20" s="9" t="s">
        <v>693</v>
      </c>
      <c r="E20" s="9" t="s">
        <v>459</v>
      </c>
    </row>
    <row r="21" spans="1:5" ht="30" customHeight="1" x14ac:dyDescent="0.3">
      <c r="A21" s="9" t="s">
        <v>694</v>
      </c>
      <c r="B21" s="9" t="s">
        <v>695</v>
      </c>
      <c r="C21" s="9" t="s">
        <v>696</v>
      </c>
      <c r="D21" s="9" t="s">
        <v>697</v>
      </c>
      <c r="E21" s="9" t="s">
        <v>459</v>
      </c>
    </row>
    <row r="22" spans="1:5" ht="30" customHeight="1" x14ac:dyDescent="0.3">
      <c r="A22" s="9" t="s">
        <v>698</v>
      </c>
      <c r="B22" s="9" t="s">
        <v>699</v>
      </c>
      <c r="C22" s="9" t="s">
        <v>700</v>
      </c>
      <c r="D22" s="9" t="s">
        <v>701</v>
      </c>
      <c r="E22" s="9" t="s">
        <v>702</v>
      </c>
    </row>
    <row r="23" spans="1:5" ht="30" customHeight="1" x14ac:dyDescent="0.3">
      <c r="A23" s="9" t="s">
        <v>703</v>
      </c>
      <c r="B23" s="9" t="s">
        <v>704</v>
      </c>
      <c r="C23" s="9" t="s">
        <v>705</v>
      </c>
      <c r="D23" s="9" t="s">
        <v>132</v>
      </c>
      <c r="E23" s="9" t="s">
        <v>702</v>
      </c>
    </row>
    <row r="24" spans="1:5" ht="30" customHeight="1" x14ac:dyDescent="0.3">
      <c r="A24" s="9" t="s">
        <v>706</v>
      </c>
      <c r="B24" s="9" t="s">
        <v>707</v>
      </c>
      <c r="C24" s="9" t="s">
        <v>708</v>
      </c>
      <c r="D24" s="9" t="s">
        <v>709</v>
      </c>
      <c r="E24" s="9" t="s">
        <v>702</v>
      </c>
    </row>
    <row r="25" spans="1:5" ht="30" customHeight="1" x14ac:dyDescent="0.3">
      <c r="A25" s="9" t="s">
        <v>710</v>
      </c>
      <c r="B25" s="9" t="s">
        <v>711</v>
      </c>
      <c r="C25" s="9" t="s">
        <v>712</v>
      </c>
      <c r="D25" s="9" t="s">
        <v>713</v>
      </c>
      <c r="E25" s="9" t="s">
        <v>702</v>
      </c>
    </row>
    <row r="26" spans="1:5" ht="30" customHeight="1" x14ac:dyDescent="0.3">
      <c r="A26" s="9" t="s">
        <v>714</v>
      </c>
      <c r="B26" s="9" t="s">
        <v>715</v>
      </c>
      <c r="C26" s="9" t="s">
        <v>716</v>
      </c>
      <c r="D26" s="9" t="s">
        <v>717</v>
      </c>
      <c r="E26" s="9" t="s">
        <v>87</v>
      </c>
    </row>
    <row r="27" spans="1:5" ht="30" customHeight="1" x14ac:dyDescent="0.3">
      <c r="A27" s="9" t="s">
        <v>718</v>
      </c>
      <c r="B27" s="9" t="s">
        <v>719</v>
      </c>
      <c r="C27" s="9" t="s">
        <v>720</v>
      </c>
      <c r="D27" s="9" t="s">
        <v>721</v>
      </c>
      <c r="E27" s="9" t="s">
        <v>87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2" max="2" width="12" customWidth="1"/>
    <col min="3" max="3" width="32" customWidth="1"/>
    <col min="4" max="4" width="50" customWidth="1"/>
    <col min="5" max="5" width="44" customWidth="1"/>
  </cols>
  <sheetData>
    <row r="1" spans="1:5" ht="17.399999999999999" x14ac:dyDescent="0.3">
      <c r="A1" s="1" t="s">
        <v>722</v>
      </c>
    </row>
    <row r="4" spans="1:5" ht="26.4" x14ac:dyDescent="0.3">
      <c r="A4" s="8" t="s">
        <v>723</v>
      </c>
      <c r="B4" s="8" t="s">
        <v>724</v>
      </c>
      <c r="C4" s="8" t="s">
        <v>725</v>
      </c>
      <c r="D4" s="8" t="s">
        <v>726</v>
      </c>
      <c r="E4" s="8" t="s">
        <v>727</v>
      </c>
    </row>
    <row r="5" spans="1:5" ht="30" customHeight="1" x14ac:dyDescent="0.3">
      <c r="A5" s="9" t="s">
        <v>728</v>
      </c>
      <c r="B5" s="9" t="s">
        <v>729</v>
      </c>
      <c r="C5" s="9" t="s">
        <v>730</v>
      </c>
      <c r="D5" s="9" t="s">
        <v>731</v>
      </c>
      <c r="E5" s="9" t="s">
        <v>732</v>
      </c>
    </row>
    <row r="6" spans="1:5" ht="30" customHeight="1" x14ac:dyDescent="0.3">
      <c r="A6" s="9" t="s">
        <v>733</v>
      </c>
      <c r="B6" s="9" t="s">
        <v>734</v>
      </c>
      <c r="C6" s="9" t="s">
        <v>735</v>
      </c>
      <c r="D6" s="9" t="s">
        <v>736</v>
      </c>
      <c r="E6" s="9" t="s">
        <v>737</v>
      </c>
    </row>
    <row r="7" spans="1:5" ht="30" customHeight="1" x14ac:dyDescent="0.3">
      <c r="A7" s="9" t="s">
        <v>738</v>
      </c>
      <c r="B7" s="9" t="s">
        <v>739</v>
      </c>
      <c r="C7" s="9" t="s">
        <v>740</v>
      </c>
      <c r="D7" s="9" t="s">
        <v>741</v>
      </c>
      <c r="E7" s="9" t="s">
        <v>742</v>
      </c>
    </row>
    <row r="8" spans="1:5" ht="30" customHeight="1" x14ac:dyDescent="0.3">
      <c r="A8" s="9" t="s">
        <v>743</v>
      </c>
      <c r="B8" s="9" t="s">
        <v>744</v>
      </c>
      <c r="C8" s="9" t="s">
        <v>745</v>
      </c>
      <c r="D8" s="9" t="s">
        <v>746</v>
      </c>
      <c r="E8" s="9" t="s">
        <v>747</v>
      </c>
    </row>
    <row r="9" spans="1:5" ht="30" customHeight="1" x14ac:dyDescent="0.3">
      <c r="A9" s="9" t="s">
        <v>748</v>
      </c>
      <c r="B9" s="9" t="s">
        <v>744</v>
      </c>
      <c r="C9" s="9" t="s">
        <v>749</v>
      </c>
      <c r="D9" s="9" t="s">
        <v>750</v>
      </c>
      <c r="E9" s="9" t="s">
        <v>751</v>
      </c>
    </row>
    <row r="10" spans="1:5" ht="30" customHeight="1" x14ac:dyDescent="0.3">
      <c r="A10" s="9" t="s">
        <v>752</v>
      </c>
      <c r="B10" s="9" t="s">
        <v>744</v>
      </c>
      <c r="C10" s="9" t="s">
        <v>753</v>
      </c>
      <c r="D10" s="9" t="s">
        <v>754</v>
      </c>
      <c r="E10" s="9" t="s">
        <v>755</v>
      </c>
    </row>
    <row r="11" spans="1:5" ht="30" customHeight="1" x14ac:dyDescent="0.3">
      <c r="A11" s="9" t="s">
        <v>756</v>
      </c>
      <c r="B11" s="9" t="s">
        <v>602</v>
      </c>
      <c r="C11" s="9" t="s">
        <v>757</v>
      </c>
      <c r="D11" s="9" t="s">
        <v>758</v>
      </c>
      <c r="E11" s="9" t="s">
        <v>759</v>
      </c>
    </row>
    <row r="12" spans="1:5" ht="30" customHeight="1" x14ac:dyDescent="0.3">
      <c r="A12" s="9" t="s">
        <v>760</v>
      </c>
      <c r="B12" s="9" t="s">
        <v>761</v>
      </c>
      <c r="C12" s="9" t="s">
        <v>762</v>
      </c>
      <c r="D12" s="9" t="s">
        <v>763</v>
      </c>
      <c r="E12" s="9" t="s">
        <v>764</v>
      </c>
    </row>
    <row r="13" spans="1:5" ht="30" customHeight="1" x14ac:dyDescent="0.3">
      <c r="A13" s="9" t="s">
        <v>765</v>
      </c>
      <c r="B13" s="9" t="s">
        <v>766</v>
      </c>
      <c r="C13" s="9" t="s">
        <v>767</v>
      </c>
      <c r="D13" s="9" t="s">
        <v>768</v>
      </c>
      <c r="E13" s="9"/>
    </row>
    <row r="14" spans="1:5" ht="30" customHeight="1" x14ac:dyDescent="0.3">
      <c r="A14" s="9" t="s">
        <v>769</v>
      </c>
      <c r="B14" s="9" t="s">
        <v>112</v>
      </c>
      <c r="C14" s="9" t="s">
        <v>770</v>
      </c>
      <c r="D14" s="9" t="s">
        <v>771</v>
      </c>
      <c r="E14" s="9" t="s">
        <v>772</v>
      </c>
    </row>
    <row r="15" spans="1:5" ht="30" customHeight="1" x14ac:dyDescent="0.3">
      <c r="A15" s="9" t="s">
        <v>773</v>
      </c>
      <c r="B15" s="9" t="s">
        <v>108</v>
      </c>
      <c r="C15" s="9" t="s">
        <v>774</v>
      </c>
      <c r="D15" s="9" t="s">
        <v>775</v>
      </c>
      <c r="E15" s="9"/>
    </row>
    <row r="16" spans="1:5" ht="30" customHeight="1" x14ac:dyDescent="0.3">
      <c r="A16" s="9" t="s">
        <v>776</v>
      </c>
      <c r="B16" s="9" t="s">
        <v>108</v>
      </c>
      <c r="C16" s="9" t="s">
        <v>777</v>
      </c>
      <c r="D16" s="9" t="s">
        <v>778</v>
      </c>
      <c r="E16" s="9"/>
    </row>
    <row r="17" spans="1:5" ht="30" customHeight="1" x14ac:dyDescent="0.3">
      <c r="A17" s="9" t="s">
        <v>779</v>
      </c>
      <c r="B17" s="9" t="s">
        <v>128</v>
      </c>
      <c r="C17" s="9" t="s">
        <v>780</v>
      </c>
      <c r="D17" s="9" t="s">
        <v>781</v>
      </c>
      <c r="E17" s="9" t="s">
        <v>782</v>
      </c>
    </row>
    <row r="18" spans="1:5" ht="30" customHeight="1" x14ac:dyDescent="0.3">
      <c r="A18" s="9" t="s">
        <v>783</v>
      </c>
      <c r="B18" s="9" t="s">
        <v>132</v>
      </c>
      <c r="C18" s="9" t="s">
        <v>784</v>
      </c>
      <c r="D18" s="9" t="s">
        <v>785</v>
      </c>
      <c r="E18" s="9"/>
    </row>
    <row r="19" spans="1:5" ht="30" customHeight="1" x14ac:dyDescent="0.3">
      <c r="A19" s="9" t="s">
        <v>786</v>
      </c>
      <c r="B19" s="9" t="s">
        <v>787</v>
      </c>
      <c r="C19" s="9" t="s">
        <v>788</v>
      </c>
      <c r="D19" s="9" t="s">
        <v>402</v>
      </c>
      <c r="E19" s="9"/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85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4" customWidth="1"/>
    <col min="2" max="3" width="26" customWidth="1"/>
    <col min="4" max="6" width="8" customWidth="1"/>
    <col min="7" max="7" width="18" customWidth="1"/>
    <col min="8" max="8" width="80" customWidth="1"/>
  </cols>
  <sheetData>
    <row r="1" spans="1:8" ht="39.6" x14ac:dyDescent="0.3">
      <c r="A1" s="8" t="s">
        <v>91</v>
      </c>
      <c r="B1" s="8" t="s">
        <v>789</v>
      </c>
      <c r="C1" s="8" t="s">
        <v>790</v>
      </c>
      <c r="D1" s="8" t="s">
        <v>791</v>
      </c>
      <c r="E1" s="8" t="s">
        <v>792</v>
      </c>
      <c r="F1" s="8" t="s">
        <v>793</v>
      </c>
      <c r="G1" s="8" t="s">
        <v>794</v>
      </c>
      <c r="H1" s="8" t="s">
        <v>795</v>
      </c>
    </row>
    <row r="2" spans="1:8" ht="26.4" x14ac:dyDescent="0.3">
      <c r="A2" s="9" t="s">
        <v>95</v>
      </c>
      <c r="B2" s="9" t="s">
        <v>796</v>
      </c>
      <c r="C2" s="9" t="s">
        <v>797</v>
      </c>
      <c r="D2" s="14">
        <v>4</v>
      </c>
      <c r="E2" s="14">
        <v>11</v>
      </c>
      <c r="F2" s="14">
        <v>11</v>
      </c>
      <c r="G2" s="9" t="s">
        <v>798</v>
      </c>
      <c r="H2" s="9" t="s">
        <v>799</v>
      </c>
    </row>
    <row r="3" spans="1:8" ht="26.4" x14ac:dyDescent="0.3">
      <c r="A3" s="9" t="s">
        <v>95</v>
      </c>
      <c r="B3" s="9" t="s">
        <v>800</v>
      </c>
      <c r="C3" s="9" t="s">
        <v>801</v>
      </c>
      <c r="D3" s="14">
        <v>4</v>
      </c>
      <c r="E3" s="14">
        <v>10</v>
      </c>
      <c r="F3" s="14">
        <v>20</v>
      </c>
      <c r="G3" s="9" t="s">
        <v>802</v>
      </c>
      <c r="H3" s="9" t="s">
        <v>803</v>
      </c>
    </row>
    <row r="4" spans="1:8" x14ac:dyDescent="0.3">
      <c r="A4" s="9" t="s">
        <v>95</v>
      </c>
      <c r="B4" s="9" t="s">
        <v>804</v>
      </c>
      <c r="C4" s="9" t="s">
        <v>805</v>
      </c>
      <c r="D4" s="14">
        <v>4</v>
      </c>
      <c r="E4" s="14">
        <v>3</v>
      </c>
      <c r="F4" s="14">
        <v>5</v>
      </c>
      <c r="G4" s="9" t="s">
        <v>806</v>
      </c>
      <c r="H4" s="9" t="s">
        <v>807</v>
      </c>
    </row>
    <row r="5" spans="1:8" x14ac:dyDescent="0.3">
      <c r="A5" s="9" t="s">
        <v>95</v>
      </c>
      <c r="B5" s="9" t="s">
        <v>808</v>
      </c>
      <c r="C5" s="9" t="s">
        <v>809</v>
      </c>
      <c r="D5" s="14">
        <v>4</v>
      </c>
      <c r="E5" s="14">
        <v>8</v>
      </c>
      <c r="F5" s="14">
        <v>2</v>
      </c>
      <c r="G5" s="9" t="s">
        <v>810</v>
      </c>
      <c r="H5" s="9" t="s">
        <v>811</v>
      </c>
    </row>
    <row r="6" spans="1:8" ht="26.4" x14ac:dyDescent="0.3">
      <c r="A6" s="9" t="s">
        <v>95</v>
      </c>
      <c r="B6" s="9" t="s">
        <v>812</v>
      </c>
      <c r="C6" s="9" t="s">
        <v>813</v>
      </c>
      <c r="D6" s="14">
        <v>4</v>
      </c>
      <c r="E6" s="14">
        <v>11</v>
      </c>
      <c r="F6" s="14">
        <v>7</v>
      </c>
      <c r="G6" s="9" t="s">
        <v>814</v>
      </c>
      <c r="H6" s="9" t="s">
        <v>815</v>
      </c>
    </row>
    <row r="7" spans="1:8" ht="26.4" x14ac:dyDescent="0.3">
      <c r="A7" s="9" t="s">
        <v>95</v>
      </c>
      <c r="B7" s="9" t="s">
        <v>74</v>
      </c>
      <c r="C7" s="9" t="s">
        <v>816</v>
      </c>
      <c r="D7" s="14">
        <v>1</v>
      </c>
      <c r="E7" s="14">
        <v>45</v>
      </c>
      <c r="F7" s="14">
        <v>9</v>
      </c>
      <c r="G7" s="9" t="s">
        <v>789</v>
      </c>
      <c r="H7" s="9" t="s">
        <v>817</v>
      </c>
    </row>
    <row r="8" spans="1:8" x14ac:dyDescent="0.3">
      <c r="A8" s="9" t="s">
        <v>99</v>
      </c>
      <c r="B8" s="9" t="s">
        <v>818</v>
      </c>
      <c r="C8" s="9" t="s">
        <v>819</v>
      </c>
      <c r="D8" s="14">
        <v>4</v>
      </c>
      <c r="E8" s="14">
        <v>13</v>
      </c>
      <c r="F8" s="14">
        <v>8</v>
      </c>
      <c r="G8" s="9" t="s">
        <v>633</v>
      </c>
      <c r="H8" s="9" t="s">
        <v>820</v>
      </c>
    </row>
    <row r="9" spans="1:8" ht="26.4" x14ac:dyDescent="0.3">
      <c r="A9" s="9" t="s">
        <v>99</v>
      </c>
      <c r="B9" s="9" t="s">
        <v>821</v>
      </c>
      <c r="C9" s="9" t="s">
        <v>822</v>
      </c>
      <c r="D9" s="14">
        <v>1</v>
      </c>
      <c r="E9" s="14">
        <v>6</v>
      </c>
      <c r="F9" s="14">
        <v>4</v>
      </c>
      <c r="G9" s="9" t="s">
        <v>823</v>
      </c>
      <c r="H9" s="9" t="s">
        <v>824</v>
      </c>
    </row>
    <row r="10" spans="1:8" ht="26.4" x14ac:dyDescent="0.3">
      <c r="A10" s="9" t="s">
        <v>99</v>
      </c>
      <c r="B10" s="9" t="s">
        <v>825</v>
      </c>
      <c r="C10" s="9" t="s">
        <v>826</v>
      </c>
      <c r="D10" s="14">
        <v>1</v>
      </c>
      <c r="E10" s="14">
        <v>8</v>
      </c>
      <c r="F10" s="14">
        <v>4</v>
      </c>
      <c r="G10" s="9" t="s">
        <v>827</v>
      </c>
      <c r="H10" s="9" t="s">
        <v>828</v>
      </c>
    </row>
    <row r="11" spans="1:8" ht="26.4" x14ac:dyDescent="0.3">
      <c r="A11" s="9" t="s">
        <v>99</v>
      </c>
      <c r="B11" s="9" t="s">
        <v>829</v>
      </c>
      <c r="C11" s="9" t="s">
        <v>830</v>
      </c>
      <c r="D11" s="14">
        <v>4</v>
      </c>
      <c r="E11" s="14">
        <v>7</v>
      </c>
      <c r="F11" s="14">
        <v>7</v>
      </c>
      <c r="G11" s="9" t="s">
        <v>831</v>
      </c>
      <c r="H11" s="9" t="s">
        <v>832</v>
      </c>
    </row>
    <row r="12" spans="1:8" x14ac:dyDescent="0.3">
      <c r="A12" s="9" t="s">
        <v>99</v>
      </c>
      <c r="B12" s="9" t="s">
        <v>833</v>
      </c>
      <c r="C12" s="9" t="s">
        <v>834</v>
      </c>
      <c r="D12" s="14">
        <v>4</v>
      </c>
      <c r="E12" s="14">
        <v>14</v>
      </c>
      <c r="F12" s="14">
        <v>19</v>
      </c>
      <c r="G12" s="9" t="s">
        <v>835</v>
      </c>
      <c r="H12" s="9" t="s">
        <v>836</v>
      </c>
    </row>
    <row r="13" spans="1:8" ht="26.4" x14ac:dyDescent="0.3">
      <c r="A13" s="9" t="s">
        <v>99</v>
      </c>
      <c r="B13" s="9" t="s">
        <v>74</v>
      </c>
      <c r="C13" s="9" t="s">
        <v>816</v>
      </c>
      <c r="D13" s="14">
        <v>1</v>
      </c>
      <c r="E13" s="14">
        <v>42</v>
      </c>
      <c r="F13" s="14">
        <v>9</v>
      </c>
      <c r="G13" s="9" t="s">
        <v>789</v>
      </c>
      <c r="H13" s="9" t="s">
        <v>837</v>
      </c>
    </row>
    <row r="14" spans="1:8" x14ac:dyDescent="0.3">
      <c r="A14" s="9" t="s">
        <v>103</v>
      </c>
      <c r="B14" s="9" t="s">
        <v>838</v>
      </c>
      <c r="C14" s="9" t="s">
        <v>839</v>
      </c>
      <c r="D14" s="14">
        <v>4</v>
      </c>
      <c r="E14" s="14">
        <v>12</v>
      </c>
      <c r="F14" s="14">
        <v>18</v>
      </c>
      <c r="G14" s="9" t="s">
        <v>840</v>
      </c>
      <c r="H14" s="9" t="s">
        <v>841</v>
      </c>
    </row>
    <row r="15" spans="1:8" ht="26.4" x14ac:dyDescent="0.3">
      <c r="A15" s="9" t="s">
        <v>103</v>
      </c>
      <c r="B15" s="9" t="s">
        <v>842</v>
      </c>
      <c r="C15" s="9" t="s">
        <v>843</v>
      </c>
      <c r="D15" s="14">
        <v>4</v>
      </c>
      <c r="E15" s="14">
        <v>6</v>
      </c>
      <c r="F15" s="14">
        <v>14</v>
      </c>
      <c r="G15" s="9" t="s">
        <v>844</v>
      </c>
      <c r="H15" s="9" t="s">
        <v>845</v>
      </c>
    </row>
    <row r="16" spans="1:8" ht="26.4" x14ac:dyDescent="0.3">
      <c r="A16" s="9" t="s">
        <v>103</v>
      </c>
      <c r="B16" s="9" t="s">
        <v>74</v>
      </c>
      <c r="C16" s="9" t="s">
        <v>816</v>
      </c>
      <c r="D16" s="14">
        <v>1</v>
      </c>
      <c r="E16" s="14">
        <v>32</v>
      </c>
      <c r="F16" s="14">
        <v>9</v>
      </c>
      <c r="G16" s="9" t="s">
        <v>789</v>
      </c>
      <c r="H16" s="9" t="s">
        <v>846</v>
      </c>
    </row>
    <row r="17" spans="1:8" x14ac:dyDescent="0.3">
      <c r="A17" s="9" t="s">
        <v>107</v>
      </c>
      <c r="B17" s="9" t="s">
        <v>847</v>
      </c>
      <c r="C17" s="9" t="s">
        <v>749</v>
      </c>
      <c r="D17" s="14">
        <v>4</v>
      </c>
      <c r="E17" s="14">
        <v>5</v>
      </c>
      <c r="F17" s="14">
        <v>5</v>
      </c>
      <c r="G17" s="9" t="s">
        <v>92</v>
      </c>
      <c r="H17" s="9" t="s">
        <v>848</v>
      </c>
    </row>
    <row r="18" spans="1:8" ht="26.4" x14ac:dyDescent="0.3">
      <c r="A18" s="9" t="s">
        <v>107</v>
      </c>
      <c r="B18" s="9" t="s">
        <v>849</v>
      </c>
      <c r="C18" s="9" t="s">
        <v>850</v>
      </c>
      <c r="D18" s="14">
        <v>4</v>
      </c>
      <c r="E18" s="14">
        <v>5</v>
      </c>
      <c r="F18" s="14">
        <v>12</v>
      </c>
      <c r="G18" s="9" t="s">
        <v>851</v>
      </c>
      <c r="H18" s="9" t="s">
        <v>852</v>
      </c>
    </row>
    <row r="19" spans="1:8" ht="26.4" x14ac:dyDescent="0.3">
      <c r="A19" s="9" t="s">
        <v>107</v>
      </c>
      <c r="B19" s="9" t="s">
        <v>853</v>
      </c>
      <c r="C19" s="9" t="s">
        <v>854</v>
      </c>
      <c r="D19" s="14">
        <v>4</v>
      </c>
      <c r="E19" s="14">
        <v>198</v>
      </c>
      <c r="F19" s="14">
        <v>6</v>
      </c>
      <c r="G19" s="9" t="s">
        <v>855</v>
      </c>
      <c r="H19" s="9" t="s">
        <v>856</v>
      </c>
    </row>
    <row r="20" spans="1:8" ht="26.4" x14ac:dyDescent="0.3">
      <c r="A20" s="9" t="s">
        <v>107</v>
      </c>
      <c r="B20" s="9" t="s">
        <v>857</v>
      </c>
      <c r="C20" s="9" t="s">
        <v>858</v>
      </c>
      <c r="D20" s="14">
        <v>4</v>
      </c>
      <c r="E20" s="14">
        <v>9</v>
      </c>
      <c r="F20" s="14">
        <v>14</v>
      </c>
      <c r="G20" s="9" t="s">
        <v>859</v>
      </c>
      <c r="H20" s="9" t="s">
        <v>860</v>
      </c>
    </row>
    <row r="21" spans="1:8" x14ac:dyDescent="0.3">
      <c r="A21" s="9" t="s">
        <v>107</v>
      </c>
      <c r="B21" s="9" t="s">
        <v>861</v>
      </c>
      <c r="C21" s="9" t="s">
        <v>862</v>
      </c>
      <c r="D21" s="14">
        <v>4</v>
      </c>
      <c r="E21" s="14">
        <v>4</v>
      </c>
      <c r="F21" s="14">
        <v>9</v>
      </c>
      <c r="G21" s="9" t="s">
        <v>863</v>
      </c>
      <c r="H21" s="9" t="s">
        <v>864</v>
      </c>
    </row>
    <row r="22" spans="1:8" ht="26.4" x14ac:dyDescent="0.3">
      <c r="A22" s="9" t="s">
        <v>107</v>
      </c>
      <c r="B22" s="9" t="s">
        <v>865</v>
      </c>
      <c r="C22" s="9" t="s">
        <v>866</v>
      </c>
      <c r="D22" s="14">
        <v>4</v>
      </c>
      <c r="E22" s="14">
        <v>23</v>
      </c>
      <c r="F22" s="14">
        <v>19</v>
      </c>
      <c r="G22" s="9" t="s">
        <v>867</v>
      </c>
      <c r="H22" s="9" t="s">
        <v>868</v>
      </c>
    </row>
    <row r="23" spans="1:8" ht="26.4" x14ac:dyDescent="0.3">
      <c r="A23" s="9" t="s">
        <v>107</v>
      </c>
      <c r="B23" s="9" t="s">
        <v>869</v>
      </c>
      <c r="C23" s="9" t="s">
        <v>870</v>
      </c>
      <c r="D23" s="14">
        <v>4</v>
      </c>
      <c r="E23" s="14">
        <v>348</v>
      </c>
      <c r="F23" s="14">
        <v>8</v>
      </c>
      <c r="G23" s="9" t="s">
        <v>855</v>
      </c>
      <c r="H23" s="9" t="s">
        <v>871</v>
      </c>
    </row>
    <row r="24" spans="1:8" ht="26.4" x14ac:dyDescent="0.3">
      <c r="A24" s="9" t="s">
        <v>107</v>
      </c>
      <c r="B24" s="9" t="s">
        <v>872</v>
      </c>
      <c r="C24" s="9" t="s">
        <v>873</v>
      </c>
      <c r="D24" s="14">
        <v>4</v>
      </c>
      <c r="E24" s="14">
        <v>16</v>
      </c>
      <c r="F24" s="14">
        <v>20</v>
      </c>
      <c r="G24" s="9" t="s">
        <v>874</v>
      </c>
      <c r="H24" s="9" t="s">
        <v>875</v>
      </c>
    </row>
    <row r="25" spans="1:8" ht="26.4" x14ac:dyDescent="0.3">
      <c r="A25" s="9" t="s">
        <v>107</v>
      </c>
      <c r="B25" s="9" t="s">
        <v>876</v>
      </c>
      <c r="C25" s="9" t="s">
        <v>877</v>
      </c>
      <c r="D25" s="14">
        <v>4</v>
      </c>
      <c r="E25" s="14">
        <v>9</v>
      </c>
      <c r="F25" s="14">
        <v>7</v>
      </c>
      <c r="G25" s="9" t="s">
        <v>859</v>
      </c>
      <c r="H25" s="9" t="s">
        <v>878</v>
      </c>
    </row>
    <row r="26" spans="1:8" ht="26.4" x14ac:dyDescent="0.3">
      <c r="A26" s="9" t="s">
        <v>107</v>
      </c>
      <c r="B26" s="9" t="s">
        <v>74</v>
      </c>
      <c r="C26" s="9" t="s">
        <v>816</v>
      </c>
      <c r="D26" s="14">
        <v>1</v>
      </c>
      <c r="E26" s="14">
        <v>100</v>
      </c>
      <c r="F26" s="14">
        <v>9</v>
      </c>
      <c r="G26" s="9" t="s">
        <v>789</v>
      </c>
      <c r="H26" s="9" t="s">
        <v>879</v>
      </c>
    </row>
    <row r="27" spans="1:8" ht="26.4" x14ac:dyDescent="0.3">
      <c r="A27" s="9" t="s">
        <v>111</v>
      </c>
      <c r="B27" s="9" t="s">
        <v>880</v>
      </c>
      <c r="C27" s="9" t="s">
        <v>881</v>
      </c>
      <c r="D27" s="14">
        <v>4</v>
      </c>
      <c r="E27" s="14">
        <v>22</v>
      </c>
      <c r="F27" s="14">
        <v>30</v>
      </c>
      <c r="G27" s="9" t="s">
        <v>855</v>
      </c>
      <c r="H27" s="9" t="s">
        <v>882</v>
      </c>
    </row>
    <row r="28" spans="1:8" ht="26.4" x14ac:dyDescent="0.3">
      <c r="A28" s="9" t="s">
        <v>111</v>
      </c>
      <c r="B28" s="9" t="s">
        <v>883</v>
      </c>
      <c r="C28" s="9" t="s">
        <v>884</v>
      </c>
      <c r="D28" s="14">
        <v>4</v>
      </c>
      <c r="E28" s="14">
        <v>22</v>
      </c>
      <c r="F28" s="14">
        <v>18</v>
      </c>
      <c r="G28" s="9" t="s">
        <v>855</v>
      </c>
      <c r="H28" s="9" t="s">
        <v>885</v>
      </c>
    </row>
    <row r="29" spans="1:8" ht="26.4" x14ac:dyDescent="0.3">
      <c r="A29" s="9" t="s">
        <v>111</v>
      </c>
      <c r="B29" s="9" t="s">
        <v>886</v>
      </c>
      <c r="C29" s="9" t="s">
        <v>887</v>
      </c>
      <c r="D29" s="14">
        <v>4</v>
      </c>
      <c r="E29" s="14">
        <v>6</v>
      </c>
      <c r="F29" s="14">
        <v>9</v>
      </c>
      <c r="G29" s="9" t="s">
        <v>888</v>
      </c>
      <c r="H29" s="9" t="s">
        <v>889</v>
      </c>
    </row>
    <row r="30" spans="1:8" ht="26.4" x14ac:dyDescent="0.3">
      <c r="A30" s="9" t="s">
        <v>111</v>
      </c>
      <c r="B30" s="9" t="s">
        <v>890</v>
      </c>
      <c r="C30" s="9" t="s">
        <v>891</v>
      </c>
      <c r="D30" s="14">
        <v>4</v>
      </c>
      <c r="E30" s="14">
        <v>13</v>
      </c>
      <c r="F30" s="14">
        <v>28</v>
      </c>
      <c r="G30" s="9" t="s">
        <v>892</v>
      </c>
      <c r="H30" s="9" t="s">
        <v>893</v>
      </c>
    </row>
    <row r="31" spans="1:8" ht="26.4" x14ac:dyDescent="0.3">
      <c r="A31" s="9" t="s">
        <v>111</v>
      </c>
      <c r="B31" s="9" t="s">
        <v>894</v>
      </c>
      <c r="C31" s="9" t="s">
        <v>895</v>
      </c>
      <c r="D31" s="14">
        <v>4</v>
      </c>
      <c r="E31" s="14">
        <v>8</v>
      </c>
      <c r="F31" s="14">
        <v>14</v>
      </c>
      <c r="G31" s="9" t="s">
        <v>896</v>
      </c>
      <c r="H31" s="9" t="s">
        <v>897</v>
      </c>
    </row>
    <row r="32" spans="1:8" ht="26.4" x14ac:dyDescent="0.3">
      <c r="A32" s="9" t="s">
        <v>111</v>
      </c>
      <c r="B32" s="9" t="s">
        <v>898</v>
      </c>
      <c r="C32" s="9" t="s">
        <v>899</v>
      </c>
      <c r="D32" s="14">
        <v>4</v>
      </c>
      <c r="E32" s="14">
        <v>4</v>
      </c>
      <c r="F32" s="14">
        <v>10</v>
      </c>
      <c r="G32" s="9" t="s">
        <v>900</v>
      </c>
      <c r="H32" s="9" t="s">
        <v>901</v>
      </c>
    </row>
    <row r="33" spans="1:8" ht="26.4" x14ac:dyDescent="0.3">
      <c r="A33" s="9" t="s">
        <v>111</v>
      </c>
      <c r="B33" s="9" t="s">
        <v>902</v>
      </c>
      <c r="C33" s="9" t="s">
        <v>903</v>
      </c>
      <c r="D33" s="14">
        <v>4</v>
      </c>
      <c r="E33" s="14">
        <v>7</v>
      </c>
      <c r="F33" s="14">
        <v>6</v>
      </c>
      <c r="G33" s="9" t="s">
        <v>904</v>
      </c>
      <c r="H33" s="9" t="s">
        <v>905</v>
      </c>
    </row>
    <row r="34" spans="1:8" ht="26.4" x14ac:dyDescent="0.3">
      <c r="A34" s="9" t="s">
        <v>111</v>
      </c>
      <c r="B34" s="9" t="s">
        <v>847</v>
      </c>
      <c r="C34" s="9" t="s">
        <v>749</v>
      </c>
      <c r="D34" s="14">
        <v>4</v>
      </c>
      <c r="E34" s="14">
        <v>4</v>
      </c>
      <c r="F34" s="14">
        <v>5</v>
      </c>
      <c r="G34" s="9" t="s">
        <v>92</v>
      </c>
      <c r="H34" s="9" t="s">
        <v>906</v>
      </c>
    </row>
    <row r="35" spans="1:8" ht="26.4" x14ac:dyDescent="0.3">
      <c r="A35" s="9" t="s">
        <v>111</v>
      </c>
      <c r="B35" s="9" t="s">
        <v>907</v>
      </c>
      <c r="C35" s="9" t="s">
        <v>908</v>
      </c>
      <c r="D35" s="14">
        <v>4</v>
      </c>
      <c r="E35" s="14">
        <v>6</v>
      </c>
      <c r="F35" s="14">
        <v>35</v>
      </c>
      <c r="G35" s="9" t="s">
        <v>909</v>
      </c>
      <c r="H35" s="9" t="s">
        <v>910</v>
      </c>
    </row>
    <row r="36" spans="1:8" ht="26.4" x14ac:dyDescent="0.3">
      <c r="A36" s="9" t="s">
        <v>111</v>
      </c>
      <c r="B36" s="9" t="s">
        <v>911</v>
      </c>
      <c r="C36" s="9" t="s">
        <v>912</v>
      </c>
      <c r="D36" s="14">
        <v>4</v>
      </c>
      <c r="E36" s="14">
        <v>8</v>
      </c>
      <c r="F36" s="14">
        <v>9</v>
      </c>
      <c r="G36" s="9" t="s">
        <v>913</v>
      </c>
      <c r="H36" s="9" t="s">
        <v>914</v>
      </c>
    </row>
    <row r="37" spans="1:8" ht="26.4" x14ac:dyDescent="0.3">
      <c r="A37" s="9" t="s">
        <v>111</v>
      </c>
      <c r="B37" s="9" t="s">
        <v>915</v>
      </c>
      <c r="C37" s="9" t="s">
        <v>916</v>
      </c>
      <c r="D37" s="14">
        <v>4</v>
      </c>
      <c r="E37" s="14">
        <v>7</v>
      </c>
      <c r="F37" s="14">
        <v>18</v>
      </c>
      <c r="G37" s="9" t="s">
        <v>917</v>
      </c>
      <c r="H37" s="9" t="s">
        <v>918</v>
      </c>
    </row>
    <row r="38" spans="1:8" ht="26.4" x14ac:dyDescent="0.3">
      <c r="A38" s="9" t="s">
        <v>111</v>
      </c>
      <c r="B38" s="9" t="s">
        <v>74</v>
      </c>
      <c r="C38" s="9" t="s">
        <v>816</v>
      </c>
      <c r="D38" s="14">
        <v>1</v>
      </c>
      <c r="E38" s="14">
        <v>182</v>
      </c>
      <c r="F38" s="14">
        <v>9</v>
      </c>
      <c r="G38" s="9" t="s">
        <v>789</v>
      </c>
      <c r="H38" s="9" t="s">
        <v>919</v>
      </c>
    </row>
    <row r="39" spans="1:8" ht="26.4" x14ac:dyDescent="0.3">
      <c r="A39" s="9" t="s">
        <v>115</v>
      </c>
      <c r="B39" s="9" t="s">
        <v>920</v>
      </c>
      <c r="C39" s="9" t="s">
        <v>921</v>
      </c>
      <c r="D39" s="14">
        <v>4</v>
      </c>
      <c r="E39" s="14">
        <v>11</v>
      </c>
      <c r="F39" s="14">
        <v>12</v>
      </c>
      <c r="G39" s="9" t="s">
        <v>922</v>
      </c>
      <c r="H39" s="9" t="s">
        <v>923</v>
      </c>
    </row>
    <row r="40" spans="1:8" ht="26.4" x14ac:dyDescent="0.3">
      <c r="A40" s="9" t="s">
        <v>115</v>
      </c>
      <c r="B40" s="9" t="s">
        <v>924</v>
      </c>
      <c r="C40" s="9" t="s">
        <v>925</v>
      </c>
      <c r="D40" s="14">
        <v>4</v>
      </c>
      <c r="E40" s="14">
        <v>11</v>
      </c>
      <c r="F40" s="14">
        <v>12</v>
      </c>
      <c r="G40" s="9" t="s">
        <v>926</v>
      </c>
      <c r="H40" s="9" t="s">
        <v>927</v>
      </c>
    </row>
    <row r="41" spans="1:8" ht="26.4" x14ac:dyDescent="0.3">
      <c r="A41" s="9" t="s">
        <v>115</v>
      </c>
      <c r="B41" s="9" t="s">
        <v>928</v>
      </c>
      <c r="C41" s="9" t="s">
        <v>929</v>
      </c>
      <c r="D41" s="14">
        <v>4</v>
      </c>
      <c r="E41" s="14">
        <v>9</v>
      </c>
      <c r="F41" s="14">
        <v>14</v>
      </c>
      <c r="G41" s="9" t="s">
        <v>930</v>
      </c>
      <c r="H41" s="9" t="s">
        <v>931</v>
      </c>
    </row>
    <row r="42" spans="1:8" ht="26.4" x14ac:dyDescent="0.3">
      <c r="A42" s="9" t="s">
        <v>115</v>
      </c>
      <c r="B42" s="9" t="s">
        <v>932</v>
      </c>
      <c r="C42" s="9" t="s">
        <v>753</v>
      </c>
      <c r="D42" s="14">
        <v>4</v>
      </c>
      <c r="E42" s="14">
        <v>6</v>
      </c>
      <c r="F42" s="14">
        <v>14</v>
      </c>
      <c r="G42" s="9" t="s">
        <v>933</v>
      </c>
      <c r="H42" s="9" t="s">
        <v>934</v>
      </c>
    </row>
    <row r="43" spans="1:8" ht="26.4" x14ac:dyDescent="0.3">
      <c r="A43" s="9" t="s">
        <v>115</v>
      </c>
      <c r="B43" s="9" t="s">
        <v>935</v>
      </c>
      <c r="C43" s="9" t="s">
        <v>936</v>
      </c>
      <c r="D43" s="14">
        <v>4</v>
      </c>
      <c r="E43" s="14">
        <v>22</v>
      </c>
      <c r="F43" s="14">
        <v>7</v>
      </c>
      <c r="G43" s="9" t="s">
        <v>855</v>
      </c>
      <c r="H43" s="9" t="s">
        <v>937</v>
      </c>
    </row>
    <row r="44" spans="1:8" ht="26.4" x14ac:dyDescent="0.3">
      <c r="A44" s="9" t="s">
        <v>115</v>
      </c>
      <c r="B44" s="9" t="s">
        <v>74</v>
      </c>
      <c r="C44" s="9" t="s">
        <v>816</v>
      </c>
      <c r="D44" s="14">
        <v>1</v>
      </c>
      <c r="E44" s="14">
        <v>59</v>
      </c>
      <c r="F44" s="14">
        <v>9</v>
      </c>
      <c r="G44" s="9" t="s">
        <v>789</v>
      </c>
      <c r="H44" s="9" t="s">
        <v>938</v>
      </c>
    </row>
    <row r="45" spans="1:8" ht="26.4" x14ac:dyDescent="0.3">
      <c r="A45" s="9" t="s">
        <v>119</v>
      </c>
      <c r="B45" s="9" t="s">
        <v>939</v>
      </c>
      <c r="C45" s="9" t="s">
        <v>940</v>
      </c>
      <c r="D45" s="14">
        <v>4</v>
      </c>
      <c r="E45" s="14">
        <v>9</v>
      </c>
      <c r="F45" s="14">
        <v>17</v>
      </c>
      <c r="G45" s="9" t="s">
        <v>941</v>
      </c>
      <c r="H45" s="9" t="s">
        <v>942</v>
      </c>
    </row>
    <row r="46" spans="1:8" ht="26.4" x14ac:dyDescent="0.3">
      <c r="A46" s="9" t="s">
        <v>119</v>
      </c>
      <c r="B46" s="9" t="s">
        <v>943</v>
      </c>
      <c r="C46" s="9" t="s">
        <v>944</v>
      </c>
      <c r="D46" s="14">
        <v>4</v>
      </c>
      <c r="E46" s="14">
        <v>7</v>
      </c>
      <c r="F46" s="14">
        <v>6</v>
      </c>
      <c r="G46" s="9" t="s">
        <v>945</v>
      </c>
      <c r="H46" s="9" t="s">
        <v>946</v>
      </c>
    </row>
    <row r="47" spans="1:8" ht="26.4" x14ac:dyDescent="0.3">
      <c r="A47" s="9" t="s">
        <v>119</v>
      </c>
      <c r="B47" s="9" t="s">
        <v>947</v>
      </c>
      <c r="C47" s="9" t="s">
        <v>948</v>
      </c>
      <c r="D47" s="14">
        <v>4</v>
      </c>
      <c r="E47" s="14">
        <v>29</v>
      </c>
      <c r="F47" s="14">
        <v>12</v>
      </c>
      <c r="G47" s="9" t="s">
        <v>949</v>
      </c>
      <c r="H47" s="9" t="s">
        <v>950</v>
      </c>
    </row>
    <row r="48" spans="1:8" ht="26.4" x14ac:dyDescent="0.3">
      <c r="A48" s="9" t="s">
        <v>119</v>
      </c>
      <c r="B48" s="9" t="s">
        <v>951</v>
      </c>
      <c r="C48" s="9" t="s">
        <v>952</v>
      </c>
      <c r="D48" s="14">
        <v>4</v>
      </c>
      <c r="E48" s="14">
        <v>8</v>
      </c>
      <c r="F48" s="14">
        <v>9</v>
      </c>
      <c r="G48" s="9" t="s">
        <v>953</v>
      </c>
      <c r="H48" s="9" t="s">
        <v>954</v>
      </c>
    </row>
    <row r="49" spans="1:8" ht="26.4" x14ac:dyDescent="0.3">
      <c r="A49" s="9" t="s">
        <v>119</v>
      </c>
      <c r="B49" s="9" t="s">
        <v>955</v>
      </c>
      <c r="C49" s="9" t="s">
        <v>956</v>
      </c>
      <c r="D49" s="14">
        <v>4</v>
      </c>
      <c r="E49" s="14">
        <v>8</v>
      </c>
      <c r="F49" s="14">
        <v>9</v>
      </c>
      <c r="G49" s="9" t="s">
        <v>957</v>
      </c>
      <c r="H49" s="9" t="s">
        <v>958</v>
      </c>
    </row>
    <row r="50" spans="1:8" ht="26.4" x14ac:dyDescent="0.3">
      <c r="A50" s="9" t="s">
        <v>119</v>
      </c>
      <c r="B50" s="9" t="s">
        <v>959</v>
      </c>
      <c r="C50" s="9" t="s">
        <v>960</v>
      </c>
      <c r="D50" s="14">
        <v>4</v>
      </c>
      <c r="E50" s="14">
        <v>13</v>
      </c>
      <c r="F50" s="14">
        <v>10</v>
      </c>
      <c r="G50" s="9" t="s">
        <v>961</v>
      </c>
      <c r="H50" s="9" t="s">
        <v>962</v>
      </c>
    </row>
    <row r="51" spans="1:8" ht="26.4" x14ac:dyDescent="0.3">
      <c r="A51" s="9" t="s">
        <v>119</v>
      </c>
      <c r="B51" s="9" t="s">
        <v>74</v>
      </c>
      <c r="C51" s="9" t="s">
        <v>816</v>
      </c>
      <c r="D51" s="14">
        <v>1</v>
      </c>
      <c r="E51" s="14">
        <v>63</v>
      </c>
      <c r="F51" s="14">
        <v>9</v>
      </c>
      <c r="G51" s="9" t="s">
        <v>789</v>
      </c>
      <c r="H51" s="9" t="s">
        <v>963</v>
      </c>
    </row>
    <row r="52" spans="1:8" ht="26.4" x14ac:dyDescent="0.3">
      <c r="A52" s="9" t="s">
        <v>123</v>
      </c>
      <c r="B52" s="9" t="s">
        <v>964</v>
      </c>
      <c r="C52" s="9" t="s">
        <v>965</v>
      </c>
      <c r="D52" s="14">
        <v>4</v>
      </c>
      <c r="E52" s="14">
        <v>16</v>
      </c>
      <c r="F52" s="14">
        <v>15</v>
      </c>
      <c r="G52" s="9" t="s">
        <v>966</v>
      </c>
      <c r="H52" s="9" t="s">
        <v>967</v>
      </c>
    </row>
    <row r="53" spans="1:8" ht="26.4" x14ac:dyDescent="0.3">
      <c r="A53" s="9" t="s">
        <v>123</v>
      </c>
      <c r="B53" s="9" t="s">
        <v>968</v>
      </c>
      <c r="C53" s="9" t="s">
        <v>969</v>
      </c>
      <c r="D53" s="14">
        <v>4</v>
      </c>
      <c r="E53" s="14">
        <v>182</v>
      </c>
      <c r="F53" s="14">
        <v>10</v>
      </c>
      <c r="G53" s="9" t="s">
        <v>970</v>
      </c>
      <c r="H53" s="9" t="s">
        <v>971</v>
      </c>
    </row>
    <row r="54" spans="1:8" ht="26.4" x14ac:dyDescent="0.3">
      <c r="A54" s="9" t="s">
        <v>123</v>
      </c>
      <c r="B54" s="9" t="s">
        <v>74</v>
      </c>
      <c r="C54" s="9" t="s">
        <v>816</v>
      </c>
      <c r="D54" s="14">
        <v>1</v>
      </c>
      <c r="E54" s="14">
        <v>25</v>
      </c>
      <c r="F54" s="14">
        <v>9</v>
      </c>
      <c r="G54" s="9" t="s">
        <v>789</v>
      </c>
      <c r="H54" s="9" t="s">
        <v>972</v>
      </c>
    </row>
    <row r="55" spans="1:8" ht="26.4" x14ac:dyDescent="0.3">
      <c r="A55" s="9" t="s">
        <v>127</v>
      </c>
      <c r="B55" s="9" t="s">
        <v>847</v>
      </c>
      <c r="C55" s="9" t="s">
        <v>749</v>
      </c>
      <c r="D55" s="14">
        <v>4</v>
      </c>
      <c r="E55" s="14">
        <v>4</v>
      </c>
      <c r="F55" s="14">
        <v>5</v>
      </c>
      <c r="G55" s="9" t="s">
        <v>92</v>
      </c>
      <c r="H55" s="9" t="s">
        <v>973</v>
      </c>
    </row>
    <row r="56" spans="1:8" ht="26.4" x14ac:dyDescent="0.3">
      <c r="A56" s="9" t="s">
        <v>127</v>
      </c>
      <c r="B56" s="9" t="s">
        <v>974</v>
      </c>
      <c r="C56" s="9" t="s">
        <v>975</v>
      </c>
      <c r="D56" s="14">
        <v>4</v>
      </c>
      <c r="E56" s="14">
        <v>5</v>
      </c>
      <c r="F56" s="14">
        <v>12</v>
      </c>
      <c r="G56" s="9" t="s">
        <v>976</v>
      </c>
      <c r="H56" s="9" t="s">
        <v>977</v>
      </c>
    </row>
    <row r="57" spans="1:8" ht="26.4" x14ac:dyDescent="0.3">
      <c r="A57" s="9" t="s">
        <v>127</v>
      </c>
      <c r="B57" s="9" t="s">
        <v>978</v>
      </c>
      <c r="C57" s="9" t="s">
        <v>979</v>
      </c>
      <c r="D57" s="14">
        <v>4</v>
      </c>
      <c r="E57" s="14">
        <v>7</v>
      </c>
      <c r="F57" s="14">
        <v>5</v>
      </c>
      <c r="G57" s="9" t="s">
        <v>966</v>
      </c>
      <c r="H57" s="9" t="s">
        <v>980</v>
      </c>
    </row>
    <row r="58" spans="1:8" ht="26.4" x14ac:dyDescent="0.3">
      <c r="A58" s="9" t="s">
        <v>127</v>
      </c>
      <c r="B58" s="9" t="s">
        <v>981</v>
      </c>
      <c r="C58" s="9" t="s">
        <v>982</v>
      </c>
      <c r="D58" s="14">
        <v>4</v>
      </c>
      <c r="E58" s="14">
        <v>9</v>
      </c>
      <c r="F58" s="14">
        <v>10</v>
      </c>
      <c r="G58" s="9" t="s">
        <v>983</v>
      </c>
      <c r="H58" s="9" t="s">
        <v>984</v>
      </c>
    </row>
    <row r="59" spans="1:8" ht="26.4" x14ac:dyDescent="0.3">
      <c r="A59" s="9" t="s">
        <v>127</v>
      </c>
      <c r="B59" s="9" t="s">
        <v>985</v>
      </c>
      <c r="C59" s="9" t="s">
        <v>986</v>
      </c>
      <c r="D59" s="14">
        <v>4</v>
      </c>
      <c r="E59" s="14">
        <v>3</v>
      </c>
      <c r="F59" s="14">
        <v>13</v>
      </c>
      <c r="G59" s="9" t="s">
        <v>987</v>
      </c>
      <c r="H59" s="9" t="s">
        <v>988</v>
      </c>
    </row>
    <row r="60" spans="1:8" ht="26.4" x14ac:dyDescent="0.3">
      <c r="A60" s="9" t="s">
        <v>127</v>
      </c>
      <c r="B60" s="9" t="s">
        <v>989</v>
      </c>
      <c r="C60" s="9" t="s">
        <v>990</v>
      </c>
      <c r="D60" s="14">
        <v>4</v>
      </c>
      <c r="E60" s="14">
        <v>6</v>
      </c>
      <c r="F60" s="14">
        <v>3</v>
      </c>
      <c r="G60" s="9" t="s">
        <v>810</v>
      </c>
      <c r="H60" s="9" t="s">
        <v>991</v>
      </c>
    </row>
    <row r="61" spans="1:8" ht="26.4" x14ac:dyDescent="0.3">
      <c r="A61" s="9" t="s">
        <v>127</v>
      </c>
      <c r="B61" s="9" t="s">
        <v>992</v>
      </c>
      <c r="C61" s="9" t="s">
        <v>993</v>
      </c>
      <c r="D61" s="14">
        <v>4</v>
      </c>
      <c r="E61" s="14">
        <v>2</v>
      </c>
      <c r="F61" s="14">
        <v>7</v>
      </c>
      <c r="G61" s="9" t="s">
        <v>994</v>
      </c>
      <c r="H61" s="9" t="s">
        <v>995</v>
      </c>
    </row>
    <row r="62" spans="1:8" ht="26.4" x14ac:dyDescent="0.3">
      <c r="A62" s="9" t="s">
        <v>127</v>
      </c>
      <c r="B62" s="9" t="s">
        <v>996</v>
      </c>
      <c r="C62" s="9" t="s">
        <v>997</v>
      </c>
      <c r="D62" s="14">
        <v>4</v>
      </c>
      <c r="E62" s="14">
        <v>22</v>
      </c>
      <c r="F62" s="14">
        <v>21</v>
      </c>
      <c r="G62" s="9" t="s">
        <v>998</v>
      </c>
      <c r="H62" s="9" t="s">
        <v>999</v>
      </c>
    </row>
    <row r="63" spans="1:8" ht="26.4" x14ac:dyDescent="0.3">
      <c r="A63" s="9" t="s">
        <v>127</v>
      </c>
      <c r="B63" s="9" t="s">
        <v>74</v>
      </c>
      <c r="C63" s="9" t="s">
        <v>816</v>
      </c>
      <c r="D63" s="14">
        <v>1</v>
      </c>
      <c r="E63" s="14">
        <v>76</v>
      </c>
      <c r="F63" s="14">
        <v>9</v>
      </c>
      <c r="G63" s="9" t="s">
        <v>789</v>
      </c>
      <c r="H63" s="9" t="s">
        <v>1000</v>
      </c>
    </row>
    <row r="64" spans="1:8" ht="26.4" x14ac:dyDescent="0.3">
      <c r="A64" s="9" t="s">
        <v>131</v>
      </c>
      <c r="B64" s="9" t="s">
        <v>1001</v>
      </c>
      <c r="C64" s="9" t="s">
        <v>1002</v>
      </c>
      <c r="D64" s="14">
        <v>4</v>
      </c>
      <c r="E64" s="14">
        <v>11</v>
      </c>
      <c r="F64" s="14">
        <v>28</v>
      </c>
      <c r="G64" s="9" t="s">
        <v>1003</v>
      </c>
      <c r="H64" s="9" t="s">
        <v>1004</v>
      </c>
    </row>
    <row r="65" spans="1:8" ht="26.4" x14ac:dyDescent="0.3">
      <c r="A65" s="9" t="s">
        <v>131</v>
      </c>
      <c r="B65" s="9" t="s">
        <v>1005</v>
      </c>
      <c r="C65" s="9" t="s">
        <v>1006</v>
      </c>
      <c r="D65" s="14">
        <v>4</v>
      </c>
      <c r="E65" s="14">
        <v>6</v>
      </c>
      <c r="F65" s="14">
        <v>10</v>
      </c>
      <c r="G65" s="9" t="s">
        <v>1007</v>
      </c>
      <c r="H65" s="9" t="s">
        <v>1008</v>
      </c>
    </row>
    <row r="66" spans="1:8" ht="26.4" x14ac:dyDescent="0.3">
      <c r="A66" s="9" t="s">
        <v>131</v>
      </c>
      <c r="B66" s="9" t="s">
        <v>1009</v>
      </c>
      <c r="C66" s="9" t="s">
        <v>784</v>
      </c>
      <c r="D66" s="14">
        <v>4</v>
      </c>
      <c r="E66" s="14">
        <v>4</v>
      </c>
      <c r="F66" s="14">
        <v>15</v>
      </c>
      <c r="G66" s="9" t="s">
        <v>994</v>
      </c>
      <c r="H66" s="9" t="s">
        <v>1010</v>
      </c>
    </row>
    <row r="67" spans="1:8" ht="26.4" x14ac:dyDescent="0.3">
      <c r="A67" s="9" t="s">
        <v>131</v>
      </c>
      <c r="B67" s="9" t="s">
        <v>74</v>
      </c>
      <c r="C67" s="9" t="s">
        <v>816</v>
      </c>
      <c r="D67" s="14">
        <v>1</v>
      </c>
      <c r="E67" s="14">
        <v>53</v>
      </c>
      <c r="F67" s="14">
        <v>9</v>
      </c>
      <c r="G67" s="9" t="s">
        <v>789</v>
      </c>
      <c r="H67" s="9" t="s">
        <v>1011</v>
      </c>
    </row>
    <row r="68" spans="1:8" ht="26.4" x14ac:dyDescent="0.3">
      <c r="A68" s="9" t="s">
        <v>135</v>
      </c>
      <c r="B68" s="9" t="s">
        <v>1012</v>
      </c>
      <c r="C68" s="9" t="s">
        <v>1013</v>
      </c>
      <c r="D68" s="14">
        <v>4</v>
      </c>
      <c r="E68" s="14">
        <v>6</v>
      </c>
      <c r="F68" s="14">
        <v>12</v>
      </c>
      <c r="G68" s="9" t="s">
        <v>1014</v>
      </c>
      <c r="H68" s="9" t="s">
        <v>1015</v>
      </c>
    </row>
    <row r="69" spans="1:8" x14ac:dyDescent="0.3">
      <c r="A69" s="9" t="s">
        <v>135</v>
      </c>
      <c r="B69" s="9" t="s">
        <v>1016</v>
      </c>
      <c r="C69" s="9" t="s">
        <v>1017</v>
      </c>
      <c r="D69" s="14">
        <v>4</v>
      </c>
      <c r="E69" s="14">
        <v>4</v>
      </c>
      <c r="F69" s="14">
        <v>13</v>
      </c>
      <c r="G69" s="9" t="s">
        <v>1018</v>
      </c>
      <c r="H69" s="9" t="s">
        <v>1019</v>
      </c>
    </row>
    <row r="70" spans="1:8" ht="26.4" x14ac:dyDescent="0.3">
      <c r="A70" s="9" t="s">
        <v>135</v>
      </c>
      <c r="B70" s="9" t="s">
        <v>1020</v>
      </c>
      <c r="C70" s="9" t="s">
        <v>1021</v>
      </c>
      <c r="D70" s="14">
        <v>4</v>
      </c>
      <c r="E70" s="14">
        <v>21</v>
      </c>
      <c r="F70" s="14">
        <v>9</v>
      </c>
      <c r="G70" s="9" t="s">
        <v>1022</v>
      </c>
      <c r="H70" s="9" t="s">
        <v>1023</v>
      </c>
    </row>
    <row r="71" spans="1:8" ht="26.4" x14ac:dyDescent="0.3">
      <c r="A71" s="9" t="s">
        <v>135</v>
      </c>
      <c r="B71" s="9" t="s">
        <v>1024</v>
      </c>
      <c r="C71" s="9" t="s">
        <v>1025</v>
      </c>
      <c r="D71" s="14">
        <v>4</v>
      </c>
      <c r="E71" s="14">
        <v>6</v>
      </c>
      <c r="F71" s="14">
        <v>8</v>
      </c>
      <c r="G71" s="9" t="s">
        <v>1026</v>
      </c>
      <c r="H71" s="9" t="s">
        <v>1027</v>
      </c>
    </row>
    <row r="72" spans="1:8" ht="26.4" x14ac:dyDescent="0.3">
      <c r="A72" s="9" t="s">
        <v>135</v>
      </c>
      <c r="B72" s="9" t="s">
        <v>74</v>
      </c>
      <c r="C72" s="9" t="s">
        <v>816</v>
      </c>
      <c r="D72" s="14">
        <v>1</v>
      </c>
      <c r="E72" s="14">
        <v>42</v>
      </c>
      <c r="F72" s="14">
        <v>9</v>
      </c>
      <c r="G72" s="9" t="s">
        <v>789</v>
      </c>
      <c r="H72" s="9" t="s">
        <v>1028</v>
      </c>
    </row>
    <row r="73" spans="1:8" x14ac:dyDescent="0.3">
      <c r="A73" s="9" t="s">
        <v>139</v>
      </c>
      <c r="B73" s="9" t="s">
        <v>1029</v>
      </c>
      <c r="C73" s="9" t="s">
        <v>1030</v>
      </c>
      <c r="D73" s="14">
        <v>4</v>
      </c>
      <c r="E73" s="14">
        <v>3</v>
      </c>
      <c r="F73" s="14">
        <v>11</v>
      </c>
      <c r="G73" s="9" t="s">
        <v>1031</v>
      </c>
      <c r="H73" s="9" t="s">
        <v>1032</v>
      </c>
    </row>
    <row r="74" spans="1:8" ht="26.4" x14ac:dyDescent="0.3">
      <c r="A74" s="9" t="s">
        <v>139</v>
      </c>
      <c r="B74" s="9" t="s">
        <v>1033</v>
      </c>
      <c r="C74" s="9" t="s">
        <v>1034</v>
      </c>
      <c r="D74" s="14">
        <v>4</v>
      </c>
      <c r="E74" s="14">
        <v>3</v>
      </c>
      <c r="F74" s="14">
        <v>12</v>
      </c>
      <c r="G74" s="9" t="s">
        <v>1035</v>
      </c>
      <c r="H74" s="9" t="s">
        <v>1036</v>
      </c>
    </row>
    <row r="75" spans="1:8" x14ac:dyDescent="0.3">
      <c r="A75" s="9" t="s">
        <v>139</v>
      </c>
      <c r="B75" s="9" t="s">
        <v>1037</v>
      </c>
      <c r="C75" s="9" t="s">
        <v>1038</v>
      </c>
      <c r="D75" s="14">
        <v>4</v>
      </c>
      <c r="E75" s="14">
        <v>18</v>
      </c>
      <c r="F75" s="14">
        <v>6</v>
      </c>
      <c r="G75" s="9" t="s">
        <v>1039</v>
      </c>
      <c r="H75" s="9" t="s">
        <v>1040</v>
      </c>
    </row>
    <row r="76" spans="1:8" x14ac:dyDescent="0.3">
      <c r="A76" s="9" t="s">
        <v>139</v>
      </c>
      <c r="B76" s="9" t="s">
        <v>1041</v>
      </c>
      <c r="C76" s="9" t="s">
        <v>1042</v>
      </c>
      <c r="D76" s="14">
        <v>4</v>
      </c>
      <c r="E76" s="14">
        <v>8</v>
      </c>
      <c r="F76" s="14">
        <v>11</v>
      </c>
      <c r="G76" s="9" t="s">
        <v>1043</v>
      </c>
      <c r="H76" s="9" t="s">
        <v>1044</v>
      </c>
    </row>
    <row r="77" spans="1:8" x14ac:dyDescent="0.3">
      <c r="A77" s="9" t="s">
        <v>139</v>
      </c>
      <c r="B77" s="9" t="s">
        <v>74</v>
      </c>
      <c r="C77" s="9" t="s">
        <v>816</v>
      </c>
      <c r="D77" s="14">
        <v>1</v>
      </c>
      <c r="E77" s="14">
        <v>40</v>
      </c>
      <c r="F77" s="14">
        <v>9</v>
      </c>
      <c r="G77" s="9" t="s">
        <v>789</v>
      </c>
      <c r="H77" s="9" t="s">
        <v>1045</v>
      </c>
    </row>
    <row r="78" spans="1:8" x14ac:dyDescent="0.3">
      <c r="A78" s="9" t="s">
        <v>143</v>
      </c>
      <c r="B78" s="9" t="s">
        <v>1046</v>
      </c>
      <c r="C78" s="9" t="s">
        <v>1047</v>
      </c>
      <c r="D78" s="14">
        <v>4</v>
      </c>
      <c r="E78" s="14">
        <v>9</v>
      </c>
      <c r="F78" s="14">
        <v>8</v>
      </c>
      <c r="G78" s="9" t="s">
        <v>1048</v>
      </c>
      <c r="H78" s="9" t="s">
        <v>1049</v>
      </c>
    </row>
    <row r="79" spans="1:8" x14ac:dyDescent="0.3">
      <c r="A79" s="9" t="s">
        <v>143</v>
      </c>
      <c r="B79" s="9" t="s">
        <v>1050</v>
      </c>
      <c r="C79" s="9" t="s">
        <v>1051</v>
      </c>
      <c r="D79" s="14">
        <v>4</v>
      </c>
      <c r="E79" s="14">
        <v>8</v>
      </c>
      <c r="F79" s="14">
        <v>10</v>
      </c>
      <c r="G79" s="9" t="s">
        <v>1052</v>
      </c>
      <c r="H79" s="9" t="s">
        <v>1053</v>
      </c>
    </row>
    <row r="80" spans="1:8" ht="26.4" x14ac:dyDescent="0.3">
      <c r="A80" s="9" t="s">
        <v>143</v>
      </c>
      <c r="B80" s="9" t="s">
        <v>1054</v>
      </c>
      <c r="C80" s="9" t="s">
        <v>1055</v>
      </c>
      <c r="D80" s="14">
        <v>1</v>
      </c>
      <c r="E80" s="14">
        <v>2</v>
      </c>
      <c r="F80" s="14">
        <v>6</v>
      </c>
      <c r="G80" s="9" t="s">
        <v>1052</v>
      </c>
      <c r="H80" s="9" t="s">
        <v>1056</v>
      </c>
    </row>
    <row r="81" spans="1:8" ht="26.4" x14ac:dyDescent="0.3">
      <c r="A81" s="9" t="s">
        <v>143</v>
      </c>
      <c r="B81" s="9" t="s">
        <v>74</v>
      </c>
      <c r="C81" s="9" t="s">
        <v>816</v>
      </c>
      <c r="D81" s="14">
        <v>1</v>
      </c>
      <c r="E81" s="14">
        <v>24</v>
      </c>
      <c r="F81" s="14">
        <v>9</v>
      </c>
      <c r="G81" s="9" t="s">
        <v>789</v>
      </c>
      <c r="H81" s="9" t="s">
        <v>1057</v>
      </c>
    </row>
    <row r="82" spans="1:8" ht="26.4" x14ac:dyDescent="0.3">
      <c r="A82" s="9" t="s">
        <v>147</v>
      </c>
      <c r="B82" s="9" t="s">
        <v>1058</v>
      </c>
      <c r="C82" s="9" t="s">
        <v>1059</v>
      </c>
      <c r="D82" s="14">
        <v>4</v>
      </c>
      <c r="E82" s="14">
        <v>4</v>
      </c>
      <c r="F82" s="14">
        <v>24</v>
      </c>
      <c r="G82" s="9" t="s">
        <v>1060</v>
      </c>
      <c r="H82" s="9" t="s">
        <v>1061</v>
      </c>
    </row>
    <row r="83" spans="1:8" ht="26.4" x14ac:dyDescent="0.3">
      <c r="A83" s="9" t="s">
        <v>147</v>
      </c>
      <c r="B83" s="9" t="s">
        <v>1062</v>
      </c>
      <c r="C83" s="9" t="s">
        <v>1063</v>
      </c>
      <c r="D83" s="14">
        <v>4</v>
      </c>
      <c r="E83" s="14">
        <v>8</v>
      </c>
      <c r="F83" s="14">
        <v>7</v>
      </c>
      <c r="G83" s="9" t="s">
        <v>1060</v>
      </c>
      <c r="H83" s="9" t="s">
        <v>1064</v>
      </c>
    </row>
    <row r="84" spans="1:8" ht="26.4" x14ac:dyDescent="0.3">
      <c r="A84" s="9" t="s">
        <v>147</v>
      </c>
      <c r="B84" s="9" t="s">
        <v>1065</v>
      </c>
      <c r="C84" s="9" t="s">
        <v>1066</v>
      </c>
      <c r="D84" s="14">
        <v>4</v>
      </c>
      <c r="E84" s="14">
        <v>10</v>
      </c>
      <c r="F84" s="14">
        <v>8</v>
      </c>
      <c r="G84" s="9" t="s">
        <v>1067</v>
      </c>
      <c r="H84" s="9" t="s">
        <v>1068</v>
      </c>
    </row>
    <row r="85" spans="1:8" ht="26.4" x14ac:dyDescent="0.3">
      <c r="A85" s="9" t="s">
        <v>147</v>
      </c>
      <c r="B85" s="9" t="s">
        <v>74</v>
      </c>
      <c r="C85" s="9" t="s">
        <v>816</v>
      </c>
      <c r="D85" s="14">
        <v>1</v>
      </c>
      <c r="E85" s="14">
        <v>39</v>
      </c>
      <c r="F85" s="14">
        <v>9</v>
      </c>
      <c r="G85" s="9" t="s">
        <v>789</v>
      </c>
      <c r="H85" s="9" t="s">
        <v>1069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51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18" customWidth="1"/>
    <col min="3" max="3" width="44" customWidth="1"/>
    <col min="4" max="4" width="10" customWidth="1"/>
    <col min="5" max="5" width="9" customWidth="1"/>
    <col min="6" max="6" width="50" customWidth="1"/>
    <col min="7" max="7" width="9" customWidth="1"/>
  </cols>
  <sheetData>
    <row r="1" spans="1:7" ht="26.4" x14ac:dyDescent="0.3">
      <c r="A1" s="8" t="s">
        <v>1070</v>
      </c>
      <c r="B1" s="8" t="s">
        <v>1071</v>
      </c>
      <c r="C1" s="8" t="s">
        <v>1072</v>
      </c>
      <c r="D1" s="8" t="s">
        <v>1073</v>
      </c>
      <c r="E1" s="8" t="s">
        <v>1074</v>
      </c>
      <c r="F1" s="8" t="s">
        <v>1075</v>
      </c>
      <c r="G1" s="8" t="s">
        <v>1076</v>
      </c>
    </row>
    <row r="2" spans="1:7" x14ac:dyDescent="0.3">
      <c r="A2" s="9" t="s">
        <v>797</v>
      </c>
      <c r="B2" s="9" t="s">
        <v>1077</v>
      </c>
      <c r="C2" s="9" t="s">
        <v>1078</v>
      </c>
      <c r="D2" s="14">
        <v>10</v>
      </c>
      <c r="E2" s="14">
        <v>0</v>
      </c>
      <c r="F2" s="9"/>
      <c r="G2" s="9" t="s">
        <v>1079</v>
      </c>
    </row>
    <row r="3" spans="1:7" x14ac:dyDescent="0.3">
      <c r="A3" s="9" t="s">
        <v>801</v>
      </c>
      <c r="B3" s="9" t="s">
        <v>1080</v>
      </c>
      <c r="C3" s="9" t="s">
        <v>1081</v>
      </c>
      <c r="D3" s="14">
        <v>7</v>
      </c>
      <c r="E3" s="14">
        <v>0</v>
      </c>
      <c r="F3" s="9"/>
      <c r="G3" s="9" t="s">
        <v>1079</v>
      </c>
    </row>
    <row r="4" spans="1:7" x14ac:dyDescent="0.3">
      <c r="A4" s="9" t="s">
        <v>801</v>
      </c>
      <c r="B4" s="9" t="s">
        <v>1082</v>
      </c>
      <c r="C4" s="9" t="s">
        <v>1083</v>
      </c>
      <c r="D4" s="14">
        <v>4</v>
      </c>
      <c r="E4" s="14">
        <v>0</v>
      </c>
      <c r="F4" s="9"/>
      <c r="G4" s="9" t="s">
        <v>1079</v>
      </c>
    </row>
    <row r="5" spans="1:7" x14ac:dyDescent="0.3">
      <c r="A5" s="9" t="s">
        <v>801</v>
      </c>
      <c r="B5" s="9" t="s">
        <v>1084</v>
      </c>
      <c r="C5" s="9" t="s">
        <v>1085</v>
      </c>
      <c r="D5" s="14">
        <v>4</v>
      </c>
      <c r="E5" s="14">
        <v>0</v>
      </c>
      <c r="F5" s="9"/>
      <c r="G5" s="9" t="s">
        <v>1079</v>
      </c>
    </row>
    <row r="6" spans="1:7" x14ac:dyDescent="0.3">
      <c r="A6" s="9" t="s">
        <v>839</v>
      </c>
      <c r="B6" s="9" t="s">
        <v>840</v>
      </c>
      <c r="C6" s="9" t="s">
        <v>1086</v>
      </c>
      <c r="D6" s="14">
        <v>5</v>
      </c>
      <c r="E6" s="14">
        <v>0</v>
      </c>
      <c r="F6" s="9"/>
      <c r="G6" s="9" t="s">
        <v>1079</v>
      </c>
    </row>
    <row r="7" spans="1:7" x14ac:dyDescent="0.3">
      <c r="A7" s="9" t="s">
        <v>843</v>
      </c>
      <c r="B7" s="9" t="s">
        <v>844</v>
      </c>
      <c r="C7" s="9" t="s">
        <v>1087</v>
      </c>
      <c r="D7" s="14">
        <v>2</v>
      </c>
      <c r="E7" s="14">
        <v>0</v>
      </c>
      <c r="F7" s="9"/>
      <c r="G7" s="9" t="s">
        <v>1079</v>
      </c>
    </row>
    <row r="8" spans="1:7" x14ac:dyDescent="0.3">
      <c r="A8" s="9" t="s">
        <v>839</v>
      </c>
      <c r="B8" s="9" t="s">
        <v>917</v>
      </c>
      <c r="C8" s="9" t="s">
        <v>916</v>
      </c>
      <c r="D8" s="14">
        <v>8</v>
      </c>
      <c r="E8" s="14">
        <v>0</v>
      </c>
      <c r="F8" s="9"/>
      <c r="G8" s="9" t="s">
        <v>1079</v>
      </c>
    </row>
    <row r="9" spans="1:7" x14ac:dyDescent="0.3">
      <c r="A9" s="9" t="s">
        <v>839</v>
      </c>
      <c r="B9" s="9" t="s">
        <v>432</v>
      </c>
      <c r="C9" s="9" t="s">
        <v>891</v>
      </c>
      <c r="D9" s="14">
        <v>6</v>
      </c>
      <c r="E9" s="14">
        <v>0</v>
      </c>
      <c r="F9" s="9"/>
      <c r="G9" s="9" t="s">
        <v>1079</v>
      </c>
    </row>
    <row r="10" spans="1:7" x14ac:dyDescent="0.3">
      <c r="A10" s="9" t="s">
        <v>858</v>
      </c>
      <c r="B10" s="9" t="s">
        <v>1088</v>
      </c>
      <c r="C10" s="9" t="s">
        <v>1089</v>
      </c>
      <c r="D10" s="14">
        <v>5</v>
      </c>
      <c r="E10" s="14">
        <v>0</v>
      </c>
      <c r="F10" s="9"/>
      <c r="G10" s="9" t="s">
        <v>1079</v>
      </c>
    </row>
    <row r="11" spans="1:7" x14ac:dyDescent="0.3">
      <c r="A11" s="9" t="s">
        <v>854</v>
      </c>
      <c r="B11" s="9" t="s">
        <v>859</v>
      </c>
      <c r="C11" s="9" t="s">
        <v>858</v>
      </c>
      <c r="D11" s="14">
        <v>198</v>
      </c>
      <c r="E11" s="14">
        <v>0</v>
      </c>
      <c r="F11" s="9"/>
      <c r="G11" s="9" t="s">
        <v>1079</v>
      </c>
    </row>
    <row r="12" spans="1:7" x14ac:dyDescent="0.3">
      <c r="A12" s="9" t="s">
        <v>862</v>
      </c>
      <c r="B12" s="9" t="s">
        <v>859</v>
      </c>
      <c r="C12" s="9" t="s">
        <v>858</v>
      </c>
      <c r="D12" s="14">
        <v>4</v>
      </c>
      <c r="E12" s="14">
        <v>0</v>
      </c>
      <c r="F12" s="9"/>
      <c r="G12" s="9" t="s">
        <v>1079</v>
      </c>
    </row>
    <row r="13" spans="1:7" x14ac:dyDescent="0.3">
      <c r="A13" s="9" t="s">
        <v>862</v>
      </c>
      <c r="B13" s="9" t="s">
        <v>1090</v>
      </c>
      <c r="C13" s="9" t="s">
        <v>891</v>
      </c>
      <c r="D13" s="14">
        <v>4</v>
      </c>
      <c r="E13" s="14">
        <v>0</v>
      </c>
      <c r="F13" s="9"/>
      <c r="G13" s="9" t="s">
        <v>1079</v>
      </c>
    </row>
    <row r="14" spans="1:7" x14ac:dyDescent="0.3">
      <c r="A14" s="9" t="s">
        <v>873</v>
      </c>
      <c r="B14" s="9" t="s">
        <v>917</v>
      </c>
      <c r="C14" s="9" t="s">
        <v>916</v>
      </c>
      <c r="D14" s="14">
        <v>10</v>
      </c>
      <c r="E14" s="14">
        <v>0</v>
      </c>
      <c r="F14" s="9"/>
      <c r="G14" s="9" t="s">
        <v>1079</v>
      </c>
    </row>
    <row r="15" spans="1:7" x14ac:dyDescent="0.3">
      <c r="A15" s="9" t="s">
        <v>870</v>
      </c>
      <c r="B15" s="9" t="s">
        <v>867</v>
      </c>
      <c r="C15" s="9" t="s">
        <v>866</v>
      </c>
      <c r="D15" s="14">
        <v>348</v>
      </c>
      <c r="E15" s="14">
        <v>0</v>
      </c>
      <c r="F15" s="9"/>
      <c r="G15" s="9" t="s">
        <v>1079</v>
      </c>
    </row>
    <row r="16" spans="1:7" x14ac:dyDescent="0.3">
      <c r="A16" s="9" t="s">
        <v>891</v>
      </c>
      <c r="B16" s="9" t="s">
        <v>909</v>
      </c>
      <c r="C16" s="9" t="s">
        <v>908</v>
      </c>
      <c r="D16" s="14">
        <v>13</v>
      </c>
      <c r="E16" s="14">
        <v>0</v>
      </c>
      <c r="F16" s="9"/>
      <c r="G16" s="9" t="s">
        <v>1079</v>
      </c>
    </row>
    <row r="17" spans="1:7" x14ac:dyDescent="0.3">
      <c r="A17" s="9" t="s">
        <v>891</v>
      </c>
      <c r="B17" s="9" t="s">
        <v>930</v>
      </c>
      <c r="C17" s="9" t="s">
        <v>925</v>
      </c>
      <c r="D17" s="14">
        <v>15</v>
      </c>
      <c r="E17" s="14">
        <v>0</v>
      </c>
      <c r="F17" s="9"/>
      <c r="G17" s="9" t="s">
        <v>1079</v>
      </c>
    </row>
    <row r="18" spans="1:7" x14ac:dyDescent="0.3">
      <c r="A18" s="9" t="s">
        <v>891</v>
      </c>
      <c r="B18" s="9" t="s">
        <v>896</v>
      </c>
      <c r="C18" s="9" t="s">
        <v>895</v>
      </c>
      <c r="D18" s="14">
        <v>9</v>
      </c>
      <c r="E18" s="14">
        <v>0</v>
      </c>
      <c r="F18" s="9"/>
      <c r="G18" s="9" t="s">
        <v>1079</v>
      </c>
    </row>
    <row r="19" spans="1:7" x14ac:dyDescent="0.3">
      <c r="A19" s="9" t="s">
        <v>908</v>
      </c>
      <c r="B19" s="9" t="s">
        <v>892</v>
      </c>
      <c r="C19" s="9" t="s">
        <v>891</v>
      </c>
      <c r="D19" s="14">
        <v>6</v>
      </c>
      <c r="E19" s="14">
        <v>0</v>
      </c>
      <c r="F19" s="9"/>
      <c r="G19" s="9" t="s">
        <v>1079</v>
      </c>
    </row>
    <row r="20" spans="1:7" x14ac:dyDescent="0.3">
      <c r="A20" s="9" t="s">
        <v>908</v>
      </c>
      <c r="B20" s="9" t="s">
        <v>823</v>
      </c>
      <c r="C20" s="9" t="s">
        <v>822</v>
      </c>
      <c r="D20" s="14">
        <v>6</v>
      </c>
      <c r="E20" s="14">
        <v>0</v>
      </c>
      <c r="F20" s="9"/>
      <c r="G20" s="9" t="s">
        <v>1079</v>
      </c>
    </row>
    <row r="21" spans="1:7" x14ac:dyDescent="0.3">
      <c r="A21" s="9" t="s">
        <v>908</v>
      </c>
      <c r="B21" s="9" t="s">
        <v>1091</v>
      </c>
      <c r="C21" s="9" t="s">
        <v>916</v>
      </c>
      <c r="D21" s="14">
        <v>10</v>
      </c>
      <c r="E21" s="14">
        <v>0</v>
      </c>
      <c r="F21" s="9"/>
      <c r="G21" s="9" t="s">
        <v>1079</v>
      </c>
    </row>
    <row r="22" spans="1:7" ht="52.8" x14ac:dyDescent="0.3">
      <c r="A22" s="9" t="s">
        <v>908</v>
      </c>
      <c r="B22" s="9" t="s">
        <v>1092</v>
      </c>
      <c r="C22" s="9" t="s">
        <v>1093</v>
      </c>
      <c r="D22" s="14">
        <v>21</v>
      </c>
      <c r="E22" s="14">
        <v>0</v>
      </c>
      <c r="F22" s="9"/>
      <c r="G22" s="9" t="s">
        <v>1079</v>
      </c>
    </row>
    <row r="23" spans="1:7" x14ac:dyDescent="0.3">
      <c r="A23" s="9" t="s">
        <v>912</v>
      </c>
      <c r="B23" s="9" t="s">
        <v>909</v>
      </c>
      <c r="C23" s="9" t="s">
        <v>908</v>
      </c>
      <c r="D23" s="14">
        <v>8</v>
      </c>
      <c r="E23" s="14">
        <v>0</v>
      </c>
      <c r="F23" s="9"/>
      <c r="G23" s="9" t="s">
        <v>1079</v>
      </c>
    </row>
    <row r="24" spans="1:7" x14ac:dyDescent="0.3">
      <c r="A24" s="9" t="s">
        <v>912</v>
      </c>
      <c r="B24" s="9" t="s">
        <v>892</v>
      </c>
      <c r="C24" s="9" t="s">
        <v>891</v>
      </c>
      <c r="D24" s="14">
        <v>8</v>
      </c>
      <c r="E24" s="14">
        <v>0</v>
      </c>
      <c r="F24" s="9"/>
      <c r="G24" s="9" t="s">
        <v>1079</v>
      </c>
    </row>
    <row r="25" spans="1:7" x14ac:dyDescent="0.3">
      <c r="A25" s="9" t="s">
        <v>916</v>
      </c>
      <c r="B25" s="9" t="s">
        <v>909</v>
      </c>
      <c r="C25" s="9" t="s">
        <v>908</v>
      </c>
      <c r="D25" s="14">
        <v>7</v>
      </c>
      <c r="E25" s="14">
        <v>0</v>
      </c>
      <c r="F25" s="9"/>
      <c r="G25" s="9" t="s">
        <v>1079</v>
      </c>
    </row>
    <row r="26" spans="1:7" x14ac:dyDescent="0.3">
      <c r="A26" s="9" t="s">
        <v>916</v>
      </c>
      <c r="B26" s="9" t="s">
        <v>874</v>
      </c>
      <c r="C26" s="9" t="s">
        <v>873</v>
      </c>
      <c r="D26" s="14">
        <v>9</v>
      </c>
      <c r="E26" s="14">
        <v>0</v>
      </c>
      <c r="F26" s="9"/>
      <c r="G26" s="9" t="s">
        <v>1079</v>
      </c>
    </row>
    <row r="27" spans="1:7" x14ac:dyDescent="0.3">
      <c r="A27" s="9" t="s">
        <v>916</v>
      </c>
      <c r="B27" s="9" t="s">
        <v>1094</v>
      </c>
      <c r="C27" s="9" t="s">
        <v>1095</v>
      </c>
      <c r="D27" s="14">
        <v>2</v>
      </c>
      <c r="E27" s="14">
        <v>0</v>
      </c>
      <c r="F27" s="9"/>
      <c r="G27" s="9" t="s">
        <v>1079</v>
      </c>
    </row>
    <row r="28" spans="1:7" x14ac:dyDescent="0.3">
      <c r="A28" s="9" t="s">
        <v>895</v>
      </c>
      <c r="B28" s="9" t="s">
        <v>892</v>
      </c>
      <c r="C28" s="9" t="s">
        <v>891</v>
      </c>
      <c r="D28" s="14">
        <v>8</v>
      </c>
      <c r="E28" s="14">
        <v>0</v>
      </c>
      <c r="F28" s="9"/>
      <c r="G28" s="9" t="s">
        <v>1079</v>
      </c>
    </row>
    <row r="29" spans="1:7" x14ac:dyDescent="0.3">
      <c r="A29" s="9" t="s">
        <v>903</v>
      </c>
      <c r="B29" s="9" t="s">
        <v>900</v>
      </c>
      <c r="C29" s="9" t="s">
        <v>899</v>
      </c>
      <c r="D29" s="14">
        <v>4</v>
      </c>
      <c r="E29" s="14">
        <v>0</v>
      </c>
      <c r="F29" s="9"/>
      <c r="G29" s="9" t="s">
        <v>1079</v>
      </c>
    </row>
    <row r="30" spans="1:7" x14ac:dyDescent="0.3">
      <c r="A30" s="9" t="s">
        <v>921</v>
      </c>
      <c r="B30" s="9" t="s">
        <v>933</v>
      </c>
      <c r="C30" s="9" t="s">
        <v>753</v>
      </c>
      <c r="D30" s="14">
        <v>9</v>
      </c>
      <c r="E30" s="14">
        <v>0</v>
      </c>
      <c r="F30" s="9"/>
      <c r="G30" s="9" t="s">
        <v>1079</v>
      </c>
    </row>
    <row r="31" spans="1:7" x14ac:dyDescent="0.3">
      <c r="A31" s="9" t="s">
        <v>929</v>
      </c>
      <c r="B31" s="9" t="s">
        <v>892</v>
      </c>
      <c r="C31" s="9" t="s">
        <v>891</v>
      </c>
      <c r="D31" s="14">
        <v>7</v>
      </c>
      <c r="E31" s="14">
        <v>0</v>
      </c>
      <c r="F31" s="9"/>
      <c r="G31" s="9" t="s">
        <v>1079</v>
      </c>
    </row>
    <row r="32" spans="1:7" x14ac:dyDescent="0.3">
      <c r="A32" s="9" t="s">
        <v>929</v>
      </c>
      <c r="B32" s="9" t="s">
        <v>1096</v>
      </c>
      <c r="C32" s="9" t="s">
        <v>753</v>
      </c>
      <c r="D32" s="14">
        <v>9</v>
      </c>
      <c r="E32" s="14">
        <v>0</v>
      </c>
      <c r="F32" s="9"/>
      <c r="G32" s="9" t="s">
        <v>1079</v>
      </c>
    </row>
    <row r="33" spans="1:7" x14ac:dyDescent="0.3">
      <c r="A33" s="9" t="s">
        <v>753</v>
      </c>
      <c r="B33" s="9" t="s">
        <v>933</v>
      </c>
      <c r="C33" s="9" t="s">
        <v>1097</v>
      </c>
      <c r="D33" s="14">
        <v>4</v>
      </c>
      <c r="E33" s="14">
        <v>0</v>
      </c>
      <c r="F33" s="9"/>
      <c r="G33" s="9" t="s">
        <v>1079</v>
      </c>
    </row>
    <row r="34" spans="1:7" ht="26.4" x14ac:dyDescent="0.3">
      <c r="A34" s="9" t="s">
        <v>940</v>
      </c>
      <c r="B34" s="9" t="s">
        <v>1098</v>
      </c>
      <c r="C34" s="9" t="s">
        <v>944</v>
      </c>
      <c r="D34" s="14">
        <v>12</v>
      </c>
      <c r="E34" s="14">
        <v>0</v>
      </c>
      <c r="F34" s="9"/>
      <c r="G34" s="9" t="s">
        <v>1079</v>
      </c>
    </row>
    <row r="35" spans="1:7" x14ac:dyDescent="0.3">
      <c r="A35" s="9" t="s">
        <v>940</v>
      </c>
      <c r="B35" s="9" t="s">
        <v>863</v>
      </c>
      <c r="C35" s="9" t="s">
        <v>862</v>
      </c>
      <c r="D35" s="14">
        <v>12</v>
      </c>
      <c r="E35" s="14">
        <v>0</v>
      </c>
      <c r="F35" s="9"/>
      <c r="G35" s="9" t="s">
        <v>1079</v>
      </c>
    </row>
    <row r="36" spans="1:7" x14ac:dyDescent="0.3">
      <c r="A36" s="9" t="s">
        <v>948</v>
      </c>
      <c r="B36" s="9" t="s">
        <v>941</v>
      </c>
      <c r="C36" s="9" t="s">
        <v>940</v>
      </c>
      <c r="D36" s="14">
        <v>29</v>
      </c>
      <c r="E36" s="14">
        <v>0</v>
      </c>
      <c r="F36" s="9"/>
      <c r="G36" s="9" t="s">
        <v>1079</v>
      </c>
    </row>
    <row r="37" spans="1:7" x14ac:dyDescent="0.3">
      <c r="A37" s="9" t="s">
        <v>948</v>
      </c>
      <c r="B37" s="9" t="s">
        <v>945</v>
      </c>
      <c r="C37" s="9" t="s">
        <v>944</v>
      </c>
      <c r="D37" s="14">
        <v>29</v>
      </c>
      <c r="E37" s="14">
        <v>0</v>
      </c>
      <c r="F37" s="9"/>
      <c r="G37" s="9" t="s">
        <v>1079</v>
      </c>
    </row>
    <row r="38" spans="1:7" x14ac:dyDescent="0.3">
      <c r="A38" s="9" t="s">
        <v>965</v>
      </c>
      <c r="B38" s="9" t="s">
        <v>863</v>
      </c>
      <c r="C38" s="9" t="s">
        <v>862</v>
      </c>
      <c r="D38" s="14">
        <v>15</v>
      </c>
      <c r="E38" s="14">
        <v>0</v>
      </c>
      <c r="F38" s="9"/>
      <c r="G38" s="9" t="s">
        <v>1079</v>
      </c>
    </row>
    <row r="39" spans="1:7" x14ac:dyDescent="0.3">
      <c r="A39" s="9" t="s">
        <v>969</v>
      </c>
      <c r="B39" s="9" t="s">
        <v>966</v>
      </c>
      <c r="C39" s="9" t="s">
        <v>965</v>
      </c>
      <c r="D39" s="14">
        <v>182</v>
      </c>
      <c r="E39" s="14">
        <v>0</v>
      </c>
      <c r="F39" s="9"/>
      <c r="G39" s="9" t="s">
        <v>1079</v>
      </c>
    </row>
    <row r="40" spans="1:7" x14ac:dyDescent="0.3">
      <c r="A40" s="9" t="s">
        <v>975</v>
      </c>
      <c r="B40" s="9" t="s">
        <v>1099</v>
      </c>
      <c r="C40" s="9" t="s">
        <v>1100</v>
      </c>
      <c r="D40" s="14">
        <v>2</v>
      </c>
      <c r="E40" s="14">
        <v>0</v>
      </c>
      <c r="F40" s="9"/>
      <c r="G40" s="9" t="s">
        <v>1079</v>
      </c>
    </row>
    <row r="41" spans="1:7" x14ac:dyDescent="0.3">
      <c r="A41" s="9" t="s">
        <v>982</v>
      </c>
      <c r="B41" s="9" t="s">
        <v>966</v>
      </c>
      <c r="C41" s="9" t="s">
        <v>979</v>
      </c>
      <c r="D41" s="14">
        <v>7</v>
      </c>
      <c r="E41" s="14">
        <v>0</v>
      </c>
      <c r="F41" s="9"/>
      <c r="G41" s="9" t="s">
        <v>1079</v>
      </c>
    </row>
    <row r="42" spans="1:7" x14ac:dyDescent="0.3">
      <c r="A42" s="9" t="s">
        <v>1002</v>
      </c>
      <c r="B42" s="9" t="s">
        <v>1003</v>
      </c>
      <c r="C42" s="9" t="s">
        <v>1101</v>
      </c>
      <c r="D42" s="14">
        <v>1</v>
      </c>
      <c r="E42" s="14">
        <v>0</v>
      </c>
      <c r="F42" s="9"/>
      <c r="G42" s="9" t="s">
        <v>1079</v>
      </c>
    </row>
    <row r="43" spans="1:7" x14ac:dyDescent="0.3">
      <c r="A43" s="9" t="s">
        <v>1006</v>
      </c>
      <c r="B43" s="9" t="s">
        <v>1003</v>
      </c>
      <c r="C43" s="9" t="s">
        <v>1002</v>
      </c>
      <c r="D43" s="14">
        <v>6</v>
      </c>
      <c r="E43" s="14">
        <v>0</v>
      </c>
      <c r="F43" s="9"/>
      <c r="G43" s="9" t="s">
        <v>1079</v>
      </c>
    </row>
    <row r="44" spans="1:7" x14ac:dyDescent="0.3">
      <c r="A44" s="9" t="s">
        <v>1006</v>
      </c>
      <c r="B44" s="9" t="s">
        <v>1007</v>
      </c>
      <c r="C44" s="9" t="s">
        <v>1102</v>
      </c>
      <c r="D44" s="14">
        <v>1</v>
      </c>
      <c r="E44" s="14">
        <v>0</v>
      </c>
      <c r="F44" s="9"/>
      <c r="G44" s="9" t="s">
        <v>1079</v>
      </c>
    </row>
    <row r="45" spans="1:7" x14ac:dyDescent="0.3">
      <c r="A45" s="9" t="s">
        <v>1013</v>
      </c>
      <c r="B45" s="9" t="s">
        <v>1060</v>
      </c>
      <c r="C45" s="9" t="s">
        <v>1059</v>
      </c>
      <c r="D45" s="14">
        <v>2</v>
      </c>
      <c r="E45" s="14">
        <v>0</v>
      </c>
      <c r="F45" s="9"/>
      <c r="G45" s="9" t="s">
        <v>1079</v>
      </c>
    </row>
    <row r="46" spans="1:7" x14ac:dyDescent="0.3">
      <c r="A46" s="9" t="s">
        <v>1025</v>
      </c>
      <c r="B46" s="9" t="s">
        <v>1018</v>
      </c>
      <c r="C46" s="9" t="s">
        <v>1017</v>
      </c>
      <c r="D46" s="14">
        <v>6</v>
      </c>
      <c r="E46" s="14">
        <v>0</v>
      </c>
      <c r="F46" s="9"/>
      <c r="G46" s="9" t="s">
        <v>1079</v>
      </c>
    </row>
    <row r="47" spans="1:7" x14ac:dyDescent="0.3">
      <c r="A47" s="9" t="s">
        <v>1042</v>
      </c>
      <c r="B47" s="9" t="s">
        <v>1060</v>
      </c>
      <c r="C47" s="9" t="s">
        <v>1059</v>
      </c>
      <c r="D47" s="14">
        <v>2</v>
      </c>
      <c r="E47" s="14">
        <v>0</v>
      </c>
      <c r="F47" s="9"/>
      <c r="G47" s="9" t="s">
        <v>1079</v>
      </c>
    </row>
    <row r="48" spans="1:7" x14ac:dyDescent="0.3">
      <c r="A48" s="9" t="s">
        <v>1042</v>
      </c>
      <c r="B48" s="9" t="s">
        <v>1035</v>
      </c>
      <c r="C48" s="9" t="s">
        <v>1034</v>
      </c>
      <c r="D48" s="14">
        <v>8</v>
      </c>
      <c r="E48" s="14">
        <v>0</v>
      </c>
      <c r="F48" s="9"/>
      <c r="G48" s="9" t="s">
        <v>1079</v>
      </c>
    </row>
    <row r="49" spans="1:7" x14ac:dyDescent="0.3">
      <c r="A49" s="9" t="s">
        <v>1038</v>
      </c>
      <c r="B49" s="9" t="s">
        <v>1035</v>
      </c>
      <c r="C49" s="9" t="s">
        <v>1034</v>
      </c>
      <c r="D49" s="14">
        <v>18</v>
      </c>
      <c r="E49" s="14">
        <v>0</v>
      </c>
      <c r="F49" s="9"/>
      <c r="G49" s="9" t="s">
        <v>1079</v>
      </c>
    </row>
    <row r="50" spans="1:7" x14ac:dyDescent="0.3">
      <c r="A50" s="9" t="s">
        <v>1059</v>
      </c>
      <c r="B50" s="9" t="s">
        <v>1103</v>
      </c>
      <c r="C50" s="9" t="s">
        <v>1104</v>
      </c>
      <c r="D50" s="14">
        <v>4</v>
      </c>
      <c r="E50" s="14">
        <v>0</v>
      </c>
      <c r="F50" s="9"/>
      <c r="G50" s="9" t="s">
        <v>1079</v>
      </c>
    </row>
    <row r="51" spans="1:7" x14ac:dyDescent="0.3">
      <c r="A51" s="9" t="s">
        <v>1063</v>
      </c>
      <c r="B51" s="9" t="s">
        <v>1060</v>
      </c>
      <c r="C51" s="9" t="s">
        <v>1059</v>
      </c>
      <c r="D51" s="14">
        <v>8</v>
      </c>
      <c r="E51" s="14">
        <v>0</v>
      </c>
      <c r="F51" s="9"/>
      <c r="G51" s="9" t="s">
        <v>1079</v>
      </c>
    </row>
  </sheetData>
  <conditionalFormatting sqref="G2:G251">
    <cfRule type="expression" dxfId="8" priority="1">
      <formula>ISNUMBER(SEARCH("Rever",G2))</formula>
    </cfRule>
    <cfRule type="expression" dxfId="7" priority="2">
      <formula>ISNUMBER(SEARCH("OK",G2))</formula>
    </cfRule>
  </conditionalFormatting>
  <pageMargins left="0.75" right="0.75" top="1" bottom="1" header="0.5" footer="0.5"/>
  <pageSetup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10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60" customWidth="1"/>
    <col min="3" max="3" width="18" customWidth="1"/>
    <col min="4" max="4" width="8" customWidth="1"/>
    <col min="5" max="5" width="26" customWidth="1"/>
    <col min="6" max="6" width="36" customWidth="1"/>
  </cols>
  <sheetData>
    <row r="1" spans="1:6" ht="26.4" x14ac:dyDescent="0.3">
      <c r="A1" s="8" t="s">
        <v>92</v>
      </c>
      <c r="B1" s="8" t="s">
        <v>1105</v>
      </c>
      <c r="C1" s="8" t="s">
        <v>1106</v>
      </c>
      <c r="D1" s="8" t="s">
        <v>1107</v>
      </c>
      <c r="E1" s="8" t="s">
        <v>1096</v>
      </c>
      <c r="F1" s="8" t="s">
        <v>1108</v>
      </c>
    </row>
    <row r="2" spans="1:6" ht="26.4" x14ac:dyDescent="0.3">
      <c r="A2" s="9" t="s">
        <v>1109</v>
      </c>
      <c r="B2" s="9" t="s">
        <v>1110</v>
      </c>
      <c r="C2" s="9" t="s">
        <v>1111</v>
      </c>
      <c r="D2" s="9" t="s">
        <v>1109</v>
      </c>
      <c r="E2" s="9" t="s">
        <v>1112</v>
      </c>
      <c r="F2" s="9" t="s">
        <v>1113</v>
      </c>
    </row>
    <row r="3" spans="1:6" ht="26.4" x14ac:dyDescent="0.3">
      <c r="A3" s="9" t="s">
        <v>1114</v>
      </c>
      <c r="B3" s="9" t="s">
        <v>1115</v>
      </c>
      <c r="C3" s="9" t="s">
        <v>1111</v>
      </c>
      <c r="D3" s="9" t="s">
        <v>1114</v>
      </c>
      <c r="E3" s="9" t="s">
        <v>1116</v>
      </c>
      <c r="F3" s="9" t="s">
        <v>1113</v>
      </c>
    </row>
    <row r="4" spans="1:6" ht="26.4" x14ac:dyDescent="0.3">
      <c r="A4" s="9" t="s">
        <v>1117</v>
      </c>
      <c r="B4" s="9" t="s">
        <v>1118</v>
      </c>
      <c r="C4" s="9" t="s">
        <v>1111</v>
      </c>
      <c r="D4" s="9" t="s">
        <v>1119</v>
      </c>
      <c r="E4" s="9" t="s">
        <v>1120</v>
      </c>
      <c r="F4" s="9" t="s">
        <v>1121</v>
      </c>
    </row>
    <row r="5" spans="1:6" ht="26.4" x14ac:dyDescent="0.3">
      <c r="A5" s="9" t="s">
        <v>1122</v>
      </c>
      <c r="B5" s="9" t="s">
        <v>1123</v>
      </c>
      <c r="C5" s="9" t="s">
        <v>1111</v>
      </c>
      <c r="D5" s="9" t="s">
        <v>1119</v>
      </c>
      <c r="E5" s="9" t="s">
        <v>1124</v>
      </c>
      <c r="F5" s="9" t="s">
        <v>1125</v>
      </c>
    </row>
    <row r="6" spans="1:6" x14ac:dyDescent="0.3">
      <c r="A6" s="9" t="s">
        <v>1126</v>
      </c>
      <c r="B6" s="9" t="s">
        <v>1127</v>
      </c>
      <c r="C6" s="9" t="s">
        <v>1111</v>
      </c>
      <c r="D6" s="9" t="s">
        <v>1126</v>
      </c>
      <c r="E6" s="9" t="s">
        <v>1128</v>
      </c>
      <c r="F6" s="9" t="s">
        <v>1129</v>
      </c>
    </row>
    <row r="7" spans="1:6" x14ac:dyDescent="0.3">
      <c r="A7" s="9" t="s">
        <v>1130</v>
      </c>
      <c r="B7" s="9" t="s">
        <v>1131</v>
      </c>
      <c r="C7" s="9" t="s">
        <v>1111</v>
      </c>
      <c r="D7" s="9" t="s">
        <v>1130</v>
      </c>
      <c r="E7" s="9" t="s">
        <v>1132</v>
      </c>
      <c r="F7" s="9" t="s">
        <v>1133</v>
      </c>
    </row>
    <row r="8" spans="1:6" x14ac:dyDescent="0.3">
      <c r="A8" s="9" t="s">
        <v>1134</v>
      </c>
      <c r="B8" s="9" t="s">
        <v>1135</v>
      </c>
      <c r="C8" s="9" t="s">
        <v>1111</v>
      </c>
      <c r="D8" s="9" t="s">
        <v>1134</v>
      </c>
      <c r="E8" s="9" t="s">
        <v>1136</v>
      </c>
      <c r="F8" s="9" t="s">
        <v>1133</v>
      </c>
    </row>
    <row r="9" spans="1:6" ht="26.4" x14ac:dyDescent="0.3">
      <c r="A9" s="9" t="s">
        <v>1137</v>
      </c>
      <c r="B9" s="9" t="s">
        <v>1138</v>
      </c>
      <c r="C9" s="9" t="s">
        <v>1139</v>
      </c>
      <c r="D9" s="9" t="s">
        <v>1126</v>
      </c>
      <c r="E9" s="9" t="s">
        <v>1140</v>
      </c>
      <c r="F9" s="9" t="s">
        <v>1141</v>
      </c>
    </row>
    <row r="10" spans="1:6" ht="26.4" x14ac:dyDescent="0.3">
      <c r="A10" s="9" t="s">
        <v>1142</v>
      </c>
      <c r="B10" s="9" t="s">
        <v>1143</v>
      </c>
      <c r="C10" s="9" t="s">
        <v>1144</v>
      </c>
      <c r="D10" s="9" t="s">
        <v>1126</v>
      </c>
      <c r="E10" s="9" t="s">
        <v>1145</v>
      </c>
      <c r="F10" s="9" t="s">
        <v>1146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23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50" customWidth="1"/>
    <col min="3" max="3" width="8" customWidth="1"/>
  </cols>
  <sheetData>
    <row r="1" spans="1:3" ht="26.4" x14ac:dyDescent="0.3">
      <c r="A1" s="8" t="s">
        <v>1147</v>
      </c>
      <c r="B1" s="8" t="s">
        <v>1148</v>
      </c>
      <c r="C1" s="8" t="s">
        <v>1149</v>
      </c>
    </row>
    <row r="2" spans="1:3" x14ac:dyDescent="0.3">
      <c r="A2" s="9" t="s">
        <v>1150</v>
      </c>
      <c r="B2" s="9" t="s">
        <v>356</v>
      </c>
      <c r="C2" s="9" t="s">
        <v>1151</v>
      </c>
    </row>
    <row r="3" spans="1:3" x14ac:dyDescent="0.3">
      <c r="A3" s="9" t="s">
        <v>1152</v>
      </c>
      <c r="B3" s="9" t="s">
        <v>365</v>
      </c>
      <c r="C3" s="9" t="s">
        <v>1151</v>
      </c>
    </row>
    <row r="4" spans="1:3" ht="26.4" x14ac:dyDescent="0.3">
      <c r="A4" s="9" t="s">
        <v>1153</v>
      </c>
      <c r="B4" s="9" t="s">
        <v>355</v>
      </c>
      <c r="C4" s="9" t="s">
        <v>1119</v>
      </c>
    </row>
    <row r="5" spans="1:3" x14ac:dyDescent="0.3">
      <c r="A5" s="9" t="s">
        <v>1154</v>
      </c>
      <c r="B5" s="9" t="s">
        <v>1155</v>
      </c>
      <c r="C5" s="9" t="s">
        <v>1156</v>
      </c>
    </row>
    <row r="6" spans="1:3" x14ac:dyDescent="0.3">
      <c r="A6" s="9" t="s">
        <v>1157</v>
      </c>
      <c r="B6" s="9" t="s">
        <v>1158</v>
      </c>
      <c r="C6" s="9" t="s">
        <v>1159</v>
      </c>
    </row>
    <row r="7" spans="1:3" x14ac:dyDescent="0.3">
      <c r="A7" s="9" t="s">
        <v>1160</v>
      </c>
      <c r="B7" s="9" t="s">
        <v>1161</v>
      </c>
      <c r="C7" s="9" t="s">
        <v>1119</v>
      </c>
    </row>
    <row r="8" spans="1:3" x14ac:dyDescent="0.3">
      <c r="A8" s="9" t="s">
        <v>1162</v>
      </c>
      <c r="B8" s="9" t="s">
        <v>1163</v>
      </c>
      <c r="C8" s="9" t="s">
        <v>1151</v>
      </c>
    </row>
    <row r="9" spans="1:3" x14ac:dyDescent="0.3">
      <c r="A9" s="9" t="s">
        <v>1164</v>
      </c>
      <c r="B9" s="9" t="s">
        <v>1165</v>
      </c>
      <c r="C9" s="9" t="s">
        <v>1166</v>
      </c>
    </row>
    <row r="10" spans="1:3" x14ac:dyDescent="0.3">
      <c r="A10" s="9" t="s">
        <v>1167</v>
      </c>
      <c r="B10" s="9" t="s">
        <v>1168</v>
      </c>
      <c r="C10" s="9" t="s">
        <v>1151</v>
      </c>
    </row>
    <row r="11" spans="1:3" x14ac:dyDescent="0.3">
      <c r="A11" s="9" t="s">
        <v>1169</v>
      </c>
      <c r="B11" s="9" t="s">
        <v>1170</v>
      </c>
      <c r="C11" s="9" t="s">
        <v>1171</v>
      </c>
    </row>
    <row r="12" spans="1:3" x14ac:dyDescent="0.3">
      <c r="A12" s="9" t="s">
        <v>1172</v>
      </c>
      <c r="B12" s="9" t="s">
        <v>1173</v>
      </c>
      <c r="C12" s="9" t="s">
        <v>1174</v>
      </c>
    </row>
    <row r="13" spans="1:3" x14ac:dyDescent="0.3">
      <c r="A13" s="9" t="s">
        <v>1175</v>
      </c>
      <c r="B13" s="9" t="s">
        <v>399</v>
      </c>
      <c r="C13" s="9" t="s">
        <v>1176</v>
      </c>
    </row>
    <row r="14" spans="1:3" x14ac:dyDescent="0.3">
      <c r="A14" s="9" t="s">
        <v>1177</v>
      </c>
      <c r="B14" s="9" t="s">
        <v>1178</v>
      </c>
      <c r="C14" s="9" t="s">
        <v>1179</v>
      </c>
    </row>
    <row r="15" spans="1:3" x14ac:dyDescent="0.3">
      <c r="A15" s="9" t="s">
        <v>1180</v>
      </c>
      <c r="B15" s="9" t="s">
        <v>1181</v>
      </c>
      <c r="C15" s="9" t="s">
        <v>1159</v>
      </c>
    </row>
    <row r="16" spans="1:3" x14ac:dyDescent="0.3">
      <c r="A16" s="9" t="s">
        <v>1182</v>
      </c>
      <c r="B16" s="9" t="s">
        <v>1183</v>
      </c>
      <c r="C16" s="9" t="s">
        <v>1159</v>
      </c>
    </row>
    <row r="17" spans="1:3" x14ac:dyDescent="0.3">
      <c r="A17" s="9" t="s">
        <v>1184</v>
      </c>
      <c r="B17" s="9" t="s">
        <v>1185</v>
      </c>
      <c r="C17" s="9" t="s">
        <v>1114</v>
      </c>
    </row>
    <row r="18" spans="1:3" x14ac:dyDescent="0.3">
      <c r="A18" s="9" t="s">
        <v>1186</v>
      </c>
      <c r="B18" s="9" t="s">
        <v>1187</v>
      </c>
      <c r="C18" s="9" t="s">
        <v>1109</v>
      </c>
    </row>
    <row r="19" spans="1:3" x14ac:dyDescent="0.3">
      <c r="A19" s="9" t="s">
        <v>1188</v>
      </c>
      <c r="B19" s="9" t="s">
        <v>1189</v>
      </c>
      <c r="C19" s="9" t="s">
        <v>1130</v>
      </c>
    </row>
    <row r="20" spans="1:3" x14ac:dyDescent="0.3">
      <c r="A20" s="9" t="s">
        <v>1190</v>
      </c>
      <c r="B20" s="9" t="s">
        <v>1191</v>
      </c>
      <c r="C20" s="9" t="s">
        <v>1134</v>
      </c>
    </row>
    <row r="21" spans="1:3" x14ac:dyDescent="0.3">
      <c r="A21" s="9" t="s">
        <v>1192</v>
      </c>
      <c r="B21" s="9" t="s">
        <v>1193</v>
      </c>
      <c r="C21" s="9" t="s">
        <v>1156</v>
      </c>
    </row>
    <row r="22" spans="1:3" x14ac:dyDescent="0.3">
      <c r="A22" s="9" t="s">
        <v>1194</v>
      </c>
      <c r="B22" s="9" t="s">
        <v>418</v>
      </c>
      <c r="C22" s="9" t="s">
        <v>1166</v>
      </c>
    </row>
    <row r="23" spans="1:3" x14ac:dyDescent="0.3">
      <c r="A23" s="9" t="s">
        <v>1195</v>
      </c>
      <c r="B23" s="9" t="s">
        <v>1196</v>
      </c>
      <c r="C23" s="9" t="s">
        <v>1197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28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60" customWidth="1"/>
    <col min="3" max="3" width="44" customWidth="1"/>
    <col min="4" max="4" width="10" customWidth="1"/>
  </cols>
  <sheetData>
    <row r="1" spans="1:4" ht="39.6" x14ac:dyDescent="0.3">
      <c r="A1" s="8" t="s">
        <v>154</v>
      </c>
      <c r="B1" s="8" t="s">
        <v>427</v>
      </c>
      <c r="C1" s="8" t="s">
        <v>158</v>
      </c>
      <c r="D1" s="8" t="s">
        <v>157</v>
      </c>
    </row>
    <row r="2" spans="1:4" ht="19.95" customHeight="1" x14ac:dyDescent="0.3">
      <c r="A2" s="9" t="s">
        <v>166</v>
      </c>
      <c r="B2" s="9" t="s">
        <v>1198</v>
      </c>
      <c r="C2" s="9" t="s">
        <v>168</v>
      </c>
      <c r="D2" s="9" t="s">
        <v>1199</v>
      </c>
    </row>
    <row r="3" spans="1:4" ht="19.95" customHeight="1" x14ac:dyDescent="0.3">
      <c r="A3" s="9" t="s">
        <v>175</v>
      </c>
      <c r="B3" s="9" t="s">
        <v>1200</v>
      </c>
      <c r="C3" s="9" t="s">
        <v>168</v>
      </c>
      <c r="D3" s="9" t="s">
        <v>1199</v>
      </c>
    </row>
    <row r="4" spans="1:4" ht="19.95" customHeight="1" x14ac:dyDescent="0.3">
      <c r="A4" s="9" t="s">
        <v>180</v>
      </c>
      <c r="B4" s="9" t="s">
        <v>1201</v>
      </c>
      <c r="C4" s="9" t="s">
        <v>1202</v>
      </c>
      <c r="D4" s="9" t="s">
        <v>1203</v>
      </c>
    </row>
    <row r="5" spans="1:4" ht="19.95" customHeight="1" x14ac:dyDescent="0.3">
      <c r="A5" s="9" t="s">
        <v>188</v>
      </c>
      <c r="B5" s="9" t="s">
        <v>1204</v>
      </c>
      <c r="C5" s="9" t="s">
        <v>168</v>
      </c>
      <c r="D5" s="9" t="s">
        <v>1203</v>
      </c>
    </row>
    <row r="6" spans="1:4" ht="19.95" customHeight="1" x14ac:dyDescent="0.3">
      <c r="A6" s="9" t="s">
        <v>1205</v>
      </c>
      <c r="B6" s="9" t="s">
        <v>1206</v>
      </c>
      <c r="C6" s="9" t="s">
        <v>168</v>
      </c>
      <c r="D6" s="9" t="s">
        <v>1203</v>
      </c>
    </row>
    <row r="7" spans="1:4" ht="19.95" customHeight="1" x14ac:dyDescent="0.3">
      <c r="A7" s="9" t="s">
        <v>205</v>
      </c>
      <c r="B7" s="9" t="s">
        <v>361</v>
      </c>
      <c r="C7" s="9" t="s">
        <v>207</v>
      </c>
      <c r="D7" s="9" t="s">
        <v>1203</v>
      </c>
    </row>
    <row r="8" spans="1:4" ht="19.95" customHeight="1" x14ac:dyDescent="0.3">
      <c r="A8" s="9" t="s">
        <v>212</v>
      </c>
      <c r="B8" s="9" t="s">
        <v>1207</v>
      </c>
      <c r="C8" s="9" t="s">
        <v>168</v>
      </c>
      <c r="D8" s="9" t="s">
        <v>1203</v>
      </c>
    </row>
    <row r="9" spans="1:4" ht="19.95" customHeight="1" x14ac:dyDescent="0.3">
      <c r="A9" s="9" t="s">
        <v>106</v>
      </c>
      <c r="B9" s="9" t="s">
        <v>1208</v>
      </c>
      <c r="C9" s="9" t="s">
        <v>168</v>
      </c>
      <c r="D9" s="9" t="s">
        <v>1203</v>
      </c>
    </row>
    <row r="10" spans="1:4" ht="19.95" customHeight="1" x14ac:dyDescent="0.3">
      <c r="A10" s="9" t="s">
        <v>222</v>
      </c>
      <c r="B10" s="9" t="s">
        <v>1209</v>
      </c>
      <c r="C10" s="9" t="s">
        <v>1210</v>
      </c>
      <c r="D10" s="9" t="s">
        <v>1203</v>
      </c>
    </row>
    <row r="11" spans="1:4" ht="19.95" customHeight="1" x14ac:dyDescent="0.3">
      <c r="A11" s="9" t="s">
        <v>110</v>
      </c>
      <c r="B11" s="9" t="s">
        <v>1211</v>
      </c>
      <c r="C11" s="9" t="s">
        <v>1212</v>
      </c>
      <c r="D11" s="9" t="s">
        <v>1203</v>
      </c>
    </row>
    <row r="12" spans="1:4" ht="19.95" customHeight="1" x14ac:dyDescent="0.3">
      <c r="A12" s="9" t="s">
        <v>234</v>
      </c>
      <c r="B12" s="9" t="s">
        <v>1213</v>
      </c>
      <c r="C12" s="9" t="s">
        <v>1214</v>
      </c>
      <c r="D12" s="9" t="s">
        <v>1203</v>
      </c>
    </row>
    <row r="13" spans="1:4" ht="19.95" customHeight="1" x14ac:dyDescent="0.3">
      <c r="A13" s="9" t="s">
        <v>239</v>
      </c>
      <c r="B13" s="9" t="s">
        <v>1215</v>
      </c>
      <c r="C13" s="9" t="s">
        <v>1216</v>
      </c>
      <c r="D13" s="9" t="s">
        <v>1203</v>
      </c>
    </row>
    <row r="14" spans="1:4" ht="19.95" customHeight="1" x14ac:dyDescent="0.3">
      <c r="A14" s="9" t="s">
        <v>245</v>
      </c>
      <c r="B14" s="9" t="s">
        <v>1217</v>
      </c>
      <c r="C14" s="9" t="s">
        <v>1218</v>
      </c>
      <c r="D14" s="9" t="s">
        <v>1203</v>
      </c>
    </row>
    <row r="15" spans="1:4" ht="19.95" customHeight="1" x14ac:dyDescent="0.3">
      <c r="A15" s="9" t="s">
        <v>250</v>
      </c>
      <c r="B15" s="9" t="s">
        <v>251</v>
      </c>
      <c r="C15" s="9" t="s">
        <v>168</v>
      </c>
      <c r="D15" s="9" t="s">
        <v>1203</v>
      </c>
    </row>
    <row r="16" spans="1:4" ht="19.95" customHeight="1" x14ac:dyDescent="0.3">
      <c r="A16" s="9" t="s">
        <v>254</v>
      </c>
      <c r="B16" s="9" t="s">
        <v>1219</v>
      </c>
      <c r="C16" s="9" t="s">
        <v>1220</v>
      </c>
      <c r="D16" s="9" t="s">
        <v>1203</v>
      </c>
    </row>
    <row r="17" spans="1:4" ht="19.95" customHeight="1" x14ac:dyDescent="0.3">
      <c r="A17" s="9" t="s">
        <v>259</v>
      </c>
      <c r="B17" s="9" t="s">
        <v>1221</v>
      </c>
      <c r="C17" s="9" t="s">
        <v>168</v>
      </c>
      <c r="D17" s="9" t="s">
        <v>1203</v>
      </c>
    </row>
    <row r="18" spans="1:4" ht="19.95" customHeight="1" x14ac:dyDescent="0.3">
      <c r="A18" s="9" t="s">
        <v>263</v>
      </c>
      <c r="B18" s="9" t="s">
        <v>1222</v>
      </c>
      <c r="C18" s="9" t="s">
        <v>1223</v>
      </c>
      <c r="D18" s="9" t="s">
        <v>1203</v>
      </c>
    </row>
    <row r="19" spans="1:4" ht="19.95" customHeight="1" x14ac:dyDescent="0.3">
      <c r="A19" s="9" t="s">
        <v>269</v>
      </c>
      <c r="B19" s="9" t="s">
        <v>1224</v>
      </c>
      <c r="C19" s="9" t="s">
        <v>168</v>
      </c>
      <c r="D19" s="9" t="s">
        <v>1203</v>
      </c>
    </row>
    <row r="20" spans="1:4" ht="19.95" customHeight="1" x14ac:dyDescent="0.3">
      <c r="A20" s="9" t="s">
        <v>126</v>
      </c>
      <c r="B20" s="9" t="s">
        <v>1225</v>
      </c>
      <c r="C20" s="9" t="s">
        <v>276</v>
      </c>
      <c r="D20" s="9" t="s">
        <v>1203</v>
      </c>
    </row>
    <row r="21" spans="1:4" ht="19.95" customHeight="1" x14ac:dyDescent="0.3">
      <c r="A21" s="9" t="s">
        <v>280</v>
      </c>
      <c r="B21" s="9" t="s">
        <v>1226</v>
      </c>
      <c r="C21" s="9" t="s">
        <v>1227</v>
      </c>
      <c r="D21" s="9" t="s">
        <v>1203</v>
      </c>
    </row>
    <row r="22" spans="1:4" ht="19.95" customHeight="1" x14ac:dyDescent="0.3">
      <c r="A22" s="9" t="s">
        <v>287</v>
      </c>
      <c r="B22" s="9" t="s">
        <v>1228</v>
      </c>
      <c r="C22" s="9" t="s">
        <v>168</v>
      </c>
      <c r="D22" s="9" t="s">
        <v>1203</v>
      </c>
    </row>
    <row r="23" spans="1:4" ht="19.95" customHeight="1" x14ac:dyDescent="0.3">
      <c r="A23" s="9" t="s">
        <v>293</v>
      </c>
      <c r="B23" s="9" t="s">
        <v>1229</v>
      </c>
      <c r="C23" s="9" t="s">
        <v>1230</v>
      </c>
      <c r="D23" s="9" t="s">
        <v>1203</v>
      </c>
    </row>
    <row r="24" spans="1:4" ht="19.95" customHeight="1" x14ac:dyDescent="0.3">
      <c r="A24" s="9" t="s">
        <v>299</v>
      </c>
      <c r="B24" s="9" t="s">
        <v>1231</v>
      </c>
      <c r="C24" s="9" t="s">
        <v>1232</v>
      </c>
      <c r="D24" s="9" t="s">
        <v>1203</v>
      </c>
    </row>
    <row r="25" spans="1:4" ht="19.95" customHeight="1" x14ac:dyDescent="0.3">
      <c r="A25" s="9" t="s">
        <v>142</v>
      </c>
      <c r="B25" s="9" t="s">
        <v>1233</v>
      </c>
      <c r="C25" s="9" t="s">
        <v>1234</v>
      </c>
      <c r="D25" s="9" t="s">
        <v>1203</v>
      </c>
    </row>
    <row r="26" spans="1:4" ht="19.95" customHeight="1" x14ac:dyDescent="0.3">
      <c r="A26" s="9" t="s">
        <v>146</v>
      </c>
      <c r="B26" s="9" t="s">
        <v>1235</v>
      </c>
      <c r="C26" s="9" t="s">
        <v>1236</v>
      </c>
      <c r="D26" s="9" t="s">
        <v>1203</v>
      </c>
    </row>
    <row r="27" spans="1:4" ht="19.95" customHeight="1" x14ac:dyDescent="0.3">
      <c r="A27" s="9" t="s">
        <v>311</v>
      </c>
      <c r="B27" s="9" t="s">
        <v>1237</v>
      </c>
      <c r="C27" s="9" t="s">
        <v>1238</v>
      </c>
      <c r="D27" s="9" t="s">
        <v>1203</v>
      </c>
    </row>
    <row r="28" spans="1:4" ht="19.95" customHeight="1" x14ac:dyDescent="0.3">
      <c r="A28" s="9" t="s">
        <v>317</v>
      </c>
      <c r="B28" s="9" t="s">
        <v>1239</v>
      </c>
      <c r="C28" s="9" t="s">
        <v>168</v>
      </c>
      <c r="D28" s="9" t="s">
        <v>1203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24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8" customWidth="1"/>
    <col min="3" max="3" width="9" customWidth="1"/>
    <col min="4" max="4" width="36" customWidth="1"/>
  </cols>
  <sheetData>
    <row r="1" spans="1:4" ht="26.4" x14ac:dyDescent="0.3">
      <c r="A1" s="8" t="s">
        <v>867</v>
      </c>
      <c r="B1" s="8" t="s">
        <v>1240</v>
      </c>
      <c r="C1" s="8" t="s">
        <v>1241</v>
      </c>
      <c r="D1" s="8" t="s">
        <v>1242</v>
      </c>
    </row>
    <row r="2" spans="1:4" x14ac:dyDescent="0.3">
      <c r="A2" s="9" t="s">
        <v>1243</v>
      </c>
      <c r="B2" s="9" t="s">
        <v>1109</v>
      </c>
      <c r="C2" s="14">
        <v>2023</v>
      </c>
      <c r="D2" s="9" t="s">
        <v>1244</v>
      </c>
    </row>
    <row r="3" spans="1:4" x14ac:dyDescent="0.3">
      <c r="A3" s="9" t="s">
        <v>1245</v>
      </c>
      <c r="B3" s="9" t="s">
        <v>1109</v>
      </c>
      <c r="C3" s="14">
        <v>2014</v>
      </c>
      <c r="D3" s="9" t="s">
        <v>1246</v>
      </c>
    </row>
    <row r="4" spans="1:4" x14ac:dyDescent="0.3">
      <c r="A4" s="9" t="s">
        <v>1247</v>
      </c>
      <c r="B4" s="9" t="s">
        <v>1109</v>
      </c>
      <c r="C4" s="14">
        <v>2012</v>
      </c>
      <c r="D4" s="9" t="s">
        <v>1246</v>
      </c>
    </row>
    <row r="5" spans="1:4" x14ac:dyDescent="0.3">
      <c r="A5" s="9" t="s">
        <v>1248</v>
      </c>
      <c r="B5" s="9" t="s">
        <v>1109</v>
      </c>
      <c r="C5" s="14">
        <v>2024</v>
      </c>
      <c r="D5" s="9" t="s">
        <v>1244</v>
      </c>
    </row>
    <row r="6" spans="1:4" x14ac:dyDescent="0.3">
      <c r="A6" s="9" t="s">
        <v>1249</v>
      </c>
      <c r="B6" s="9" t="s">
        <v>1109</v>
      </c>
      <c r="C6" s="14">
        <v>2011</v>
      </c>
      <c r="D6" s="9" t="s">
        <v>1246</v>
      </c>
    </row>
    <row r="7" spans="1:4" x14ac:dyDescent="0.3">
      <c r="A7" s="9" t="s">
        <v>1250</v>
      </c>
      <c r="B7" s="9" t="s">
        <v>1109</v>
      </c>
      <c r="C7" s="14">
        <v>2015</v>
      </c>
      <c r="D7" s="9" t="s">
        <v>1246</v>
      </c>
    </row>
    <row r="8" spans="1:4" x14ac:dyDescent="0.3">
      <c r="A8" s="9" t="s">
        <v>1251</v>
      </c>
      <c r="B8" s="9" t="s">
        <v>1109</v>
      </c>
      <c r="C8" s="14">
        <v>2018</v>
      </c>
      <c r="D8" s="9" t="s">
        <v>1252</v>
      </c>
    </row>
    <row r="9" spans="1:4" x14ac:dyDescent="0.3">
      <c r="A9" s="9" t="s">
        <v>1253</v>
      </c>
      <c r="B9" s="9" t="s">
        <v>1109</v>
      </c>
      <c r="C9" s="14">
        <v>2012</v>
      </c>
      <c r="D9" s="9" t="s">
        <v>1246</v>
      </c>
    </row>
    <row r="10" spans="1:4" x14ac:dyDescent="0.3">
      <c r="A10" s="9" t="s">
        <v>1254</v>
      </c>
      <c r="B10" s="9" t="s">
        <v>1109</v>
      </c>
      <c r="C10" s="14">
        <v>2026</v>
      </c>
      <c r="D10" s="9" t="s">
        <v>1244</v>
      </c>
    </row>
    <row r="11" spans="1:4" x14ac:dyDescent="0.3">
      <c r="A11" s="9" t="s">
        <v>1255</v>
      </c>
      <c r="B11" s="9" t="s">
        <v>1109</v>
      </c>
      <c r="C11" s="14">
        <v>2026</v>
      </c>
      <c r="D11" s="9" t="s">
        <v>1244</v>
      </c>
    </row>
    <row r="12" spans="1:4" x14ac:dyDescent="0.3">
      <c r="A12" s="9" t="s">
        <v>1256</v>
      </c>
      <c r="B12" s="9" t="s">
        <v>1114</v>
      </c>
      <c r="C12" s="14">
        <v>2023</v>
      </c>
      <c r="D12" s="9" t="s">
        <v>1257</v>
      </c>
    </row>
    <row r="13" spans="1:4" x14ac:dyDescent="0.3">
      <c r="A13" s="9" t="s">
        <v>1258</v>
      </c>
      <c r="B13" s="9" t="s">
        <v>1114</v>
      </c>
      <c r="C13" s="14">
        <v>2011</v>
      </c>
      <c r="D13" s="9" t="s">
        <v>1259</v>
      </c>
    </row>
    <row r="14" spans="1:4" x14ac:dyDescent="0.3">
      <c r="A14" s="9" t="s">
        <v>1260</v>
      </c>
      <c r="B14" s="9" t="s">
        <v>1114</v>
      </c>
      <c r="C14" s="14">
        <v>2021</v>
      </c>
      <c r="D14" s="9" t="s">
        <v>1261</v>
      </c>
    </row>
    <row r="15" spans="1:4" x14ac:dyDescent="0.3">
      <c r="A15" s="9" t="s">
        <v>1262</v>
      </c>
      <c r="B15" s="9" t="s">
        <v>1114</v>
      </c>
      <c r="C15" s="14">
        <v>2012</v>
      </c>
      <c r="D15" s="9" t="s">
        <v>1259</v>
      </c>
    </row>
    <row r="16" spans="1:4" x14ac:dyDescent="0.3">
      <c r="A16" s="9" t="s">
        <v>1263</v>
      </c>
      <c r="B16" s="9" t="s">
        <v>1114</v>
      </c>
      <c r="C16" s="14">
        <v>2022</v>
      </c>
      <c r="D16" s="9" t="s">
        <v>1261</v>
      </c>
    </row>
    <row r="17" spans="1:4" x14ac:dyDescent="0.3">
      <c r="A17" s="9" t="s">
        <v>1264</v>
      </c>
      <c r="B17" s="9" t="s">
        <v>1114</v>
      </c>
      <c r="C17" s="14">
        <v>2022</v>
      </c>
      <c r="D17" s="9" t="s">
        <v>1261</v>
      </c>
    </row>
    <row r="18" spans="1:4" x14ac:dyDescent="0.3">
      <c r="A18" s="9" t="s">
        <v>1265</v>
      </c>
      <c r="B18" s="9" t="s">
        <v>1114</v>
      </c>
      <c r="C18" s="14">
        <v>2026</v>
      </c>
      <c r="D18" s="9" t="s">
        <v>1257</v>
      </c>
    </row>
    <row r="19" spans="1:4" x14ac:dyDescent="0.3">
      <c r="A19" s="9" t="s">
        <v>1266</v>
      </c>
      <c r="B19" s="9" t="s">
        <v>1114</v>
      </c>
      <c r="C19" s="14">
        <v>2026</v>
      </c>
      <c r="D19" s="9" t="s">
        <v>1257</v>
      </c>
    </row>
    <row r="20" spans="1:4" ht="26.4" x14ac:dyDescent="0.3">
      <c r="A20" s="9" t="s">
        <v>1267</v>
      </c>
      <c r="B20" s="9" t="s">
        <v>1114</v>
      </c>
      <c r="C20" s="14">
        <v>2026</v>
      </c>
      <c r="D20" s="9" t="s">
        <v>1268</v>
      </c>
    </row>
    <row r="21" spans="1:4" x14ac:dyDescent="0.3">
      <c r="A21" s="9" t="s">
        <v>1269</v>
      </c>
      <c r="B21" s="9" t="s">
        <v>1130</v>
      </c>
      <c r="C21" s="14">
        <v>2013</v>
      </c>
      <c r="D21" s="9" t="s">
        <v>1270</v>
      </c>
    </row>
    <row r="22" spans="1:4" x14ac:dyDescent="0.3">
      <c r="A22" s="9" t="s">
        <v>1271</v>
      </c>
      <c r="B22" s="9" t="s">
        <v>1130</v>
      </c>
      <c r="C22" s="14">
        <v>2013</v>
      </c>
      <c r="D22" s="9" t="s">
        <v>1270</v>
      </c>
    </row>
    <row r="23" spans="1:4" x14ac:dyDescent="0.3">
      <c r="A23" s="9" t="s">
        <v>1272</v>
      </c>
      <c r="B23" s="9" t="s">
        <v>1134</v>
      </c>
      <c r="C23" s="14">
        <v>2023</v>
      </c>
      <c r="D23" s="9" t="s">
        <v>1273</v>
      </c>
    </row>
    <row r="24" spans="1:4" x14ac:dyDescent="0.3">
      <c r="A24" s="9" t="s">
        <v>1274</v>
      </c>
      <c r="B24" s="9" t="s">
        <v>1134</v>
      </c>
      <c r="C24" s="14">
        <v>2021</v>
      </c>
      <c r="D24" s="9" t="s">
        <v>1273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15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6" customWidth="1"/>
    <col min="3" max="3" width="8" customWidth="1"/>
    <col min="4" max="4" width="60" customWidth="1"/>
    <col min="5" max="5" width="50" customWidth="1"/>
  </cols>
  <sheetData>
    <row r="1" spans="1:5" ht="17.399999999999999" x14ac:dyDescent="0.3">
      <c r="A1" s="1" t="s">
        <v>1275</v>
      </c>
    </row>
    <row r="2" spans="1:5" x14ac:dyDescent="0.3">
      <c r="A2" s="2" t="s">
        <v>1276</v>
      </c>
    </row>
    <row r="4" spans="1:5" ht="26.4" x14ac:dyDescent="0.3">
      <c r="A4" s="8" t="s">
        <v>633</v>
      </c>
      <c r="B4" s="8" t="s">
        <v>810</v>
      </c>
      <c r="C4" s="8" t="s">
        <v>1277</v>
      </c>
      <c r="D4" s="8" t="s">
        <v>431</v>
      </c>
      <c r="E4" s="8" t="s">
        <v>1278</v>
      </c>
    </row>
    <row r="5" spans="1:5" ht="30" customHeight="1" x14ac:dyDescent="0.3">
      <c r="A5" s="9" t="s">
        <v>1279</v>
      </c>
      <c r="B5" s="9" t="s">
        <v>1280</v>
      </c>
      <c r="C5" s="14">
        <v>3</v>
      </c>
      <c r="D5" s="9" t="s">
        <v>1281</v>
      </c>
      <c r="E5" s="9" t="s">
        <v>1282</v>
      </c>
    </row>
    <row r="6" spans="1:5" ht="30" customHeight="1" x14ac:dyDescent="0.3">
      <c r="A6" s="9" t="s">
        <v>1283</v>
      </c>
      <c r="B6" s="9" t="s">
        <v>1284</v>
      </c>
      <c r="C6" s="14">
        <v>3</v>
      </c>
      <c r="D6" s="9" t="s">
        <v>1285</v>
      </c>
      <c r="E6" s="9" t="s">
        <v>1286</v>
      </c>
    </row>
    <row r="7" spans="1:5" ht="30" customHeight="1" x14ac:dyDescent="0.3">
      <c r="A7" s="9" t="s">
        <v>1287</v>
      </c>
      <c r="B7" s="9" t="s">
        <v>1288</v>
      </c>
      <c r="C7" s="14">
        <v>3</v>
      </c>
      <c r="D7" s="9" t="s">
        <v>1289</v>
      </c>
      <c r="E7" s="9" t="s">
        <v>1290</v>
      </c>
    </row>
    <row r="8" spans="1:5" ht="30" customHeight="1" x14ac:dyDescent="0.3">
      <c r="A8" s="9" t="s">
        <v>1291</v>
      </c>
      <c r="B8" s="9" t="s">
        <v>1292</v>
      </c>
      <c r="C8" s="14">
        <v>3</v>
      </c>
      <c r="D8" s="9" t="s">
        <v>1293</v>
      </c>
      <c r="E8" s="9" t="s">
        <v>1294</v>
      </c>
    </row>
    <row r="9" spans="1:5" ht="30" customHeight="1" x14ac:dyDescent="0.3">
      <c r="A9" s="9" t="s">
        <v>1295</v>
      </c>
      <c r="B9" s="9" t="s">
        <v>1296</v>
      </c>
      <c r="C9" s="14">
        <v>3</v>
      </c>
      <c r="D9" s="9" t="s">
        <v>1297</v>
      </c>
      <c r="E9" s="9" t="s">
        <v>1298</v>
      </c>
    </row>
    <row r="10" spans="1:5" ht="30" customHeight="1" x14ac:dyDescent="0.3">
      <c r="A10" s="9" t="s">
        <v>1299</v>
      </c>
      <c r="B10" s="9" t="s">
        <v>1300</v>
      </c>
      <c r="C10" s="14">
        <v>3</v>
      </c>
      <c r="D10" s="9" t="s">
        <v>1301</v>
      </c>
      <c r="E10" s="9" t="s">
        <v>1302</v>
      </c>
    </row>
    <row r="11" spans="1:5" ht="30" customHeight="1" x14ac:dyDescent="0.3">
      <c r="A11" s="9" t="s">
        <v>1303</v>
      </c>
      <c r="B11" s="9" t="s">
        <v>1304</v>
      </c>
      <c r="C11" s="14">
        <v>2</v>
      </c>
      <c r="D11" s="9" t="s">
        <v>1305</v>
      </c>
      <c r="E11" s="9" t="s">
        <v>1306</v>
      </c>
    </row>
    <row r="12" spans="1:5" ht="30" customHeight="1" x14ac:dyDescent="0.3">
      <c r="A12" s="9" t="s">
        <v>1307</v>
      </c>
      <c r="B12" s="9" t="s">
        <v>1308</v>
      </c>
      <c r="C12" s="14">
        <v>3</v>
      </c>
      <c r="D12" s="9" t="s">
        <v>1309</v>
      </c>
      <c r="E12" s="9" t="s">
        <v>1310</v>
      </c>
    </row>
    <row r="13" spans="1:5" ht="30" customHeight="1" x14ac:dyDescent="0.3">
      <c r="A13" s="9" t="s">
        <v>1311</v>
      </c>
      <c r="B13" s="9" t="s">
        <v>1312</v>
      </c>
      <c r="C13" s="14">
        <v>3</v>
      </c>
      <c r="D13" s="9" t="s">
        <v>1313</v>
      </c>
      <c r="E13" s="9" t="s">
        <v>1314</v>
      </c>
    </row>
    <row r="15" spans="1:5" x14ac:dyDescent="0.3">
      <c r="B15" s="16" t="s">
        <v>486</v>
      </c>
      <c r="C15" s="19">
        <f>AVERAGE(tbl_maturidade[Nivel_1a4])</f>
        <v>2.8888888888888888</v>
      </c>
    </row>
  </sheetData>
  <dataValidations count="1">
    <dataValidation type="list" allowBlank="1" showErrorMessage="1" errorTitle="Valor inválido" error="Valor fora da lista controlada (ver folha Listas)." sqref="C5:C213" xr:uid="{00000000-0002-0000-0E00-000000000000}">
      <formula1>lst_Nivel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L33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28" customWidth="1"/>
    <col min="3" max="3" width="10" customWidth="1"/>
    <col min="4" max="4" width="22" customWidth="1"/>
    <col min="5" max="5" width="10" customWidth="1"/>
    <col min="6" max="6" width="22" customWidth="1"/>
    <col min="7" max="7" width="9" customWidth="1"/>
    <col min="8" max="10" width="8" customWidth="1"/>
    <col min="11" max="12" width="9" customWidth="1"/>
  </cols>
  <sheetData>
    <row r="1" spans="1:12" ht="17.399999999999999" x14ac:dyDescent="0.3">
      <c r="A1" s="1" t="s">
        <v>1315</v>
      </c>
    </row>
    <row r="2" spans="1:12" x14ac:dyDescent="0.3">
      <c r="A2" s="2" t="s">
        <v>1316</v>
      </c>
    </row>
    <row r="4" spans="1:12" ht="39.6" x14ac:dyDescent="0.3">
      <c r="A4" s="8" t="s">
        <v>1317</v>
      </c>
      <c r="B4" s="8" t="s">
        <v>723</v>
      </c>
      <c r="C4" s="8" t="s">
        <v>1318</v>
      </c>
      <c r="D4" s="8" t="s">
        <v>1319</v>
      </c>
      <c r="E4" s="8" t="s">
        <v>1320</v>
      </c>
      <c r="F4" s="8" t="s">
        <v>1321</v>
      </c>
      <c r="G4" s="10" t="s">
        <v>1322</v>
      </c>
      <c r="H4" s="8" t="s">
        <v>1323</v>
      </c>
      <c r="I4" s="8" t="s">
        <v>1324</v>
      </c>
      <c r="J4" s="10" t="s">
        <v>1325</v>
      </c>
      <c r="K4" s="10" t="s">
        <v>1326</v>
      </c>
      <c r="L4" s="10" t="s">
        <v>1327</v>
      </c>
    </row>
    <row r="5" spans="1:12" ht="18" customHeight="1" x14ac:dyDescent="0.3">
      <c r="A5" s="9" t="s">
        <v>1328</v>
      </c>
      <c r="B5" s="9" t="s">
        <v>1329</v>
      </c>
      <c r="C5" s="9" t="s">
        <v>96</v>
      </c>
      <c r="D5" s="9" t="s">
        <v>801</v>
      </c>
      <c r="E5" s="9" t="s">
        <v>729</v>
      </c>
      <c r="F5" s="9" t="s">
        <v>801</v>
      </c>
      <c r="G5" s="11" t="str">
        <f t="shared" ref="G5:G33" si="0">IF(A5="","",IF(D5=F5,"Sim","Não"))</f>
        <v>Sim</v>
      </c>
      <c r="H5" s="14">
        <v>20</v>
      </c>
      <c r="I5" s="14">
        <v>20</v>
      </c>
      <c r="J5" s="20">
        <f>COUNTIFS(tbl_harmonizacao[ID_Par],A5,tbl_harmonizacao[Correspondencia],"Igual")</f>
        <v>16</v>
      </c>
      <c r="K5" s="20">
        <f>COUNTIFS(tbl_harmonizacao[ID_Par],A5,tbl_harmonizacao[Correspondencia],"Equivalente*")</f>
        <v>1</v>
      </c>
      <c r="L5" s="21">
        <f t="shared" ref="L5:L33" si="1">IF(A5="","",IFERROR((J5+K5)/I5,""))</f>
        <v>0.85</v>
      </c>
    </row>
    <row r="6" spans="1:12" ht="18" customHeight="1" x14ac:dyDescent="0.3">
      <c r="A6" s="9" t="s">
        <v>1330</v>
      </c>
      <c r="B6" s="9" t="s">
        <v>1331</v>
      </c>
      <c r="C6" s="9" t="s">
        <v>100</v>
      </c>
      <c r="D6" s="9" t="s">
        <v>822</v>
      </c>
      <c r="E6" s="9" t="s">
        <v>1332</v>
      </c>
      <c r="F6" s="9" t="s">
        <v>822</v>
      </c>
      <c r="G6" s="11" t="str">
        <f t="shared" si="0"/>
        <v>Sim</v>
      </c>
      <c r="H6" s="14">
        <v>4</v>
      </c>
      <c r="I6" s="14">
        <v>3</v>
      </c>
      <c r="J6" s="20">
        <f>COUNTIFS(tbl_harmonizacao[ID_Par],A6,tbl_harmonizacao[Correspondencia],"Igual")</f>
        <v>3</v>
      </c>
      <c r="K6" s="20">
        <f>COUNTIFS(tbl_harmonizacao[ID_Par],A6,tbl_harmonizacao[Correspondencia],"Equivalente*")</f>
        <v>0</v>
      </c>
      <c r="L6" s="21">
        <f t="shared" si="1"/>
        <v>1</v>
      </c>
    </row>
    <row r="7" spans="1:12" ht="18" customHeight="1" x14ac:dyDescent="0.3">
      <c r="A7" s="9" t="s">
        <v>1333</v>
      </c>
      <c r="B7" s="9" t="s">
        <v>833</v>
      </c>
      <c r="C7" s="9" t="s">
        <v>100</v>
      </c>
      <c r="D7" s="9" t="s">
        <v>834</v>
      </c>
      <c r="E7" s="9" t="s">
        <v>1334</v>
      </c>
      <c r="F7" s="9" t="s">
        <v>834</v>
      </c>
      <c r="G7" s="11" t="str">
        <f t="shared" si="0"/>
        <v>Sim</v>
      </c>
      <c r="H7" s="14">
        <v>19</v>
      </c>
      <c r="I7" s="14">
        <v>18</v>
      </c>
      <c r="J7" s="20">
        <f>COUNTIFS(tbl_harmonizacao[ID_Par],A7,tbl_harmonizacao[Correspondencia],"Igual")</f>
        <v>15</v>
      </c>
      <c r="K7" s="20">
        <f>COUNTIFS(tbl_harmonizacao[ID_Par],A7,tbl_harmonizacao[Correspondencia],"Equivalente*")</f>
        <v>1</v>
      </c>
      <c r="L7" s="21">
        <f t="shared" si="1"/>
        <v>0.88888888888888884</v>
      </c>
    </row>
    <row r="8" spans="1:12" ht="18" customHeight="1" x14ac:dyDescent="0.3">
      <c r="A8" s="9" t="s">
        <v>1335</v>
      </c>
      <c r="B8" s="9" t="s">
        <v>1336</v>
      </c>
      <c r="C8" s="9" t="s">
        <v>112</v>
      </c>
      <c r="D8" s="9" t="s">
        <v>891</v>
      </c>
      <c r="E8" s="9" t="s">
        <v>1332</v>
      </c>
      <c r="F8" s="9" t="s">
        <v>891</v>
      </c>
      <c r="G8" s="11" t="str">
        <f t="shared" si="0"/>
        <v>Sim</v>
      </c>
      <c r="H8" s="14">
        <v>28</v>
      </c>
      <c r="I8" s="14">
        <v>12</v>
      </c>
      <c r="J8" s="20">
        <f>COUNTIFS(tbl_harmonizacao[ID_Par],A8,tbl_harmonizacao[Correspondencia],"Igual")</f>
        <v>11</v>
      </c>
      <c r="K8" s="20">
        <f>COUNTIFS(tbl_harmonizacao[ID_Par],A8,tbl_harmonizacao[Correspondencia],"Equivalente*")</f>
        <v>1</v>
      </c>
      <c r="L8" s="21">
        <f t="shared" si="1"/>
        <v>1</v>
      </c>
    </row>
    <row r="9" spans="1:12" ht="18" customHeight="1" x14ac:dyDescent="0.3">
      <c r="A9" s="9" t="s">
        <v>1337</v>
      </c>
      <c r="B9" s="9" t="s">
        <v>1338</v>
      </c>
      <c r="C9" s="9" t="s">
        <v>112</v>
      </c>
      <c r="D9" s="9" t="s">
        <v>908</v>
      </c>
      <c r="E9" s="9" t="s">
        <v>1332</v>
      </c>
      <c r="F9" s="9" t="s">
        <v>908</v>
      </c>
      <c r="G9" s="11" t="str">
        <f t="shared" si="0"/>
        <v>Sim</v>
      </c>
      <c r="H9" s="14">
        <v>35</v>
      </c>
      <c r="I9" s="14">
        <v>29</v>
      </c>
      <c r="J9" s="20">
        <f>COUNTIFS(tbl_harmonizacao[ID_Par],A9,tbl_harmonizacao[Correspondencia],"Igual")</f>
        <v>29</v>
      </c>
      <c r="K9" s="20">
        <f>COUNTIFS(tbl_harmonizacao[ID_Par],A9,tbl_harmonizacao[Correspondencia],"Equivalente*")</f>
        <v>0</v>
      </c>
      <c r="L9" s="21">
        <f t="shared" si="1"/>
        <v>1</v>
      </c>
    </row>
    <row r="10" spans="1:12" ht="18" customHeight="1" x14ac:dyDescent="0.3">
      <c r="A10" s="9" t="s">
        <v>1339</v>
      </c>
      <c r="B10" s="9" t="s">
        <v>1340</v>
      </c>
      <c r="C10" s="9" t="s">
        <v>112</v>
      </c>
      <c r="D10" s="9" t="s">
        <v>749</v>
      </c>
      <c r="E10" s="9" t="s">
        <v>744</v>
      </c>
      <c r="F10" s="9" t="s">
        <v>749</v>
      </c>
      <c r="G10" s="11" t="str">
        <f t="shared" si="0"/>
        <v>Sim</v>
      </c>
      <c r="H10" s="14">
        <v>5</v>
      </c>
      <c r="I10" s="14">
        <v>4</v>
      </c>
      <c r="J10" s="20">
        <f>COUNTIFS(tbl_harmonizacao[ID_Par],A10,tbl_harmonizacao[Correspondencia],"Igual")</f>
        <v>4</v>
      </c>
      <c r="K10" s="20">
        <f>COUNTIFS(tbl_harmonizacao[ID_Par],A10,tbl_harmonizacao[Correspondencia],"Equivalente*")</f>
        <v>0</v>
      </c>
      <c r="L10" s="21">
        <f t="shared" si="1"/>
        <v>1</v>
      </c>
    </row>
    <row r="11" spans="1:12" ht="18" customHeight="1" x14ac:dyDescent="0.3">
      <c r="A11" s="9" t="s">
        <v>1341</v>
      </c>
      <c r="B11" s="9" t="s">
        <v>1342</v>
      </c>
      <c r="C11" s="9" t="s">
        <v>116</v>
      </c>
      <c r="D11" s="9" t="s">
        <v>929</v>
      </c>
      <c r="E11" s="9" t="s">
        <v>744</v>
      </c>
      <c r="F11" s="9" t="s">
        <v>929</v>
      </c>
      <c r="G11" s="11" t="str">
        <f t="shared" si="0"/>
        <v>Sim</v>
      </c>
      <c r="H11" s="14">
        <v>14</v>
      </c>
      <c r="I11" s="14">
        <v>12</v>
      </c>
      <c r="J11" s="20">
        <f>COUNTIFS(tbl_harmonizacao[ID_Par],A11,tbl_harmonizacao[Correspondencia],"Igual")</f>
        <v>10</v>
      </c>
      <c r="K11" s="20">
        <f>COUNTIFS(tbl_harmonizacao[ID_Par],A11,tbl_harmonizacao[Correspondencia],"Equivalente*")</f>
        <v>0</v>
      </c>
      <c r="L11" s="21">
        <f t="shared" si="1"/>
        <v>0.83333333333333337</v>
      </c>
    </row>
    <row r="12" spans="1:12" ht="18" customHeight="1" x14ac:dyDescent="0.3">
      <c r="A12" s="9" t="s">
        <v>1343</v>
      </c>
      <c r="B12" s="9" t="s">
        <v>1344</v>
      </c>
      <c r="C12" s="9" t="s">
        <v>116</v>
      </c>
      <c r="D12" s="9" t="s">
        <v>753</v>
      </c>
      <c r="E12" s="9" t="s">
        <v>744</v>
      </c>
      <c r="F12" s="9" t="s">
        <v>753</v>
      </c>
      <c r="G12" s="11" t="str">
        <f t="shared" si="0"/>
        <v>Sim</v>
      </c>
      <c r="H12" s="14">
        <v>14</v>
      </c>
      <c r="I12" s="14">
        <v>10</v>
      </c>
      <c r="J12" s="20">
        <f>COUNTIFS(tbl_harmonizacao[ID_Par],A12,tbl_harmonizacao[Correspondencia],"Igual")</f>
        <v>10</v>
      </c>
      <c r="K12" s="20">
        <f>COUNTIFS(tbl_harmonizacao[ID_Par],A12,tbl_harmonizacao[Correspondencia],"Equivalente*")</f>
        <v>0</v>
      </c>
      <c r="L12" s="21">
        <f t="shared" si="1"/>
        <v>1</v>
      </c>
    </row>
    <row r="13" spans="1:12" ht="18" customHeight="1" x14ac:dyDescent="0.3">
      <c r="A13" s="9" t="s">
        <v>1345</v>
      </c>
      <c r="B13" s="9" t="s">
        <v>1346</v>
      </c>
      <c r="C13" s="9" t="s">
        <v>120</v>
      </c>
      <c r="D13" s="9" t="s">
        <v>940</v>
      </c>
      <c r="E13" s="9" t="s">
        <v>1334</v>
      </c>
      <c r="F13" s="9" t="s">
        <v>940</v>
      </c>
      <c r="G13" s="11" t="str">
        <f t="shared" si="0"/>
        <v>Sim</v>
      </c>
      <c r="H13" s="14">
        <v>17</v>
      </c>
      <c r="I13" s="14">
        <v>18</v>
      </c>
      <c r="J13" s="20">
        <f>COUNTIFS(tbl_harmonizacao[ID_Par],A13,tbl_harmonizacao[Correspondencia],"Igual")</f>
        <v>15</v>
      </c>
      <c r="K13" s="20">
        <f>COUNTIFS(tbl_harmonizacao[ID_Par],A13,tbl_harmonizacao[Correspondencia],"Equivalente*")</f>
        <v>2</v>
      </c>
      <c r="L13" s="21">
        <f t="shared" si="1"/>
        <v>0.94444444444444442</v>
      </c>
    </row>
    <row r="14" spans="1:12" ht="18" customHeight="1" x14ac:dyDescent="0.3">
      <c r="A14" s="9" t="s">
        <v>1347</v>
      </c>
      <c r="B14" s="9" t="s">
        <v>1348</v>
      </c>
      <c r="C14" s="9" t="s">
        <v>120</v>
      </c>
      <c r="D14" s="9" t="s">
        <v>948</v>
      </c>
      <c r="E14" s="9" t="s">
        <v>1334</v>
      </c>
      <c r="F14" s="9" t="s">
        <v>948</v>
      </c>
      <c r="G14" s="11" t="str">
        <f t="shared" si="0"/>
        <v>Sim</v>
      </c>
      <c r="H14" s="14">
        <v>12</v>
      </c>
      <c r="I14" s="14">
        <v>12</v>
      </c>
      <c r="J14" s="20">
        <f>COUNTIFS(tbl_harmonizacao[ID_Par],A14,tbl_harmonizacao[Correspondencia],"Igual")</f>
        <v>12</v>
      </c>
      <c r="K14" s="20">
        <f>COUNTIFS(tbl_harmonizacao[ID_Par],A14,tbl_harmonizacao[Correspondencia],"Equivalente*")</f>
        <v>0</v>
      </c>
      <c r="L14" s="21">
        <f t="shared" si="1"/>
        <v>1</v>
      </c>
    </row>
    <row r="15" spans="1:12" ht="18" customHeight="1" x14ac:dyDescent="0.3">
      <c r="A15" s="9" t="s">
        <v>1349</v>
      </c>
      <c r="B15" s="9" t="s">
        <v>1350</v>
      </c>
      <c r="C15" s="9" t="s">
        <v>120</v>
      </c>
      <c r="D15" s="9" t="s">
        <v>956</v>
      </c>
      <c r="E15" s="9" t="s">
        <v>1351</v>
      </c>
      <c r="F15" s="9" t="s">
        <v>956</v>
      </c>
      <c r="G15" s="11" t="str">
        <f t="shared" si="0"/>
        <v>Sim</v>
      </c>
      <c r="H15" s="14">
        <v>9</v>
      </c>
      <c r="I15" s="14">
        <v>19</v>
      </c>
      <c r="J15" s="20">
        <f>COUNTIFS(tbl_harmonizacao[ID_Par],A15,tbl_harmonizacao[Correspondencia],"Igual")</f>
        <v>9</v>
      </c>
      <c r="K15" s="20">
        <f>COUNTIFS(tbl_harmonizacao[ID_Par],A15,tbl_harmonizacao[Correspondencia],"Equivalente*")</f>
        <v>0</v>
      </c>
      <c r="L15" s="21">
        <f t="shared" si="1"/>
        <v>0.47368421052631576</v>
      </c>
    </row>
    <row r="16" spans="1:12" ht="18" customHeight="1" x14ac:dyDescent="0.3">
      <c r="A16" s="9" t="s">
        <v>1352</v>
      </c>
      <c r="B16" s="9" t="s">
        <v>1353</v>
      </c>
      <c r="C16" s="9" t="s">
        <v>132</v>
      </c>
      <c r="D16" s="9" t="s">
        <v>1002</v>
      </c>
      <c r="E16" s="9" t="s">
        <v>739</v>
      </c>
      <c r="F16" s="9" t="s">
        <v>1002</v>
      </c>
      <c r="G16" s="11" t="str">
        <f t="shared" si="0"/>
        <v>Sim</v>
      </c>
      <c r="H16" s="14">
        <v>28</v>
      </c>
      <c r="I16" s="14">
        <v>29</v>
      </c>
      <c r="J16" s="20">
        <f>COUNTIFS(tbl_harmonizacao[ID_Par],A16,tbl_harmonizacao[Correspondencia],"Igual")</f>
        <v>25</v>
      </c>
      <c r="K16" s="20">
        <f>COUNTIFS(tbl_harmonizacao[ID_Par],A16,tbl_harmonizacao[Correspondencia],"Equivalente*")</f>
        <v>2</v>
      </c>
      <c r="L16" s="21">
        <f t="shared" si="1"/>
        <v>0.93103448275862066</v>
      </c>
    </row>
    <row r="17" spans="1:12" ht="18" customHeight="1" x14ac:dyDescent="0.3">
      <c r="A17" s="9" t="s">
        <v>1354</v>
      </c>
      <c r="B17" s="9" t="s">
        <v>1355</v>
      </c>
      <c r="C17" s="9" t="s">
        <v>132</v>
      </c>
      <c r="D17" s="9" t="s">
        <v>1006</v>
      </c>
      <c r="E17" s="9" t="s">
        <v>739</v>
      </c>
      <c r="F17" s="9" t="s">
        <v>1006</v>
      </c>
      <c r="G17" s="11" t="str">
        <f t="shared" si="0"/>
        <v>Sim</v>
      </c>
      <c r="H17" s="14">
        <v>10</v>
      </c>
      <c r="I17" s="14">
        <v>10</v>
      </c>
      <c r="J17" s="20">
        <f>COUNTIFS(tbl_harmonizacao[ID_Par],A17,tbl_harmonizacao[Correspondencia],"Igual")</f>
        <v>10</v>
      </c>
      <c r="K17" s="20">
        <f>COUNTIFS(tbl_harmonizacao[ID_Par],A17,tbl_harmonizacao[Correspondencia],"Equivalente*")</f>
        <v>0</v>
      </c>
      <c r="L17" s="21">
        <f t="shared" si="1"/>
        <v>1</v>
      </c>
    </row>
    <row r="18" spans="1:12" ht="18" customHeight="1" x14ac:dyDescent="0.3">
      <c r="A18" s="9" t="s">
        <v>1356</v>
      </c>
      <c r="B18" s="9" t="s">
        <v>1357</v>
      </c>
      <c r="C18" s="9" t="s">
        <v>140</v>
      </c>
      <c r="D18" s="9" t="s">
        <v>1034</v>
      </c>
      <c r="E18" s="9" t="s">
        <v>1358</v>
      </c>
      <c r="F18" s="9" t="s">
        <v>1034</v>
      </c>
      <c r="G18" s="11" t="str">
        <f t="shared" si="0"/>
        <v>Sim</v>
      </c>
      <c r="H18" s="14">
        <v>12</v>
      </c>
      <c r="I18" s="14">
        <v>13</v>
      </c>
      <c r="J18" s="20">
        <f>COUNTIFS(tbl_harmonizacao[ID_Par],A18,tbl_harmonizacao[Correspondencia],"Igual")</f>
        <v>7</v>
      </c>
      <c r="K18" s="20">
        <f>COUNTIFS(tbl_harmonizacao[ID_Par],A18,tbl_harmonizacao[Correspondencia],"Equivalente*")</f>
        <v>0</v>
      </c>
      <c r="L18" s="21">
        <f t="shared" si="1"/>
        <v>0.53846153846153844</v>
      </c>
    </row>
    <row r="19" spans="1:12" ht="18" customHeight="1" x14ac:dyDescent="0.3">
      <c r="A19" s="9" t="s">
        <v>1359</v>
      </c>
      <c r="B19" s="9" t="s">
        <v>1360</v>
      </c>
      <c r="C19" s="9" t="s">
        <v>140</v>
      </c>
      <c r="D19" s="9" t="s">
        <v>1042</v>
      </c>
      <c r="E19" s="9" t="s">
        <v>1358</v>
      </c>
      <c r="F19" s="9" t="s">
        <v>1042</v>
      </c>
      <c r="G19" s="11" t="str">
        <f t="shared" si="0"/>
        <v>Sim</v>
      </c>
      <c r="H19" s="14">
        <v>11</v>
      </c>
      <c r="I19" s="14">
        <v>16</v>
      </c>
      <c r="J19" s="20">
        <f>COUNTIFS(tbl_harmonizacao[ID_Par],A19,tbl_harmonizacao[Correspondencia],"Igual")</f>
        <v>7</v>
      </c>
      <c r="K19" s="20">
        <f>COUNTIFS(tbl_harmonizacao[ID_Par],A19,tbl_harmonizacao[Correspondencia],"Equivalente*")</f>
        <v>0</v>
      </c>
      <c r="L19" s="21">
        <f t="shared" si="1"/>
        <v>0.4375</v>
      </c>
    </row>
    <row r="20" spans="1:12" ht="18" customHeight="1" x14ac:dyDescent="0.3">
      <c r="A20" s="9" t="s">
        <v>1361</v>
      </c>
      <c r="B20" s="9" t="s">
        <v>1362</v>
      </c>
      <c r="C20" s="9" t="s">
        <v>144</v>
      </c>
      <c r="D20" s="9" t="s">
        <v>1047</v>
      </c>
      <c r="E20" s="9" t="s">
        <v>1363</v>
      </c>
      <c r="F20" s="9" t="s">
        <v>1047</v>
      </c>
      <c r="G20" s="11" t="str">
        <f t="shared" si="0"/>
        <v>Sim</v>
      </c>
      <c r="H20" s="14">
        <v>8</v>
      </c>
      <c r="I20" s="14">
        <v>9</v>
      </c>
      <c r="J20" s="20">
        <f>COUNTIFS(tbl_harmonizacao[ID_Par],A20,tbl_harmonizacao[Correspondencia],"Igual")</f>
        <v>8</v>
      </c>
      <c r="K20" s="20">
        <f>COUNTIFS(tbl_harmonizacao[ID_Par],A20,tbl_harmonizacao[Correspondencia],"Equivalente*")</f>
        <v>0</v>
      </c>
      <c r="L20" s="21">
        <f t="shared" si="1"/>
        <v>0.88888888888888884</v>
      </c>
    </row>
    <row r="21" spans="1:12" ht="18" customHeight="1" x14ac:dyDescent="0.3">
      <c r="A21" s="9" t="s">
        <v>1364</v>
      </c>
      <c r="B21" s="9" t="s">
        <v>1365</v>
      </c>
      <c r="C21" s="9" t="s">
        <v>144</v>
      </c>
      <c r="D21" s="9" t="s">
        <v>1051</v>
      </c>
      <c r="E21" s="9" t="s">
        <v>1363</v>
      </c>
      <c r="F21" s="9" t="s">
        <v>1051</v>
      </c>
      <c r="G21" s="11" t="str">
        <f t="shared" si="0"/>
        <v>Sim</v>
      </c>
      <c r="H21" s="14">
        <v>10</v>
      </c>
      <c r="I21" s="14">
        <v>11</v>
      </c>
      <c r="J21" s="20">
        <f>COUNTIFS(tbl_harmonizacao[ID_Par],A21,tbl_harmonizacao[Correspondencia],"Igual")</f>
        <v>7</v>
      </c>
      <c r="K21" s="20">
        <f>COUNTIFS(tbl_harmonizacao[ID_Par],A21,tbl_harmonizacao[Correspondencia],"Equivalente*")</f>
        <v>1</v>
      </c>
      <c r="L21" s="21">
        <f t="shared" si="1"/>
        <v>0.72727272727272729</v>
      </c>
    </row>
    <row r="22" spans="1:12" ht="18" customHeight="1" x14ac:dyDescent="0.3">
      <c r="A22" s="9" t="s">
        <v>1366</v>
      </c>
      <c r="B22" s="9" t="s">
        <v>1367</v>
      </c>
      <c r="C22" s="9" t="s">
        <v>148</v>
      </c>
      <c r="D22" s="9" t="s">
        <v>1059</v>
      </c>
      <c r="E22" s="9" t="s">
        <v>1368</v>
      </c>
      <c r="F22" s="9" t="s">
        <v>1059</v>
      </c>
      <c r="G22" s="11" t="str">
        <f t="shared" si="0"/>
        <v>Sim</v>
      </c>
      <c r="H22" s="14">
        <v>24</v>
      </c>
      <c r="I22" s="14">
        <v>32</v>
      </c>
      <c r="J22" s="20">
        <f>COUNTIFS(tbl_harmonizacao[ID_Par],A22,tbl_harmonizacao[Correspondencia],"Igual")</f>
        <v>21</v>
      </c>
      <c r="K22" s="20">
        <f>COUNTIFS(tbl_harmonizacao[ID_Par],A22,tbl_harmonizacao[Correspondencia],"Equivalente*")</f>
        <v>0</v>
      </c>
      <c r="L22" s="21">
        <f t="shared" si="1"/>
        <v>0.65625</v>
      </c>
    </row>
    <row r="23" spans="1:12" ht="18" customHeight="1" x14ac:dyDescent="0.3">
      <c r="A23" s="9" t="s">
        <v>1369</v>
      </c>
      <c r="B23" s="9" t="s">
        <v>1370</v>
      </c>
      <c r="C23" s="9" t="s">
        <v>148</v>
      </c>
      <c r="D23" s="9" t="s">
        <v>1063</v>
      </c>
      <c r="E23" s="9" t="s">
        <v>1368</v>
      </c>
      <c r="F23" s="9" t="s">
        <v>1063</v>
      </c>
      <c r="G23" s="11" t="str">
        <f t="shared" si="0"/>
        <v>Sim</v>
      </c>
      <c r="H23" s="14">
        <v>7</v>
      </c>
      <c r="I23" s="14">
        <v>7</v>
      </c>
      <c r="J23" s="20">
        <f>COUNTIFS(tbl_harmonizacao[ID_Par],A23,tbl_harmonizacao[Correspondencia],"Igual")</f>
        <v>7</v>
      </c>
      <c r="K23" s="20">
        <f>COUNTIFS(tbl_harmonizacao[ID_Par],A23,tbl_harmonizacao[Correspondencia],"Equivalente*")</f>
        <v>0</v>
      </c>
      <c r="L23" s="21">
        <f t="shared" si="1"/>
        <v>1</v>
      </c>
    </row>
    <row r="24" spans="1:12" ht="18" customHeight="1" x14ac:dyDescent="0.3">
      <c r="A24" s="9" t="s">
        <v>1371</v>
      </c>
      <c r="B24" s="9" t="s">
        <v>1372</v>
      </c>
      <c r="C24" s="9" t="s">
        <v>4</v>
      </c>
      <c r="D24" s="9" t="s">
        <v>1373</v>
      </c>
      <c r="E24" s="9" t="s">
        <v>1374</v>
      </c>
      <c r="F24" s="9" t="s">
        <v>1373</v>
      </c>
      <c r="G24" s="11" t="str">
        <f t="shared" si="0"/>
        <v>Sim</v>
      </c>
      <c r="H24" s="14">
        <v>13</v>
      </c>
      <c r="I24" s="14">
        <v>12</v>
      </c>
      <c r="J24" s="20">
        <f>COUNTIFS(tbl_harmonizacao[ID_Par],A24,tbl_harmonizacao[Correspondencia],"Igual")</f>
        <v>11</v>
      </c>
      <c r="K24" s="20">
        <f>COUNTIFS(tbl_harmonizacao[ID_Par],A24,tbl_harmonizacao[Correspondencia],"Equivalente*")</f>
        <v>1</v>
      </c>
      <c r="L24" s="21">
        <f t="shared" si="1"/>
        <v>1</v>
      </c>
    </row>
    <row r="25" spans="1:12" ht="18" customHeight="1" x14ac:dyDescent="0.3">
      <c r="A25" s="9" t="s">
        <v>1375</v>
      </c>
      <c r="B25" s="9" t="s">
        <v>1376</v>
      </c>
      <c r="C25" s="9" t="s">
        <v>4</v>
      </c>
      <c r="D25" s="9" t="s">
        <v>1377</v>
      </c>
      <c r="E25" s="9" t="s">
        <v>1374</v>
      </c>
      <c r="F25" s="9" t="s">
        <v>1377</v>
      </c>
      <c r="G25" s="11" t="str">
        <f t="shared" si="0"/>
        <v>Sim</v>
      </c>
      <c r="H25" s="14">
        <v>5</v>
      </c>
      <c r="I25" s="14">
        <v>5</v>
      </c>
      <c r="J25" s="20">
        <f>COUNTIFS(tbl_harmonizacao[ID_Par],A25,tbl_harmonizacao[Correspondencia],"Igual")</f>
        <v>5</v>
      </c>
      <c r="K25" s="20">
        <f>COUNTIFS(tbl_harmonizacao[ID_Par],A25,tbl_harmonizacao[Correspondencia],"Equivalente*")</f>
        <v>0</v>
      </c>
      <c r="L25" s="21">
        <f t="shared" si="1"/>
        <v>1</v>
      </c>
    </row>
    <row r="26" spans="1:12" ht="18" customHeight="1" x14ac:dyDescent="0.3">
      <c r="A26" s="9" t="s">
        <v>1378</v>
      </c>
      <c r="B26" s="9" t="s">
        <v>804</v>
      </c>
      <c r="C26" s="9" t="s">
        <v>96</v>
      </c>
      <c r="D26" s="9" t="s">
        <v>805</v>
      </c>
      <c r="E26" s="9" t="s">
        <v>1379</v>
      </c>
      <c r="F26" s="9" t="s">
        <v>805</v>
      </c>
      <c r="G26" s="11" t="str">
        <f t="shared" si="0"/>
        <v>Sim</v>
      </c>
      <c r="H26" s="14">
        <v>5</v>
      </c>
      <c r="I26" s="14">
        <v>5</v>
      </c>
      <c r="J26" s="20">
        <f>COUNTIFS(tbl_harmonizacao[ID_Par],A26,tbl_harmonizacao[Correspondencia],"Igual")</f>
        <v>5</v>
      </c>
      <c r="K26" s="20">
        <f>COUNTIFS(tbl_harmonizacao[ID_Par],A26,tbl_harmonizacao[Correspondencia],"Equivalente*")</f>
        <v>0</v>
      </c>
      <c r="L26" s="21">
        <f t="shared" si="1"/>
        <v>1</v>
      </c>
    </row>
    <row r="27" spans="1:12" ht="18" customHeight="1" x14ac:dyDescent="0.3">
      <c r="A27" s="9" t="s">
        <v>1380</v>
      </c>
      <c r="B27" s="9" t="s">
        <v>1381</v>
      </c>
      <c r="C27" s="9" t="s">
        <v>96</v>
      </c>
      <c r="D27" s="9" t="s">
        <v>809</v>
      </c>
      <c r="E27" s="9" t="s">
        <v>1379</v>
      </c>
      <c r="F27" s="9" t="s">
        <v>809</v>
      </c>
      <c r="G27" s="11" t="str">
        <f t="shared" si="0"/>
        <v>Sim</v>
      </c>
      <c r="H27" s="14">
        <v>2</v>
      </c>
      <c r="I27" s="14">
        <v>2</v>
      </c>
      <c r="J27" s="20">
        <f>COUNTIFS(tbl_harmonizacao[ID_Par],A27,tbl_harmonizacao[Correspondencia],"Igual")</f>
        <v>2</v>
      </c>
      <c r="K27" s="20">
        <f>COUNTIFS(tbl_harmonizacao[ID_Par],A27,tbl_harmonizacao[Correspondencia],"Equivalente*")</f>
        <v>0</v>
      </c>
      <c r="L27" s="21">
        <f t="shared" si="1"/>
        <v>1</v>
      </c>
    </row>
    <row r="28" spans="1:12" ht="18" customHeight="1" x14ac:dyDescent="0.3">
      <c r="A28" s="9" t="s">
        <v>1382</v>
      </c>
      <c r="B28" s="9" t="s">
        <v>331</v>
      </c>
      <c r="C28" s="9" t="s">
        <v>100</v>
      </c>
      <c r="D28" s="9" t="s">
        <v>819</v>
      </c>
      <c r="E28" s="9" t="s">
        <v>1383</v>
      </c>
      <c r="F28" s="9" t="s">
        <v>819</v>
      </c>
      <c r="G28" s="11" t="str">
        <f t="shared" si="0"/>
        <v>Sim</v>
      </c>
      <c r="H28" s="14">
        <v>8</v>
      </c>
      <c r="I28" s="14">
        <v>9</v>
      </c>
      <c r="J28" s="20">
        <f>COUNTIFS(tbl_harmonizacao[ID_Par],A28,tbl_harmonizacao[Correspondencia],"Igual")</f>
        <v>8</v>
      </c>
      <c r="K28" s="20">
        <f>COUNTIFS(tbl_harmonizacao[ID_Par],A28,tbl_harmonizacao[Correspondencia],"Equivalente*")</f>
        <v>0</v>
      </c>
      <c r="L28" s="21">
        <f t="shared" si="1"/>
        <v>0.88888888888888884</v>
      </c>
    </row>
    <row r="29" spans="1:12" ht="18" customHeight="1" x14ac:dyDescent="0.3">
      <c r="A29" s="9" t="s">
        <v>1384</v>
      </c>
      <c r="B29" s="9" t="s">
        <v>1221</v>
      </c>
      <c r="C29" s="9" t="s">
        <v>120</v>
      </c>
      <c r="D29" s="9" t="s">
        <v>952</v>
      </c>
      <c r="E29" s="9" t="s">
        <v>1385</v>
      </c>
      <c r="F29" s="9" t="s">
        <v>952</v>
      </c>
      <c r="G29" s="11" t="str">
        <f t="shared" si="0"/>
        <v>Sim</v>
      </c>
      <c r="H29" s="14">
        <v>9</v>
      </c>
      <c r="I29" s="14">
        <v>9</v>
      </c>
      <c r="J29" s="20">
        <f>COUNTIFS(tbl_harmonizacao[ID_Par],A29,tbl_harmonizacao[Correspondencia],"Igual")</f>
        <v>9</v>
      </c>
      <c r="K29" s="20">
        <f>COUNTIFS(tbl_harmonizacao[ID_Par],A29,tbl_harmonizacao[Correspondencia],"Equivalente*")</f>
        <v>0</v>
      </c>
      <c r="L29" s="21">
        <f t="shared" si="1"/>
        <v>1</v>
      </c>
    </row>
    <row r="30" spans="1:12" ht="18" customHeight="1" x14ac:dyDescent="0.3">
      <c r="A30" s="9" t="s">
        <v>1386</v>
      </c>
      <c r="B30" s="9" t="s">
        <v>1387</v>
      </c>
      <c r="C30" s="9" t="s">
        <v>120</v>
      </c>
      <c r="D30" s="9" t="s">
        <v>960</v>
      </c>
      <c r="E30" s="9" t="s">
        <v>1388</v>
      </c>
      <c r="F30" s="9" t="s">
        <v>960</v>
      </c>
      <c r="G30" s="11" t="str">
        <f t="shared" si="0"/>
        <v>Sim</v>
      </c>
      <c r="H30" s="14">
        <v>10</v>
      </c>
      <c r="I30" s="14">
        <v>8</v>
      </c>
      <c r="J30" s="20">
        <f>COUNTIFS(tbl_harmonizacao[ID_Par],A30,tbl_harmonizacao[Correspondencia],"Igual")</f>
        <v>8</v>
      </c>
      <c r="K30" s="20">
        <f>COUNTIFS(tbl_harmonizacao[ID_Par],A30,tbl_harmonizacao[Correspondencia],"Equivalente*")</f>
        <v>0</v>
      </c>
      <c r="L30" s="21">
        <f t="shared" si="1"/>
        <v>1</v>
      </c>
    </row>
    <row r="31" spans="1:12" ht="18" customHeight="1" x14ac:dyDescent="0.3">
      <c r="A31" s="9" t="s">
        <v>1389</v>
      </c>
      <c r="B31" s="9" t="s">
        <v>1029</v>
      </c>
      <c r="C31" s="9" t="s">
        <v>140</v>
      </c>
      <c r="D31" s="9" t="s">
        <v>1030</v>
      </c>
      <c r="E31" s="9" t="s">
        <v>1390</v>
      </c>
      <c r="F31" s="9" t="s">
        <v>1030</v>
      </c>
      <c r="G31" s="11" t="str">
        <f t="shared" si="0"/>
        <v>Sim</v>
      </c>
      <c r="H31" s="14">
        <v>11</v>
      </c>
      <c r="I31" s="14">
        <v>12</v>
      </c>
      <c r="J31" s="20">
        <f>COUNTIFS(tbl_harmonizacao[ID_Par],A31,tbl_harmonizacao[Correspondencia],"Igual")</f>
        <v>11</v>
      </c>
      <c r="K31" s="20">
        <f>COUNTIFS(tbl_harmonizacao[ID_Par],A31,tbl_harmonizacao[Correspondencia],"Equivalente*")</f>
        <v>0</v>
      </c>
      <c r="L31" s="21">
        <f t="shared" si="1"/>
        <v>0.91666666666666663</v>
      </c>
    </row>
    <row r="32" spans="1:12" ht="18" customHeight="1" x14ac:dyDescent="0.3">
      <c r="A32" s="9" t="s">
        <v>1391</v>
      </c>
      <c r="B32" s="9" t="s">
        <v>1392</v>
      </c>
      <c r="C32" s="9" t="s">
        <v>140</v>
      </c>
      <c r="D32" s="9" t="s">
        <v>1038</v>
      </c>
      <c r="E32" s="9" t="s">
        <v>1390</v>
      </c>
      <c r="F32" s="9" t="s">
        <v>1038</v>
      </c>
      <c r="G32" s="11" t="str">
        <f t="shared" si="0"/>
        <v>Sim</v>
      </c>
      <c r="H32" s="14">
        <v>6</v>
      </c>
      <c r="I32" s="14">
        <v>7</v>
      </c>
      <c r="J32" s="20">
        <f>COUNTIFS(tbl_harmonizacao[ID_Par],A32,tbl_harmonizacao[Correspondencia],"Igual")</f>
        <v>6</v>
      </c>
      <c r="K32" s="20">
        <f>COUNTIFS(tbl_harmonizacao[ID_Par],A32,tbl_harmonizacao[Correspondencia],"Equivalente*")</f>
        <v>0</v>
      </c>
      <c r="L32" s="21">
        <f t="shared" si="1"/>
        <v>0.8571428571428571</v>
      </c>
    </row>
    <row r="33" spans="1:12" ht="18" customHeight="1" x14ac:dyDescent="0.3">
      <c r="A33" s="9" t="s">
        <v>1393</v>
      </c>
      <c r="B33" s="9" t="s">
        <v>1394</v>
      </c>
      <c r="C33" s="9" t="s">
        <v>144</v>
      </c>
      <c r="D33" s="9" t="s">
        <v>1055</v>
      </c>
      <c r="E33" s="9" t="s">
        <v>1395</v>
      </c>
      <c r="F33" s="9" t="s">
        <v>1055</v>
      </c>
      <c r="G33" s="11" t="str">
        <f t="shared" si="0"/>
        <v>Sim</v>
      </c>
      <c r="H33" s="14">
        <v>6</v>
      </c>
      <c r="I33" s="14">
        <v>6</v>
      </c>
      <c r="J33" s="20">
        <f>COUNTIFS(tbl_harmonizacao[ID_Par],A33,tbl_harmonizacao[Correspondencia],"Igual")</f>
        <v>6</v>
      </c>
      <c r="K33" s="20">
        <f>COUNTIFS(tbl_harmonizacao[ID_Par],A33,tbl_harmonizacao[Correspondencia],"Equivalente*")</f>
        <v>0</v>
      </c>
      <c r="L33" s="21">
        <f t="shared" si="1"/>
        <v>1</v>
      </c>
    </row>
  </sheetData>
  <conditionalFormatting sqref="G5:G233">
    <cfRule type="expression" dxfId="6" priority="1">
      <formula>ISNUMBER(SEARCH("Sim",G5))</formula>
    </cfRule>
    <cfRule type="expression" dxfId="5" priority="2">
      <formula>ISNUMBER(SEARCH("Não",G5))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419"/>
  <sheetViews>
    <sheetView zoomScale="9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22" customWidth="1"/>
    <col min="3" max="3" width="26" customWidth="1"/>
    <col min="4" max="5" width="7" customWidth="1"/>
    <col min="6" max="6" width="22" customWidth="1"/>
    <col min="7" max="7" width="26" customWidth="1"/>
    <col min="8" max="8" width="7" customWidth="1"/>
    <col min="9" max="9" width="22" customWidth="1"/>
    <col min="10" max="10" width="26" customWidth="1"/>
  </cols>
  <sheetData>
    <row r="1" spans="1:10" ht="17.399999999999999" x14ac:dyDescent="0.3">
      <c r="A1" s="1" t="s">
        <v>1396</v>
      </c>
    </row>
    <row r="4" spans="1:10" ht="39.6" x14ac:dyDescent="0.3">
      <c r="A4" s="8" t="s">
        <v>1317</v>
      </c>
      <c r="B4" s="8" t="s">
        <v>1319</v>
      </c>
      <c r="C4" s="8" t="s">
        <v>1397</v>
      </c>
      <c r="D4" s="8" t="s">
        <v>1398</v>
      </c>
      <c r="E4" s="8" t="s">
        <v>1399</v>
      </c>
      <c r="F4" s="8" t="s">
        <v>1321</v>
      </c>
      <c r="G4" s="8" t="s">
        <v>1400</v>
      </c>
      <c r="H4" s="8" t="s">
        <v>1401</v>
      </c>
      <c r="I4" s="8" t="s">
        <v>1402</v>
      </c>
      <c r="J4" s="10" t="s">
        <v>1403</v>
      </c>
    </row>
    <row r="5" spans="1:10" ht="15" customHeight="1" x14ac:dyDescent="0.3">
      <c r="A5" s="9" t="s">
        <v>1328</v>
      </c>
      <c r="B5" s="9" t="s">
        <v>801</v>
      </c>
      <c r="C5" s="9" t="s">
        <v>802</v>
      </c>
      <c r="D5" s="14">
        <v>1</v>
      </c>
      <c r="E5" s="9" t="s">
        <v>1404</v>
      </c>
      <c r="F5" s="9" t="s">
        <v>801</v>
      </c>
      <c r="G5" s="9" t="s">
        <v>802</v>
      </c>
      <c r="H5" s="14">
        <v>1</v>
      </c>
      <c r="I5" s="9" t="s">
        <v>1405</v>
      </c>
      <c r="J5" s="11" t="str">
        <f t="shared" ref="J5:J68" si="0">IF(A5="","",IF(G5&lt;&gt;"",G5,C5))</f>
        <v>ID_PI</v>
      </c>
    </row>
    <row r="6" spans="1:10" ht="15" customHeight="1" x14ac:dyDescent="0.3">
      <c r="A6" s="9" t="s">
        <v>1328</v>
      </c>
      <c r="B6" s="9" t="s">
        <v>801</v>
      </c>
      <c r="C6" s="9" t="s">
        <v>1406</v>
      </c>
      <c r="D6" s="14">
        <v>2</v>
      </c>
      <c r="E6" s="9" t="s">
        <v>1404</v>
      </c>
      <c r="F6" s="9" t="s">
        <v>801</v>
      </c>
      <c r="G6" s="9" t="s">
        <v>1406</v>
      </c>
      <c r="H6" s="14">
        <v>2</v>
      </c>
      <c r="I6" s="9" t="s">
        <v>1405</v>
      </c>
      <c r="J6" s="11" t="str">
        <f t="shared" si="0"/>
        <v>Parte_Interessada</v>
      </c>
    </row>
    <row r="7" spans="1:10" ht="15" customHeight="1" x14ac:dyDescent="0.3">
      <c r="A7" s="9" t="s">
        <v>1328</v>
      </c>
      <c r="B7" s="9" t="s">
        <v>801</v>
      </c>
      <c r="C7" s="9" t="s">
        <v>345</v>
      </c>
      <c r="D7" s="14">
        <v>3</v>
      </c>
      <c r="E7" s="9" t="s">
        <v>1404</v>
      </c>
      <c r="F7" s="9" t="s">
        <v>801</v>
      </c>
      <c r="G7" s="9" t="s">
        <v>345</v>
      </c>
      <c r="H7" s="14">
        <v>3</v>
      </c>
      <c r="I7" s="9" t="s">
        <v>1405</v>
      </c>
      <c r="J7" s="11" t="str">
        <f t="shared" si="0"/>
        <v>Tipo</v>
      </c>
    </row>
    <row r="8" spans="1:10" ht="15" customHeight="1" x14ac:dyDescent="0.3">
      <c r="A8" s="9" t="s">
        <v>1328</v>
      </c>
      <c r="B8" s="9" t="s">
        <v>801</v>
      </c>
      <c r="C8" s="9" t="s">
        <v>1407</v>
      </c>
      <c r="D8" s="14">
        <v>4</v>
      </c>
      <c r="E8" s="9" t="s">
        <v>1404</v>
      </c>
      <c r="F8" s="9" t="s">
        <v>801</v>
      </c>
      <c r="G8" s="9" t="s">
        <v>1407</v>
      </c>
      <c r="H8" s="14">
        <v>4</v>
      </c>
      <c r="I8" s="9" t="s">
        <v>1405</v>
      </c>
      <c r="J8" s="11" t="str">
        <f t="shared" si="0"/>
        <v>Categoria</v>
      </c>
    </row>
    <row r="9" spans="1:10" ht="15" customHeight="1" x14ac:dyDescent="0.3">
      <c r="A9" s="9" t="s">
        <v>1328</v>
      </c>
      <c r="B9" s="9" t="s">
        <v>801</v>
      </c>
      <c r="C9" s="9" t="s">
        <v>1408</v>
      </c>
      <c r="D9" s="14">
        <v>5</v>
      </c>
      <c r="E9" s="9" t="s">
        <v>1404</v>
      </c>
      <c r="F9" s="9" t="s">
        <v>801</v>
      </c>
      <c r="G9" s="9" t="s">
        <v>1408</v>
      </c>
      <c r="H9" s="14">
        <v>5</v>
      </c>
      <c r="I9" s="9" t="s">
        <v>1405</v>
      </c>
      <c r="J9" s="11" t="str">
        <f t="shared" si="0"/>
        <v>Necessidades_Expectativas</v>
      </c>
    </row>
    <row r="10" spans="1:10" ht="15" customHeight="1" x14ac:dyDescent="0.3">
      <c r="A10" s="9" t="s">
        <v>1328</v>
      </c>
      <c r="B10" s="9" t="s">
        <v>801</v>
      </c>
      <c r="C10" s="9" t="s">
        <v>1409</v>
      </c>
      <c r="D10" s="14">
        <v>6</v>
      </c>
      <c r="E10" s="9" t="s">
        <v>1404</v>
      </c>
      <c r="F10" s="9" t="s">
        <v>801</v>
      </c>
      <c r="G10" s="9" t="s">
        <v>1409</v>
      </c>
      <c r="H10" s="14">
        <v>6</v>
      </c>
      <c r="I10" s="9" t="s">
        <v>1405</v>
      </c>
      <c r="J10" s="11" t="str">
        <f t="shared" si="0"/>
        <v>Condicao_Ambiental</v>
      </c>
    </row>
    <row r="11" spans="1:10" ht="15" customHeight="1" x14ac:dyDescent="0.3">
      <c r="A11" s="9" t="s">
        <v>1328</v>
      </c>
      <c r="B11" s="9" t="s">
        <v>801</v>
      </c>
      <c r="C11" s="9" t="s">
        <v>1410</v>
      </c>
      <c r="D11" s="14">
        <v>7</v>
      </c>
      <c r="E11" s="9" t="s">
        <v>1404</v>
      </c>
      <c r="F11" s="9" t="s">
        <v>801</v>
      </c>
      <c r="G11" s="9" t="s">
        <v>1410</v>
      </c>
      <c r="H11" s="14">
        <v>7</v>
      </c>
      <c r="I11" s="9" t="s">
        <v>1405</v>
      </c>
      <c r="J11" s="11" t="str">
        <f t="shared" si="0"/>
        <v>Relevante</v>
      </c>
    </row>
    <row r="12" spans="1:10" ht="15" customHeight="1" x14ac:dyDescent="0.3">
      <c r="A12" s="9" t="s">
        <v>1328</v>
      </c>
      <c r="B12" s="9" t="s">
        <v>801</v>
      </c>
      <c r="C12" s="9" t="s">
        <v>1411</v>
      </c>
      <c r="D12" s="14">
        <v>8</v>
      </c>
      <c r="E12" s="9" t="s">
        <v>1404</v>
      </c>
      <c r="F12" s="9" t="s">
        <v>801</v>
      </c>
      <c r="G12" s="9" t="s">
        <v>1412</v>
      </c>
      <c r="H12" s="14">
        <v>8</v>
      </c>
      <c r="I12" s="9" t="s">
        <v>1413</v>
      </c>
      <c r="J12" s="11" t="str">
        <f t="shared" si="0"/>
        <v>Torna_se_Obrigacao</v>
      </c>
    </row>
    <row r="13" spans="1:10" ht="15" customHeight="1" x14ac:dyDescent="0.3">
      <c r="A13" s="9" t="s">
        <v>1328</v>
      </c>
      <c r="B13" s="9" t="s">
        <v>801</v>
      </c>
      <c r="C13" s="9" t="s">
        <v>1414</v>
      </c>
      <c r="D13" s="14">
        <v>9</v>
      </c>
      <c r="E13" s="9" t="s">
        <v>1404</v>
      </c>
      <c r="F13" s="9" t="s">
        <v>801</v>
      </c>
      <c r="G13" s="9" t="s">
        <v>1414</v>
      </c>
      <c r="H13" s="14">
        <v>9</v>
      </c>
      <c r="I13" s="9" t="s">
        <v>1405</v>
      </c>
      <c r="J13" s="11" t="str">
        <f t="shared" si="0"/>
        <v>Tipo_Obrigacao</v>
      </c>
    </row>
    <row r="14" spans="1:10" ht="15" customHeight="1" x14ac:dyDescent="0.3">
      <c r="A14" s="9" t="s">
        <v>1328</v>
      </c>
      <c r="B14" s="9" t="s">
        <v>801</v>
      </c>
      <c r="C14" s="9" t="s">
        <v>1084</v>
      </c>
      <c r="D14" s="14">
        <v>10</v>
      </c>
      <c r="E14" s="9" t="s">
        <v>1404</v>
      </c>
      <c r="F14" s="9" t="s">
        <v>801</v>
      </c>
      <c r="G14" s="9" t="s">
        <v>1084</v>
      </c>
      <c r="H14" s="14">
        <v>10</v>
      </c>
      <c r="I14" s="9" t="s">
        <v>1405</v>
      </c>
      <c r="J14" s="11" t="str">
        <f t="shared" si="0"/>
        <v>IDs_Legal</v>
      </c>
    </row>
    <row r="15" spans="1:10" ht="15" customHeight="1" x14ac:dyDescent="0.3">
      <c r="A15" s="9" t="s">
        <v>1328</v>
      </c>
      <c r="B15" s="9" t="s">
        <v>801</v>
      </c>
      <c r="C15" s="9" t="s">
        <v>1415</v>
      </c>
      <c r="D15" s="14">
        <v>11</v>
      </c>
      <c r="E15" s="9" t="s">
        <v>1404</v>
      </c>
      <c r="F15" s="9" t="s">
        <v>801</v>
      </c>
      <c r="G15" s="9" t="s">
        <v>1415</v>
      </c>
      <c r="H15" s="14">
        <v>11</v>
      </c>
      <c r="I15" s="9" t="s">
        <v>1405</v>
      </c>
      <c r="J15" s="11" t="str">
        <f t="shared" si="0"/>
        <v>Como_Monitorizar</v>
      </c>
    </row>
    <row r="16" spans="1:10" ht="15" customHeight="1" x14ac:dyDescent="0.3">
      <c r="A16" s="9" t="s">
        <v>1328</v>
      </c>
      <c r="B16" s="9" t="s">
        <v>801</v>
      </c>
      <c r="C16" s="9" t="s">
        <v>349</v>
      </c>
      <c r="D16" s="14">
        <v>12</v>
      </c>
      <c r="E16" s="9" t="s">
        <v>1404</v>
      </c>
      <c r="F16" s="9" t="s">
        <v>801</v>
      </c>
      <c r="G16" s="9" t="s">
        <v>349</v>
      </c>
      <c r="H16" s="14">
        <v>12</v>
      </c>
      <c r="I16" s="9" t="s">
        <v>1405</v>
      </c>
      <c r="J16" s="11" t="str">
        <f t="shared" si="0"/>
        <v>Frequencia</v>
      </c>
    </row>
    <row r="17" spans="1:10" ht="15" customHeight="1" x14ac:dyDescent="0.3">
      <c r="A17" s="9" t="s">
        <v>1328</v>
      </c>
      <c r="B17" s="9" t="s">
        <v>801</v>
      </c>
      <c r="C17" s="9" t="s">
        <v>1416</v>
      </c>
      <c r="D17" s="14">
        <v>13</v>
      </c>
      <c r="E17" s="9" t="s">
        <v>1404</v>
      </c>
      <c r="F17" s="9" t="s">
        <v>801</v>
      </c>
      <c r="G17" s="9" t="s">
        <v>1416</v>
      </c>
      <c r="H17" s="14">
        <v>13</v>
      </c>
      <c r="I17" s="9" t="s">
        <v>1405</v>
      </c>
      <c r="J17" s="11" t="str">
        <f t="shared" si="0"/>
        <v>Influencia</v>
      </c>
    </row>
    <row r="18" spans="1:10" ht="15" customHeight="1" x14ac:dyDescent="0.3">
      <c r="A18" s="9" t="s">
        <v>1328</v>
      </c>
      <c r="B18" s="9" t="s">
        <v>801</v>
      </c>
      <c r="C18" s="9" t="s">
        <v>1417</v>
      </c>
      <c r="D18" s="14">
        <v>14</v>
      </c>
      <c r="E18" s="9" t="s">
        <v>1404</v>
      </c>
      <c r="F18" s="9" t="s">
        <v>801</v>
      </c>
      <c r="G18" s="9" t="s">
        <v>1417</v>
      </c>
      <c r="H18" s="14">
        <v>14</v>
      </c>
      <c r="I18" s="9" t="s">
        <v>1405</v>
      </c>
      <c r="J18" s="11" t="str">
        <f t="shared" si="0"/>
        <v>Interesse</v>
      </c>
    </row>
    <row r="19" spans="1:10" ht="15" customHeight="1" x14ac:dyDescent="0.3">
      <c r="A19" s="9" t="s">
        <v>1328</v>
      </c>
      <c r="B19" s="9" t="s">
        <v>801</v>
      </c>
      <c r="C19" s="9" t="s">
        <v>1418</v>
      </c>
      <c r="D19" s="14">
        <v>15</v>
      </c>
      <c r="E19" s="9" t="s">
        <v>1404</v>
      </c>
      <c r="F19" s="9" t="s">
        <v>801</v>
      </c>
      <c r="G19" s="9" t="s">
        <v>1418</v>
      </c>
      <c r="H19" s="14">
        <v>15</v>
      </c>
      <c r="I19" s="9" t="s">
        <v>1405</v>
      </c>
      <c r="J19" s="11" t="str">
        <f t="shared" si="0"/>
        <v>Estrategia</v>
      </c>
    </row>
    <row r="20" spans="1:10" ht="15" customHeight="1" x14ac:dyDescent="0.3">
      <c r="A20" s="9" t="s">
        <v>1328</v>
      </c>
      <c r="B20" s="9" t="s">
        <v>801</v>
      </c>
      <c r="C20" s="9" t="s">
        <v>1080</v>
      </c>
      <c r="D20" s="14">
        <v>16</v>
      </c>
      <c r="E20" s="9" t="s">
        <v>1404</v>
      </c>
      <c r="F20" s="9" t="s">
        <v>801</v>
      </c>
      <c r="G20" s="9" t="s">
        <v>1080</v>
      </c>
      <c r="H20" s="14">
        <v>16</v>
      </c>
      <c r="I20" s="9" t="s">
        <v>1405</v>
      </c>
      <c r="J20" s="11" t="str">
        <f t="shared" si="0"/>
        <v>ID_RO</v>
      </c>
    </row>
    <row r="21" spans="1:10" ht="15" customHeight="1" x14ac:dyDescent="0.3">
      <c r="A21" s="9" t="s">
        <v>1328</v>
      </c>
      <c r="B21" s="9" t="s">
        <v>801</v>
      </c>
      <c r="C21" s="9" t="s">
        <v>1419</v>
      </c>
      <c r="D21" s="14">
        <v>17</v>
      </c>
      <c r="E21" s="9" t="s">
        <v>1404</v>
      </c>
      <c r="F21" s="9" t="s">
        <v>801</v>
      </c>
      <c r="G21" s="9" t="s">
        <v>1419</v>
      </c>
      <c r="H21" s="14">
        <v>17</v>
      </c>
      <c r="I21" s="9" t="s">
        <v>1405</v>
      </c>
      <c r="J21" s="11" t="str">
        <f t="shared" si="0"/>
        <v>Dono</v>
      </c>
    </row>
    <row r="22" spans="1:10" ht="15" customHeight="1" x14ac:dyDescent="0.3">
      <c r="A22" s="9" t="s">
        <v>1328</v>
      </c>
      <c r="B22" s="9" t="s">
        <v>801</v>
      </c>
      <c r="C22" s="9" t="s">
        <v>1082</v>
      </c>
      <c r="D22" s="14">
        <v>18</v>
      </c>
      <c r="E22" s="9" t="s">
        <v>1404</v>
      </c>
      <c r="F22" s="9" t="s">
        <v>801</v>
      </c>
      <c r="G22" s="9"/>
      <c r="H22" s="14"/>
      <c r="I22" s="9" t="s">
        <v>1420</v>
      </c>
      <c r="J22" s="11" t="str">
        <f t="shared" si="0"/>
        <v>ID_PI_SGI</v>
      </c>
    </row>
    <row r="23" spans="1:10" ht="15" customHeight="1" x14ac:dyDescent="0.3">
      <c r="A23" s="9" t="s">
        <v>1328</v>
      </c>
      <c r="B23" s="9" t="s">
        <v>801</v>
      </c>
      <c r="C23" s="9" t="s">
        <v>1421</v>
      </c>
      <c r="D23" s="14">
        <v>19</v>
      </c>
      <c r="E23" s="9" t="s">
        <v>1404</v>
      </c>
      <c r="F23" s="9" t="s">
        <v>801</v>
      </c>
      <c r="G23" s="9"/>
      <c r="H23" s="14"/>
      <c r="I23" s="9" t="s">
        <v>1420</v>
      </c>
      <c r="J23" s="11" t="str">
        <f t="shared" si="0"/>
        <v>Fonte_Requisito</v>
      </c>
    </row>
    <row r="24" spans="1:10" ht="15" customHeight="1" x14ac:dyDescent="0.3">
      <c r="A24" s="9" t="s">
        <v>1328</v>
      </c>
      <c r="B24" s="9" t="s">
        <v>801</v>
      </c>
      <c r="C24" s="9" t="s">
        <v>1422</v>
      </c>
      <c r="D24" s="14">
        <v>20</v>
      </c>
      <c r="E24" s="9" t="s">
        <v>1404</v>
      </c>
      <c r="F24" s="9" t="s">
        <v>801</v>
      </c>
      <c r="G24" s="9"/>
      <c r="H24" s="14"/>
      <c r="I24" s="9" t="s">
        <v>1420</v>
      </c>
      <c r="J24" s="11" t="str">
        <f t="shared" si="0"/>
        <v>Registo_Evidencia</v>
      </c>
    </row>
    <row r="25" spans="1:10" ht="15" customHeight="1" x14ac:dyDescent="0.3">
      <c r="A25" s="9" t="s">
        <v>1328</v>
      </c>
      <c r="B25" s="9" t="s">
        <v>801</v>
      </c>
      <c r="C25" s="9"/>
      <c r="D25" s="14"/>
      <c r="E25" s="9" t="s">
        <v>1404</v>
      </c>
      <c r="F25" s="9" t="s">
        <v>801</v>
      </c>
      <c r="G25" s="9" t="s">
        <v>1423</v>
      </c>
      <c r="H25" s="14">
        <v>18</v>
      </c>
      <c r="I25" s="9" t="s">
        <v>1424</v>
      </c>
      <c r="J25" s="11" t="str">
        <f t="shared" si="0"/>
        <v>Data_Revisao</v>
      </c>
    </row>
    <row r="26" spans="1:10" ht="15" customHeight="1" x14ac:dyDescent="0.3">
      <c r="A26" s="9" t="s">
        <v>1328</v>
      </c>
      <c r="B26" s="9" t="s">
        <v>801</v>
      </c>
      <c r="C26" s="9"/>
      <c r="D26" s="14"/>
      <c r="E26" s="9" t="s">
        <v>1404</v>
      </c>
      <c r="F26" s="9" t="s">
        <v>801</v>
      </c>
      <c r="G26" s="9" t="s">
        <v>1425</v>
      </c>
      <c r="H26" s="14">
        <v>19</v>
      </c>
      <c r="I26" s="9" t="s">
        <v>1424</v>
      </c>
      <c r="J26" s="11" t="str">
        <f t="shared" si="0"/>
        <v>IDs_Risco_SGI</v>
      </c>
    </row>
    <row r="27" spans="1:10" ht="15" customHeight="1" x14ac:dyDescent="0.3">
      <c r="A27" s="9" t="s">
        <v>1328</v>
      </c>
      <c r="B27" s="9" t="s">
        <v>801</v>
      </c>
      <c r="C27" s="9"/>
      <c r="D27" s="14"/>
      <c r="E27" s="9" t="s">
        <v>1404</v>
      </c>
      <c r="F27" s="9" t="s">
        <v>801</v>
      </c>
      <c r="G27" s="9" t="s">
        <v>1426</v>
      </c>
      <c r="H27" s="14">
        <v>20</v>
      </c>
      <c r="I27" s="9" t="s">
        <v>1424</v>
      </c>
      <c r="J27" s="11" t="str">
        <f t="shared" si="0"/>
        <v>Percepcao_Risco</v>
      </c>
    </row>
    <row r="28" spans="1:10" ht="15" customHeight="1" x14ac:dyDescent="0.3">
      <c r="A28" s="9" t="s">
        <v>1330</v>
      </c>
      <c r="B28" s="9" t="s">
        <v>822</v>
      </c>
      <c r="C28" s="9" t="s">
        <v>823</v>
      </c>
      <c r="D28" s="14">
        <v>1</v>
      </c>
      <c r="E28" s="9" t="s">
        <v>1404</v>
      </c>
      <c r="F28" s="9" t="s">
        <v>822</v>
      </c>
      <c r="G28" s="9" t="s">
        <v>823</v>
      </c>
      <c r="H28" s="14">
        <v>1</v>
      </c>
      <c r="I28" s="9" t="s">
        <v>1405</v>
      </c>
      <c r="J28" s="11" t="str">
        <f t="shared" si="0"/>
        <v>ID_Politica</v>
      </c>
    </row>
    <row r="29" spans="1:10" ht="15" customHeight="1" x14ac:dyDescent="0.3">
      <c r="A29" s="9" t="s">
        <v>1330</v>
      </c>
      <c r="B29" s="9" t="s">
        <v>822</v>
      </c>
      <c r="C29" s="9" t="s">
        <v>1427</v>
      </c>
      <c r="D29" s="14">
        <v>2</v>
      </c>
      <c r="E29" s="9" t="s">
        <v>1404</v>
      </c>
      <c r="F29" s="9" t="s">
        <v>822</v>
      </c>
      <c r="G29" s="9"/>
      <c r="H29" s="14"/>
      <c r="I29" s="9" t="s">
        <v>1420</v>
      </c>
      <c r="J29" s="11" t="str">
        <f t="shared" si="0"/>
        <v>Alineas_5_2</v>
      </c>
    </row>
    <row r="30" spans="1:10" ht="15" customHeight="1" x14ac:dyDescent="0.3">
      <c r="A30" s="9" t="s">
        <v>1330</v>
      </c>
      <c r="B30" s="9" t="s">
        <v>822</v>
      </c>
      <c r="C30" s="9" t="s">
        <v>1428</v>
      </c>
      <c r="D30" s="14">
        <v>3</v>
      </c>
      <c r="E30" s="9" t="s">
        <v>1404</v>
      </c>
      <c r="F30" s="9" t="s">
        <v>822</v>
      </c>
      <c r="G30" s="9" t="s">
        <v>1428</v>
      </c>
      <c r="H30" s="14">
        <v>2</v>
      </c>
      <c r="I30" s="9" t="s">
        <v>1405</v>
      </c>
      <c r="J30" s="11" t="str">
        <f t="shared" si="0"/>
        <v>Compromisso</v>
      </c>
    </row>
    <row r="31" spans="1:10" ht="15" customHeight="1" x14ac:dyDescent="0.3">
      <c r="A31" s="9" t="s">
        <v>1330</v>
      </c>
      <c r="B31" s="9" t="s">
        <v>822</v>
      </c>
      <c r="C31" s="9" t="s">
        <v>1429</v>
      </c>
      <c r="D31" s="14">
        <v>4</v>
      </c>
      <c r="E31" s="9" t="s">
        <v>1404</v>
      </c>
      <c r="F31" s="9" t="s">
        <v>822</v>
      </c>
      <c r="G31" s="9" t="s">
        <v>1429</v>
      </c>
      <c r="H31" s="14">
        <v>3</v>
      </c>
      <c r="I31" s="9" t="s">
        <v>1405</v>
      </c>
      <c r="J31" s="11" t="str">
        <f t="shared" si="0"/>
        <v>N_Objetivos</v>
      </c>
    </row>
    <row r="32" spans="1:10" ht="15" customHeight="1" x14ac:dyDescent="0.3">
      <c r="A32" s="9" t="s">
        <v>1333</v>
      </c>
      <c r="B32" s="9" t="s">
        <v>834</v>
      </c>
      <c r="C32" s="9" t="s">
        <v>835</v>
      </c>
      <c r="D32" s="14">
        <v>1</v>
      </c>
      <c r="E32" s="9" t="s">
        <v>1404</v>
      </c>
      <c r="F32" s="9" t="s">
        <v>834</v>
      </c>
      <c r="G32" s="9" t="s">
        <v>835</v>
      </c>
      <c r="H32" s="14">
        <v>1</v>
      </c>
      <c r="I32" s="9" t="s">
        <v>1405</v>
      </c>
      <c r="J32" s="11" t="str">
        <f t="shared" si="0"/>
        <v>ID_Processo</v>
      </c>
    </row>
    <row r="33" spans="1:10" ht="15" customHeight="1" x14ac:dyDescent="0.3">
      <c r="A33" s="9" t="s">
        <v>1333</v>
      </c>
      <c r="B33" s="9" t="s">
        <v>834</v>
      </c>
      <c r="C33" s="9" t="s">
        <v>1430</v>
      </c>
      <c r="D33" s="14">
        <v>2</v>
      </c>
      <c r="E33" s="9" t="s">
        <v>1404</v>
      </c>
      <c r="F33" s="9" t="s">
        <v>834</v>
      </c>
      <c r="G33" s="9" t="s">
        <v>1107</v>
      </c>
      <c r="H33" s="14">
        <v>2</v>
      </c>
      <c r="I33" s="9" t="s">
        <v>1413</v>
      </c>
      <c r="J33" s="11" t="str">
        <f t="shared" si="0"/>
        <v>Processo_SGA</v>
      </c>
    </row>
    <row r="34" spans="1:10" ht="15" customHeight="1" x14ac:dyDescent="0.3">
      <c r="A34" s="9" t="s">
        <v>1333</v>
      </c>
      <c r="B34" s="9" t="s">
        <v>834</v>
      </c>
      <c r="C34" s="9" t="s">
        <v>154</v>
      </c>
      <c r="D34" s="14">
        <v>3</v>
      </c>
      <c r="E34" s="9" t="s">
        <v>1404</v>
      </c>
      <c r="F34" s="9" t="s">
        <v>834</v>
      </c>
      <c r="G34" s="9" t="s">
        <v>154</v>
      </c>
      <c r="H34" s="14">
        <v>3</v>
      </c>
      <c r="I34" s="9" t="s">
        <v>1405</v>
      </c>
      <c r="J34" s="11" t="str">
        <f t="shared" si="0"/>
        <v>Clausula</v>
      </c>
    </row>
    <row r="35" spans="1:10" ht="15" customHeight="1" x14ac:dyDescent="0.3">
      <c r="A35" s="9" t="s">
        <v>1333</v>
      </c>
      <c r="B35" s="9" t="s">
        <v>834</v>
      </c>
      <c r="C35" s="9" t="s">
        <v>1431</v>
      </c>
      <c r="D35" s="14">
        <v>4</v>
      </c>
      <c r="E35" s="9" t="s">
        <v>1404</v>
      </c>
      <c r="F35" s="9" t="s">
        <v>834</v>
      </c>
      <c r="G35" s="9" t="s">
        <v>1431</v>
      </c>
      <c r="H35" s="14">
        <v>4</v>
      </c>
      <c r="I35" s="9" t="s">
        <v>1405</v>
      </c>
      <c r="J35" s="11" t="str">
        <f t="shared" si="0"/>
        <v>Diretor_Geral</v>
      </c>
    </row>
    <row r="36" spans="1:10" ht="15" customHeight="1" x14ac:dyDescent="0.3">
      <c r="A36" s="9" t="s">
        <v>1333</v>
      </c>
      <c r="B36" s="9" t="s">
        <v>834</v>
      </c>
      <c r="C36" s="9" t="s">
        <v>1432</v>
      </c>
      <c r="D36" s="14">
        <v>5</v>
      </c>
      <c r="E36" s="9" t="s">
        <v>1404</v>
      </c>
      <c r="F36" s="9" t="s">
        <v>834</v>
      </c>
      <c r="G36" s="9" t="s">
        <v>1432</v>
      </c>
      <c r="H36" s="14">
        <v>5</v>
      </c>
      <c r="I36" s="9" t="s">
        <v>1405</v>
      </c>
      <c r="J36" s="11" t="str">
        <f t="shared" si="0"/>
        <v>Diretor_Industrial</v>
      </c>
    </row>
    <row r="37" spans="1:10" ht="15" customHeight="1" x14ac:dyDescent="0.3">
      <c r="A37" s="9" t="s">
        <v>1333</v>
      </c>
      <c r="B37" s="9" t="s">
        <v>834</v>
      </c>
      <c r="C37" s="9" t="s">
        <v>1433</v>
      </c>
      <c r="D37" s="14">
        <v>6</v>
      </c>
      <c r="E37" s="9" t="s">
        <v>1404</v>
      </c>
      <c r="F37" s="9" t="s">
        <v>834</v>
      </c>
      <c r="G37" s="9"/>
      <c r="H37" s="14"/>
      <c r="I37" s="9" t="s">
        <v>1420</v>
      </c>
      <c r="J37" s="11" t="str">
        <f t="shared" si="0"/>
        <v>Gestor_Energia</v>
      </c>
    </row>
    <row r="38" spans="1:10" ht="15" customHeight="1" x14ac:dyDescent="0.3">
      <c r="A38" s="9" t="s">
        <v>1333</v>
      </c>
      <c r="B38" s="9" t="s">
        <v>834</v>
      </c>
      <c r="C38" s="9" t="s">
        <v>1434</v>
      </c>
      <c r="D38" s="14">
        <v>7</v>
      </c>
      <c r="E38" s="9" t="s">
        <v>1404</v>
      </c>
      <c r="F38" s="9" t="s">
        <v>834</v>
      </c>
      <c r="G38" s="9" t="s">
        <v>1434</v>
      </c>
      <c r="H38" s="14">
        <v>8</v>
      </c>
      <c r="I38" s="9" t="s">
        <v>1405</v>
      </c>
      <c r="J38" s="11" t="str">
        <f t="shared" si="0"/>
        <v>Gerente_Manutencao</v>
      </c>
    </row>
    <row r="39" spans="1:10" ht="15" customHeight="1" x14ac:dyDescent="0.3">
      <c r="A39" s="9" t="s">
        <v>1333</v>
      </c>
      <c r="B39" s="9" t="s">
        <v>834</v>
      </c>
      <c r="C39" s="9" t="s">
        <v>1435</v>
      </c>
      <c r="D39" s="14">
        <v>8</v>
      </c>
      <c r="E39" s="9" t="s">
        <v>1404</v>
      </c>
      <c r="F39" s="9" t="s">
        <v>834</v>
      </c>
      <c r="G39" s="9" t="s">
        <v>1435</v>
      </c>
      <c r="H39" s="14">
        <v>7</v>
      </c>
      <c r="I39" s="9" t="s">
        <v>1405</v>
      </c>
      <c r="J39" s="11" t="str">
        <f t="shared" si="0"/>
        <v>Gerente_Producao</v>
      </c>
    </row>
    <row r="40" spans="1:10" ht="15" customHeight="1" x14ac:dyDescent="0.3">
      <c r="A40" s="9" t="s">
        <v>1333</v>
      </c>
      <c r="B40" s="9" t="s">
        <v>834</v>
      </c>
      <c r="C40" s="9" t="s">
        <v>1436</v>
      </c>
      <c r="D40" s="14">
        <v>9</v>
      </c>
      <c r="E40" s="9" t="s">
        <v>1404</v>
      </c>
      <c r="F40" s="9" t="s">
        <v>834</v>
      </c>
      <c r="G40" s="9"/>
      <c r="H40" s="14"/>
      <c r="I40" s="9" t="s">
        <v>1420</v>
      </c>
      <c r="J40" s="11" t="str">
        <f t="shared" si="0"/>
        <v>Tecnico_Utilidades</v>
      </c>
    </row>
    <row r="41" spans="1:10" ht="15" customHeight="1" x14ac:dyDescent="0.3">
      <c r="A41" s="9" t="s">
        <v>1333</v>
      </c>
      <c r="B41" s="9" t="s">
        <v>834</v>
      </c>
      <c r="C41" s="9" t="s">
        <v>1437</v>
      </c>
      <c r="D41" s="14">
        <v>10</v>
      </c>
      <c r="E41" s="9" t="s">
        <v>1404</v>
      </c>
      <c r="F41" s="9" t="s">
        <v>834</v>
      </c>
      <c r="G41" s="9" t="s">
        <v>1437</v>
      </c>
      <c r="H41" s="14">
        <v>6</v>
      </c>
      <c r="I41" s="9" t="s">
        <v>1405</v>
      </c>
      <c r="J41" s="11" t="str">
        <f t="shared" si="0"/>
        <v>Gestor_SGA</v>
      </c>
    </row>
    <row r="42" spans="1:10" ht="15" customHeight="1" x14ac:dyDescent="0.3">
      <c r="A42" s="9" t="s">
        <v>1333</v>
      </c>
      <c r="B42" s="9" t="s">
        <v>834</v>
      </c>
      <c r="C42" s="9" t="s">
        <v>1438</v>
      </c>
      <c r="D42" s="14">
        <v>11</v>
      </c>
      <c r="E42" s="9" t="s">
        <v>1404</v>
      </c>
      <c r="F42" s="9" t="s">
        <v>834</v>
      </c>
      <c r="G42" s="9" t="s">
        <v>1438</v>
      </c>
      <c r="H42" s="14">
        <v>14</v>
      </c>
      <c r="I42" s="9" t="s">
        <v>1405</v>
      </c>
      <c r="J42" s="11" t="str">
        <f t="shared" si="0"/>
        <v>Diretor_Financeiro</v>
      </c>
    </row>
    <row r="43" spans="1:10" ht="15" customHeight="1" x14ac:dyDescent="0.3">
      <c r="A43" s="9" t="s">
        <v>1333</v>
      </c>
      <c r="B43" s="9" t="s">
        <v>834</v>
      </c>
      <c r="C43" s="9" t="s">
        <v>1439</v>
      </c>
      <c r="D43" s="14">
        <v>12</v>
      </c>
      <c r="E43" s="9" t="s">
        <v>1404</v>
      </c>
      <c r="F43" s="9" t="s">
        <v>834</v>
      </c>
      <c r="G43" s="9" t="s">
        <v>1439</v>
      </c>
      <c r="H43" s="14">
        <v>11</v>
      </c>
      <c r="I43" s="9" t="s">
        <v>1405</v>
      </c>
      <c r="J43" s="11" t="str">
        <f t="shared" si="0"/>
        <v>Resp_Compras</v>
      </c>
    </row>
    <row r="44" spans="1:10" ht="15" customHeight="1" x14ac:dyDescent="0.3">
      <c r="A44" s="9" t="s">
        <v>1333</v>
      </c>
      <c r="B44" s="9" t="s">
        <v>834</v>
      </c>
      <c r="C44" s="9" t="s">
        <v>1440</v>
      </c>
      <c r="D44" s="14">
        <v>13</v>
      </c>
      <c r="E44" s="9" t="s">
        <v>1404</v>
      </c>
      <c r="F44" s="9" t="s">
        <v>834</v>
      </c>
      <c r="G44" s="9" t="s">
        <v>1440</v>
      </c>
      <c r="H44" s="14">
        <v>12</v>
      </c>
      <c r="I44" s="9" t="s">
        <v>1405</v>
      </c>
      <c r="J44" s="11" t="str">
        <f t="shared" si="0"/>
        <v>Resp_RD</v>
      </c>
    </row>
    <row r="45" spans="1:10" ht="15" customHeight="1" x14ac:dyDescent="0.3">
      <c r="A45" s="9" t="s">
        <v>1333</v>
      </c>
      <c r="B45" s="9" t="s">
        <v>834</v>
      </c>
      <c r="C45" s="9" t="s">
        <v>1441</v>
      </c>
      <c r="D45" s="14">
        <v>14</v>
      </c>
      <c r="E45" s="9" t="s">
        <v>1404</v>
      </c>
      <c r="F45" s="9" t="s">
        <v>834</v>
      </c>
      <c r="G45" s="9" t="s">
        <v>1441</v>
      </c>
      <c r="H45" s="14">
        <v>13</v>
      </c>
      <c r="I45" s="9" t="s">
        <v>1405</v>
      </c>
      <c r="J45" s="11" t="str">
        <f t="shared" si="0"/>
        <v>Resp_RH</v>
      </c>
    </row>
    <row r="46" spans="1:10" ht="15" customHeight="1" x14ac:dyDescent="0.3">
      <c r="A46" s="9" t="s">
        <v>1333</v>
      </c>
      <c r="B46" s="9" t="s">
        <v>834</v>
      </c>
      <c r="C46" s="9" t="s">
        <v>1442</v>
      </c>
      <c r="D46" s="14">
        <v>15</v>
      </c>
      <c r="E46" s="9" t="s">
        <v>1404</v>
      </c>
      <c r="F46" s="9" t="s">
        <v>834</v>
      </c>
      <c r="G46" s="9"/>
      <c r="H46" s="14"/>
      <c r="I46" s="9" t="s">
        <v>1420</v>
      </c>
      <c r="J46" s="11" t="str">
        <f t="shared" si="0"/>
        <v>Gerente_Dados_TI</v>
      </c>
    </row>
    <row r="47" spans="1:10" ht="15" customHeight="1" x14ac:dyDescent="0.3">
      <c r="A47" s="9" t="s">
        <v>1333</v>
      </c>
      <c r="B47" s="9" t="s">
        <v>834</v>
      </c>
      <c r="C47" s="9" t="s">
        <v>1443</v>
      </c>
      <c r="D47" s="14">
        <v>16</v>
      </c>
      <c r="E47" s="9" t="s">
        <v>1404</v>
      </c>
      <c r="F47" s="9" t="s">
        <v>834</v>
      </c>
      <c r="G47" s="9" t="s">
        <v>1443</v>
      </c>
      <c r="H47" s="14">
        <v>15</v>
      </c>
      <c r="I47" s="9" t="s">
        <v>1405</v>
      </c>
      <c r="J47" s="11" t="str">
        <f t="shared" si="0"/>
        <v>Chefes_Turno</v>
      </c>
    </row>
    <row r="48" spans="1:10" ht="15" customHeight="1" x14ac:dyDescent="0.3">
      <c r="A48" s="9" t="s">
        <v>1333</v>
      </c>
      <c r="B48" s="9" t="s">
        <v>834</v>
      </c>
      <c r="C48" s="9" t="s">
        <v>1444</v>
      </c>
      <c r="D48" s="14">
        <v>17</v>
      </c>
      <c r="E48" s="9" t="s">
        <v>1404</v>
      </c>
      <c r="F48" s="9" t="s">
        <v>834</v>
      </c>
      <c r="G48" s="9" t="s">
        <v>1444</v>
      </c>
      <c r="H48" s="14">
        <v>16</v>
      </c>
      <c r="I48" s="9" t="s">
        <v>1405</v>
      </c>
      <c r="J48" s="11" t="str">
        <f t="shared" si="0"/>
        <v>Operadores</v>
      </c>
    </row>
    <row r="49" spans="1:10" ht="15" customHeight="1" x14ac:dyDescent="0.3">
      <c r="A49" s="9" t="s">
        <v>1333</v>
      </c>
      <c r="B49" s="9" t="s">
        <v>834</v>
      </c>
      <c r="C49" s="9" t="s">
        <v>1445</v>
      </c>
      <c r="D49" s="14">
        <v>18</v>
      </c>
      <c r="E49" s="9" t="s">
        <v>1404</v>
      </c>
      <c r="F49" s="9" t="s">
        <v>834</v>
      </c>
      <c r="G49" s="9" t="s">
        <v>1445</v>
      </c>
      <c r="H49" s="14">
        <v>17</v>
      </c>
      <c r="I49" s="9" t="s">
        <v>1405</v>
      </c>
      <c r="J49" s="11" t="str">
        <f t="shared" si="0"/>
        <v>N_Aprovadores</v>
      </c>
    </row>
    <row r="50" spans="1:10" ht="15" customHeight="1" x14ac:dyDescent="0.3">
      <c r="A50" s="9" t="s">
        <v>1333</v>
      </c>
      <c r="B50" s="9" t="s">
        <v>834</v>
      </c>
      <c r="C50" s="9" t="s">
        <v>1446</v>
      </c>
      <c r="D50" s="14">
        <v>19</v>
      </c>
      <c r="E50" s="9" t="s">
        <v>1404</v>
      </c>
      <c r="F50" s="9" t="s">
        <v>834</v>
      </c>
      <c r="G50" s="9" t="s">
        <v>1446</v>
      </c>
      <c r="H50" s="14">
        <v>18</v>
      </c>
      <c r="I50" s="9" t="s">
        <v>1405</v>
      </c>
      <c r="J50" s="11" t="str">
        <f t="shared" si="0"/>
        <v>Controlo_RACI</v>
      </c>
    </row>
    <row r="51" spans="1:10" ht="15" customHeight="1" x14ac:dyDescent="0.3">
      <c r="A51" s="9" t="s">
        <v>1333</v>
      </c>
      <c r="B51" s="9" t="s">
        <v>834</v>
      </c>
      <c r="C51" s="9"/>
      <c r="D51" s="14"/>
      <c r="E51" s="9" t="s">
        <v>1404</v>
      </c>
      <c r="F51" s="9" t="s">
        <v>834</v>
      </c>
      <c r="G51" s="9" t="s">
        <v>1447</v>
      </c>
      <c r="H51" s="14">
        <v>9</v>
      </c>
      <c r="I51" s="9" t="s">
        <v>1424</v>
      </c>
      <c r="J51" s="11" t="str">
        <f t="shared" si="0"/>
        <v>Gerente_Qualidade</v>
      </c>
    </row>
    <row r="52" spans="1:10" ht="15" customHeight="1" x14ac:dyDescent="0.3">
      <c r="A52" s="9" t="s">
        <v>1333</v>
      </c>
      <c r="B52" s="9" t="s">
        <v>834</v>
      </c>
      <c r="C52" s="9"/>
      <c r="D52" s="14"/>
      <c r="E52" s="9" t="s">
        <v>1404</v>
      </c>
      <c r="F52" s="9" t="s">
        <v>834</v>
      </c>
      <c r="G52" s="9" t="s">
        <v>1448</v>
      </c>
      <c r="H52" s="14">
        <v>10</v>
      </c>
      <c r="I52" s="9" t="s">
        <v>1424</v>
      </c>
      <c r="J52" s="11" t="str">
        <f t="shared" si="0"/>
        <v>Resp_Armazem_Logistica</v>
      </c>
    </row>
    <row r="53" spans="1:10" ht="15" customHeight="1" x14ac:dyDescent="0.3">
      <c r="A53" s="9" t="s">
        <v>1335</v>
      </c>
      <c r="B53" s="9" t="s">
        <v>891</v>
      </c>
      <c r="C53" s="9" t="s">
        <v>892</v>
      </c>
      <c r="D53" s="14">
        <v>1</v>
      </c>
      <c r="E53" s="9" t="s">
        <v>1404</v>
      </c>
      <c r="F53" s="9" t="s">
        <v>891</v>
      </c>
      <c r="G53" s="9" t="s">
        <v>892</v>
      </c>
      <c r="H53" s="14">
        <v>1</v>
      </c>
      <c r="I53" s="9" t="s">
        <v>1405</v>
      </c>
      <c r="J53" s="11" t="str">
        <f t="shared" si="0"/>
        <v>ID_KPI</v>
      </c>
    </row>
    <row r="54" spans="1:10" ht="15" customHeight="1" x14ac:dyDescent="0.3">
      <c r="A54" s="9" t="s">
        <v>1335</v>
      </c>
      <c r="B54" s="9" t="s">
        <v>891</v>
      </c>
      <c r="C54" s="9" t="s">
        <v>1449</v>
      </c>
      <c r="D54" s="14">
        <v>2</v>
      </c>
      <c r="E54" s="9" t="s">
        <v>1404</v>
      </c>
      <c r="F54" s="9" t="s">
        <v>891</v>
      </c>
      <c r="G54" s="9" t="s">
        <v>1449</v>
      </c>
      <c r="H54" s="14">
        <v>2</v>
      </c>
      <c r="I54" s="9" t="s">
        <v>1405</v>
      </c>
      <c r="J54" s="11" t="str">
        <f t="shared" si="0"/>
        <v>Nome</v>
      </c>
    </row>
    <row r="55" spans="1:10" ht="15" customHeight="1" x14ac:dyDescent="0.3">
      <c r="A55" s="9" t="s">
        <v>1335</v>
      </c>
      <c r="B55" s="9" t="s">
        <v>891</v>
      </c>
      <c r="C55" s="9" t="s">
        <v>1450</v>
      </c>
      <c r="D55" s="14">
        <v>3</v>
      </c>
      <c r="E55" s="9" t="s">
        <v>1404</v>
      </c>
      <c r="F55" s="9" t="s">
        <v>891</v>
      </c>
      <c r="G55" s="9" t="s">
        <v>1450</v>
      </c>
      <c r="H55" s="14">
        <v>3</v>
      </c>
      <c r="I55" s="9" t="s">
        <v>1405</v>
      </c>
      <c r="J55" s="11" t="str">
        <f t="shared" si="0"/>
        <v>Formula_Calculo</v>
      </c>
    </row>
    <row r="56" spans="1:10" ht="15" customHeight="1" x14ac:dyDescent="0.3">
      <c r="A56" s="9" t="s">
        <v>1335</v>
      </c>
      <c r="B56" s="9" t="s">
        <v>891</v>
      </c>
      <c r="C56" s="9" t="s">
        <v>1451</v>
      </c>
      <c r="D56" s="14">
        <v>4</v>
      </c>
      <c r="E56" s="9" t="s">
        <v>1404</v>
      </c>
      <c r="F56" s="9" t="s">
        <v>891</v>
      </c>
      <c r="G56" s="9" t="s">
        <v>1451</v>
      </c>
      <c r="H56" s="14">
        <v>4</v>
      </c>
      <c r="I56" s="9" t="s">
        <v>1405</v>
      </c>
      <c r="J56" s="11" t="str">
        <f t="shared" si="0"/>
        <v>Unidade</v>
      </c>
    </row>
    <row r="57" spans="1:10" ht="15" customHeight="1" x14ac:dyDescent="0.3">
      <c r="A57" s="9" t="s">
        <v>1335</v>
      </c>
      <c r="B57" s="9" t="s">
        <v>891</v>
      </c>
      <c r="C57" s="9" t="s">
        <v>1452</v>
      </c>
      <c r="D57" s="14">
        <v>5</v>
      </c>
      <c r="E57" s="9" t="s">
        <v>1404</v>
      </c>
      <c r="F57" s="9" t="s">
        <v>891</v>
      </c>
      <c r="G57" s="9" t="s">
        <v>1452</v>
      </c>
      <c r="H57" s="14">
        <v>5</v>
      </c>
      <c r="I57" s="9" t="s">
        <v>1405</v>
      </c>
      <c r="J57" s="11" t="str">
        <f t="shared" si="0"/>
        <v>Polaridade</v>
      </c>
    </row>
    <row r="58" spans="1:10" ht="15" customHeight="1" x14ac:dyDescent="0.3">
      <c r="A58" s="9" t="s">
        <v>1335</v>
      </c>
      <c r="B58" s="9" t="s">
        <v>891</v>
      </c>
      <c r="C58" s="9" t="s">
        <v>1453</v>
      </c>
      <c r="D58" s="14">
        <v>6</v>
      </c>
      <c r="E58" s="9" t="s">
        <v>1404</v>
      </c>
      <c r="F58" s="9" t="s">
        <v>891</v>
      </c>
      <c r="G58" s="9" t="s">
        <v>1454</v>
      </c>
      <c r="H58" s="14">
        <v>6</v>
      </c>
      <c r="I58" s="9" t="s">
        <v>1413</v>
      </c>
      <c r="J58" s="11" t="str">
        <f t="shared" si="0"/>
        <v>Tipo_ISO14031</v>
      </c>
    </row>
    <row r="59" spans="1:10" ht="15" customHeight="1" x14ac:dyDescent="0.3">
      <c r="A59" s="9" t="s">
        <v>1335</v>
      </c>
      <c r="B59" s="9" t="s">
        <v>891</v>
      </c>
      <c r="C59" s="9" t="s">
        <v>349</v>
      </c>
      <c r="D59" s="14">
        <v>7</v>
      </c>
      <c r="E59" s="9" t="s">
        <v>1404</v>
      </c>
      <c r="F59" s="9" t="s">
        <v>891</v>
      </c>
      <c r="G59" s="9" t="s">
        <v>349</v>
      </c>
      <c r="H59" s="14">
        <v>7</v>
      </c>
      <c r="I59" s="9" t="s">
        <v>1405</v>
      </c>
      <c r="J59" s="11" t="str">
        <f t="shared" si="0"/>
        <v>Frequencia</v>
      </c>
    </row>
    <row r="60" spans="1:10" ht="15" customHeight="1" x14ac:dyDescent="0.3">
      <c r="A60" s="9" t="s">
        <v>1335</v>
      </c>
      <c r="B60" s="9" t="s">
        <v>891</v>
      </c>
      <c r="C60" s="9" t="s">
        <v>1455</v>
      </c>
      <c r="D60" s="14">
        <v>8</v>
      </c>
      <c r="E60" s="9" t="s">
        <v>1404</v>
      </c>
      <c r="F60" s="9" t="s">
        <v>891</v>
      </c>
      <c r="G60" s="9" t="s">
        <v>1455</v>
      </c>
      <c r="H60" s="14">
        <v>8</v>
      </c>
      <c r="I60" s="9" t="s">
        <v>1405</v>
      </c>
      <c r="J60" s="11" t="str">
        <f t="shared" si="0"/>
        <v>Fonte_Dados</v>
      </c>
    </row>
    <row r="61" spans="1:10" ht="15" customHeight="1" x14ac:dyDescent="0.3">
      <c r="A61" s="9" t="s">
        <v>1335</v>
      </c>
      <c r="B61" s="9" t="s">
        <v>891</v>
      </c>
      <c r="C61" s="9" t="s">
        <v>347</v>
      </c>
      <c r="D61" s="14">
        <v>9</v>
      </c>
      <c r="E61" s="9" t="s">
        <v>1404</v>
      </c>
      <c r="F61" s="9" t="s">
        <v>891</v>
      </c>
      <c r="G61" s="9" t="s">
        <v>347</v>
      </c>
      <c r="H61" s="14">
        <v>9</v>
      </c>
      <c r="I61" s="9" t="s">
        <v>1405</v>
      </c>
      <c r="J61" s="11" t="str">
        <f t="shared" si="0"/>
        <v>Responsavel</v>
      </c>
    </row>
    <row r="62" spans="1:10" ht="15" customHeight="1" x14ac:dyDescent="0.3">
      <c r="A62" s="9" t="s">
        <v>1335</v>
      </c>
      <c r="B62" s="9" t="s">
        <v>891</v>
      </c>
      <c r="C62" s="9" t="s">
        <v>1456</v>
      </c>
      <c r="D62" s="14">
        <v>10</v>
      </c>
      <c r="E62" s="9" t="s">
        <v>1404</v>
      </c>
      <c r="F62" s="9" t="s">
        <v>891</v>
      </c>
      <c r="G62" s="9" t="s">
        <v>1456</v>
      </c>
      <c r="H62" s="14">
        <v>10</v>
      </c>
      <c r="I62" s="9" t="s">
        <v>1405</v>
      </c>
      <c r="J62" s="11" t="str">
        <f t="shared" si="0"/>
        <v>Baseline</v>
      </c>
    </row>
    <row r="63" spans="1:10" ht="15" customHeight="1" x14ac:dyDescent="0.3">
      <c r="A63" s="9" t="s">
        <v>1335</v>
      </c>
      <c r="B63" s="9" t="s">
        <v>891</v>
      </c>
      <c r="C63" s="9" t="s">
        <v>909</v>
      </c>
      <c r="D63" s="14">
        <v>11</v>
      </c>
      <c r="E63" s="9" t="s">
        <v>1404</v>
      </c>
      <c r="F63" s="9" t="s">
        <v>891</v>
      </c>
      <c r="G63" s="9" t="s">
        <v>909</v>
      </c>
      <c r="H63" s="14">
        <v>11</v>
      </c>
      <c r="I63" s="9" t="s">
        <v>1405</v>
      </c>
      <c r="J63" s="11" t="str">
        <f t="shared" si="0"/>
        <v>ID_OBJ</v>
      </c>
    </row>
    <row r="64" spans="1:10" ht="15" customHeight="1" x14ac:dyDescent="0.3">
      <c r="A64" s="9" t="s">
        <v>1335</v>
      </c>
      <c r="B64" s="9" t="s">
        <v>891</v>
      </c>
      <c r="C64" s="9" t="s">
        <v>930</v>
      </c>
      <c r="D64" s="14">
        <v>12</v>
      </c>
      <c r="E64" s="9" t="s">
        <v>1404</v>
      </c>
      <c r="F64" s="9" t="s">
        <v>891</v>
      </c>
      <c r="G64" s="9" t="s">
        <v>930</v>
      </c>
      <c r="H64" s="14">
        <v>12</v>
      </c>
      <c r="I64" s="9" t="s">
        <v>1405</v>
      </c>
      <c r="J64" s="11" t="str">
        <f t="shared" si="0"/>
        <v>ID_MED</v>
      </c>
    </row>
    <row r="65" spans="1:10" ht="15" customHeight="1" x14ac:dyDescent="0.3">
      <c r="A65" s="9" t="s">
        <v>1335</v>
      </c>
      <c r="B65" s="9" t="s">
        <v>891</v>
      </c>
      <c r="C65" s="9" t="s">
        <v>1457</v>
      </c>
      <c r="D65" s="14">
        <v>13</v>
      </c>
      <c r="E65" s="9" t="s">
        <v>1404</v>
      </c>
      <c r="F65" s="9" t="s">
        <v>891</v>
      </c>
      <c r="G65" s="9"/>
      <c r="H65" s="14"/>
      <c r="I65" s="9" t="s">
        <v>1420</v>
      </c>
      <c r="J65" s="11" t="str">
        <f t="shared" si="0"/>
        <v>Fronteira</v>
      </c>
    </row>
    <row r="66" spans="1:10" ht="15" customHeight="1" x14ac:dyDescent="0.3">
      <c r="A66" s="9" t="s">
        <v>1335</v>
      </c>
      <c r="B66" s="9" t="s">
        <v>891</v>
      </c>
      <c r="C66" s="9" t="s">
        <v>863</v>
      </c>
      <c r="D66" s="14">
        <v>14</v>
      </c>
      <c r="E66" s="9" t="s">
        <v>1404</v>
      </c>
      <c r="F66" s="9" t="s">
        <v>891</v>
      </c>
      <c r="G66" s="9"/>
      <c r="H66" s="14"/>
      <c r="I66" s="9" t="s">
        <v>1420</v>
      </c>
      <c r="J66" s="11" t="str">
        <f t="shared" si="0"/>
        <v>ID_USE</v>
      </c>
    </row>
    <row r="67" spans="1:10" ht="15" customHeight="1" x14ac:dyDescent="0.3">
      <c r="A67" s="9" t="s">
        <v>1335</v>
      </c>
      <c r="B67" s="9" t="s">
        <v>891</v>
      </c>
      <c r="C67" s="9" t="s">
        <v>886</v>
      </c>
      <c r="D67" s="14">
        <v>15</v>
      </c>
      <c r="E67" s="9" t="s">
        <v>1404</v>
      </c>
      <c r="F67" s="9" t="s">
        <v>891</v>
      </c>
      <c r="G67" s="9"/>
      <c r="H67" s="14"/>
      <c r="I67" s="9" t="s">
        <v>1420</v>
      </c>
      <c r="J67" s="11" t="str">
        <f t="shared" si="0"/>
        <v>Variaveis_Relevantes</v>
      </c>
    </row>
    <row r="68" spans="1:10" ht="15" customHeight="1" x14ac:dyDescent="0.3">
      <c r="A68" s="9" t="s">
        <v>1335</v>
      </c>
      <c r="B68" s="9" t="s">
        <v>891</v>
      </c>
      <c r="C68" s="9" t="s">
        <v>902</v>
      </c>
      <c r="D68" s="14">
        <v>16</v>
      </c>
      <c r="E68" s="9" t="s">
        <v>1404</v>
      </c>
      <c r="F68" s="9" t="s">
        <v>891</v>
      </c>
      <c r="G68" s="9"/>
      <c r="H68" s="14"/>
      <c r="I68" s="9" t="s">
        <v>1420</v>
      </c>
      <c r="J68" s="11" t="str">
        <f t="shared" si="0"/>
        <v>Fatores_Estaticos</v>
      </c>
    </row>
    <row r="69" spans="1:10" ht="15" customHeight="1" x14ac:dyDescent="0.3">
      <c r="A69" s="9" t="s">
        <v>1335</v>
      </c>
      <c r="B69" s="9" t="s">
        <v>891</v>
      </c>
      <c r="C69" s="9" t="s">
        <v>1458</v>
      </c>
      <c r="D69" s="14">
        <v>17</v>
      </c>
      <c r="E69" s="9" t="s">
        <v>1404</v>
      </c>
      <c r="F69" s="9" t="s">
        <v>891</v>
      </c>
      <c r="G69" s="9"/>
      <c r="H69" s="14"/>
      <c r="I69" s="9" t="s">
        <v>1420</v>
      </c>
      <c r="J69" s="11" t="str">
        <f t="shared" ref="J69:J132" si="1">IF(A69="","",IF(G69&lt;&gt;"",G69,C69))</f>
        <v>Normalizacao</v>
      </c>
    </row>
    <row r="70" spans="1:10" ht="15" customHeight="1" x14ac:dyDescent="0.3">
      <c r="A70" s="9" t="s">
        <v>1335</v>
      </c>
      <c r="B70" s="9" t="s">
        <v>891</v>
      </c>
      <c r="C70" s="9" t="s">
        <v>896</v>
      </c>
      <c r="D70" s="14">
        <v>18</v>
      </c>
      <c r="E70" s="9" t="s">
        <v>1404</v>
      </c>
      <c r="F70" s="9" t="s">
        <v>891</v>
      </c>
      <c r="G70" s="9"/>
      <c r="H70" s="14"/>
      <c r="I70" s="9" t="s">
        <v>1420</v>
      </c>
      <c r="J70" s="11" t="str">
        <f t="shared" si="1"/>
        <v>ID_LBE</v>
      </c>
    </row>
    <row r="71" spans="1:10" ht="15" customHeight="1" x14ac:dyDescent="0.3">
      <c r="A71" s="9" t="s">
        <v>1335</v>
      </c>
      <c r="B71" s="9" t="s">
        <v>891</v>
      </c>
      <c r="C71" s="9" t="s">
        <v>1459</v>
      </c>
      <c r="D71" s="14">
        <v>19</v>
      </c>
      <c r="E71" s="9" t="s">
        <v>1404</v>
      </c>
      <c r="F71" s="9" t="s">
        <v>891</v>
      </c>
      <c r="G71" s="9"/>
      <c r="H71" s="14"/>
      <c r="I71" s="9" t="s">
        <v>1420</v>
      </c>
      <c r="J71" s="11" t="str">
        <f t="shared" si="1"/>
        <v>Utilizadores</v>
      </c>
    </row>
    <row r="72" spans="1:10" ht="15" customHeight="1" x14ac:dyDescent="0.3">
      <c r="A72" s="9" t="s">
        <v>1335</v>
      </c>
      <c r="B72" s="9" t="s">
        <v>891</v>
      </c>
      <c r="C72" s="9" t="s">
        <v>1460</v>
      </c>
      <c r="D72" s="14">
        <v>20</v>
      </c>
      <c r="E72" s="9" t="s">
        <v>1404</v>
      </c>
      <c r="F72" s="9" t="s">
        <v>891</v>
      </c>
      <c r="G72" s="9"/>
      <c r="H72" s="14"/>
      <c r="I72" s="9" t="s">
        <v>1420</v>
      </c>
      <c r="J72" s="11" t="str">
        <f t="shared" si="1"/>
        <v>Coluna_Mensal</v>
      </c>
    </row>
    <row r="73" spans="1:10" ht="15" customHeight="1" x14ac:dyDescent="0.3">
      <c r="A73" s="9" t="s">
        <v>1335</v>
      </c>
      <c r="B73" s="9" t="s">
        <v>891</v>
      </c>
      <c r="C73" s="9" t="s">
        <v>1461</v>
      </c>
      <c r="D73" s="14">
        <v>21</v>
      </c>
      <c r="E73" s="9" t="s">
        <v>1404</v>
      </c>
      <c r="F73" s="9" t="s">
        <v>891</v>
      </c>
      <c r="G73" s="9"/>
      <c r="H73" s="14"/>
      <c r="I73" s="9" t="s">
        <v>1420</v>
      </c>
      <c r="J73" s="11" t="str">
        <f t="shared" si="1"/>
        <v>Meta</v>
      </c>
    </row>
    <row r="74" spans="1:10" ht="15" customHeight="1" x14ac:dyDescent="0.3">
      <c r="A74" s="9" t="s">
        <v>1335</v>
      </c>
      <c r="B74" s="9" t="s">
        <v>891</v>
      </c>
      <c r="C74" s="9" t="s">
        <v>1462</v>
      </c>
      <c r="D74" s="14">
        <v>22</v>
      </c>
      <c r="E74" s="9" t="s">
        <v>1404</v>
      </c>
      <c r="F74" s="9" t="s">
        <v>891</v>
      </c>
      <c r="G74" s="9"/>
      <c r="H74" s="14"/>
      <c r="I74" s="9" t="s">
        <v>1420</v>
      </c>
      <c r="J74" s="11" t="str">
        <f t="shared" si="1"/>
        <v>Valor_LBE_Externo</v>
      </c>
    </row>
    <row r="75" spans="1:10" ht="15" customHeight="1" x14ac:dyDescent="0.3">
      <c r="A75" s="9" t="s">
        <v>1335</v>
      </c>
      <c r="B75" s="9" t="s">
        <v>891</v>
      </c>
      <c r="C75" s="9" t="s">
        <v>1463</v>
      </c>
      <c r="D75" s="14">
        <v>23</v>
      </c>
      <c r="E75" s="9" t="s">
        <v>1404</v>
      </c>
      <c r="F75" s="9" t="s">
        <v>891</v>
      </c>
      <c r="G75" s="9"/>
      <c r="H75" s="14"/>
      <c r="I75" s="9" t="s">
        <v>1420</v>
      </c>
      <c r="J75" s="11" t="str">
        <f t="shared" si="1"/>
        <v>Valor_Reporte_Externo</v>
      </c>
    </row>
    <row r="76" spans="1:10" ht="15" customHeight="1" x14ac:dyDescent="0.3">
      <c r="A76" s="9" t="s">
        <v>1335</v>
      </c>
      <c r="B76" s="9" t="s">
        <v>891</v>
      </c>
      <c r="C76" s="9" t="s">
        <v>1464</v>
      </c>
      <c r="D76" s="14">
        <v>24</v>
      </c>
      <c r="E76" s="9" t="s">
        <v>1404</v>
      </c>
      <c r="F76" s="9" t="s">
        <v>891</v>
      </c>
      <c r="G76" s="9"/>
      <c r="H76" s="14"/>
      <c r="I76" s="9" t="s">
        <v>1420</v>
      </c>
      <c r="J76" s="11" t="str">
        <f t="shared" si="1"/>
        <v>Valor_Reporte</v>
      </c>
    </row>
    <row r="77" spans="1:10" ht="15" customHeight="1" x14ac:dyDescent="0.3">
      <c r="A77" s="9" t="s">
        <v>1335</v>
      </c>
      <c r="B77" s="9" t="s">
        <v>891</v>
      </c>
      <c r="C77" s="9" t="s">
        <v>1465</v>
      </c>
      <c r="D77" s="14">
        <v>25</v>
      </c>
      <c r="E77" s="9" t="s">
        <v>1404</v>
      </c>
      <c r="F77" s="9" t="s">
        <v>891</v>
      </c>
      <c r="G77" s="9"/>
      <c r="H77" s="14"/>
      <c r="I77" s="9" t="s">
        <v>1420</v>
      </c>
      <c r="J77" s="11" t="str">
        <f t="shared" si="1"/>
        <v>Variacao_vs_LBE</v>
      </c>
    </row>
    <row r="78" spans="1:10" ht="15" customHeight="1" x14ac:dyDescent="0.3">
      <c r="A78" s="9" t="s">
        <v>1335</v>
      </c>
      <c r="B78" s="9" t="s">
        <v>891</v>
      </c>
      <c r="C78" s="9" t="s">
        <v>14</v>
      </c>
      <c r="D78" s="14">
        <v>26</v>
      </c>
      <c r="E78" s="9" t="s">
        <v>1404</v>
      </c>
      <c r="F78" s="9" t="s">
        <v>891</v>
      </c>
      <c r="G78" s="9"/>
      <c r="H78" s="14"/>
      <c r="I78" s="9" t="s">
        <v>1420</v>
      </c>
      <c r="J78" s="11" t="str">
        <f t="shared" si="1"/>
        <v>Estado</v>
      </c>
    </row>
    <row r="79" spans="1:10" ht="15" customHeight="1" x14ac:dyDescent="0.3">
      <c r="A79" s="9" t="s">
        <v>1335</v>
      </c>
      <c r="B79" s="9" t="s">
        <v>891</v>
      </c>
      <c r="C79" s="9" t="s">
        <v>1466</v>
      </c>
      <c r="D79" s="14">
        <v>27</v>
      </c>
      <c r="E79" s="9" t="s">
        <v>1404</v>
      </c>
      <c r="F79" s="9" t="s">
        <v>891</v>
      </c>
      <c r="G79" s="9"/>
      <c r="H79" s="14"/>
      <c r="I79" s="9" t="s">
        <v>1420</v>
      </c>
      <c r="J79" s="11" t="str">
        <f t="shared" si="1"/>
        <v>Ligacao_SGI</v>
      </c>
    </row>
    <row r="80" spans="1:10" ht="15" customHeight="1" x14ac:dyDescent="0.3">
      <c r="A80" s="9" t="s">
        <v>1335</v>
      </c>
      <c r="B80" s="9" t="s">
        <v>891</v>
      </c>
      <c r="C80" s="9" t="s">
        <v>1467</v>
      </c>
      <c r="D80" s="14">
        <v>28</v>
      </c>
      <c r="E80" s="9" t="s">
        <v>1404</v>
      </c>
      <c r="F80" s="9" t="s">
        <v>891</v>
      </c>
      <c r="G80" s="9"/>
      <c r="H80" s="14"/>
      <c r="I80" s="9" t="s">
        <v>1420</v>
      </c>
      <c r="J80" s="11" t="str">
        <f t="shared" si="1"/>
        <v>Qualidade_Dados</v>
      </c>
    </row>
    <row r="81" spans="1:10" ht="15" customHeight="1" x14ac:dyDescent="0.3">
      <c r="A81" s="9" t="s">
        <v>1337</v>
      </c>
      <c r="B81" s="9" t="s">
        <v>908</v>
      </c>
      <c r="C81" s="9" t="s">
        <v>909</v>
      </c>
      <c r="D81" s="14">
        <v>1</v>
      </c>
      <c r="E81" s="9" t="s">
        <v>1404</v>
      </c>
      <c r="F81" s="9" t="s">
        <v>908</v>
      </c>
      <c r="G81" s="9" t="s">
        <v>909</v>
      </c>
      <c r="H81" s="14">
        <v>1</v>
      </c>
      <c r="I81" s="9" t="s">
        <v>1405</v>
      </c>
      <c r="J81" s="11" t="str">
        <f t="shared" si="1"/>
        <v>ID_OBJ</v>
      </c>
    </row>
    <row r="82" spans="1:10" ht="15" customHeight="1" x14ac:dyDescent="0.3">
      <c r="A82" s="9" t="s">
        <v>1337</v>
      </c>
      <c r="B82" s="9" t="s">
        <v>908</v>
      </c>
      <c r="C82" s="9" t="s">
        <v>823</v>
      </c>
      <c r="D82" s="14">
        <v>2</v>
      </c>
      <c r="E82" s="9" t="s">
        <v>1404</v>
      </c>
      <c r="F82" s="9" t="s">
        <v>908</v>
      </c>
      <c r="G82" s="9" t="s">
        <v>823</v>
      </c>
      <c r="H82" s="14">
        <v>2</v>
      </c>
      <c r="I82" s="9" t="s">
        <v>1405</v>
      </c>
      <c r="J82" s="11" t="str">
        <f t="shared" si="1"/>
        <v>ID_Politica</v>
      </c>
    </row>
    <row r="83" spans="1:10" ht="15" customHeight="1" x14ac:dyDescent="0.3">
      <c r="A83" s="9" t="s">
        <v>1337</v>
      </c>
      <c r="B83" s="9" t="s">
        <v>908</v>
      </c>
      <c r="C83" s="9" t="s">
        <v>1468</v>
      </c>
      <c r="D83" s="14">
        <v>3</v>
      </c>
      <c r="E83" s="9" t="s">
        <v>1404</v>
      </c>
      <c r="F83" s="9" t="s">
        <v>908</v>
      </c>
      <c r="G83" s="9" t="s">
        <v>1468</v>
      </c>
      <c r="H83" s="14">
        <v>3</v>
      </c>
      <c r="I83" s="9" t="s">
        <v>1405</v>
      </c>
      <c r="J83" s="11" t="str">
        <f t="shared" si="1"/>
        <v>Origem_Tipo</v>
      </c>
    </row>
    <row r="84" spans="1:10" ht="15" customHeight="1" x14ac:dyDescent="0.3">
      <c r="A84" s="9" t="s">
        <v>1337</v>
      </c>
      <c r="B84" s="9" t="s">
        <v>908</v>
      </c>
      <c r="C84" s="9" t="s">
        <v>1092</v>
      </c>
      <c r="D84" s="14">
        <v>4</v>
      </c>
      <c r="E84" s="9" t="s">
        <v>1404</v>
      </c>
      <c r="F84" s="9" t="s">
        <v>908</v>
      </c>
      <c r="G84" s="9" t="s">
        <v>1092</v>
      </c>
      <c r="H84" s="14">
        <v>4</v>
      </c>
      <c r="I84" s="9" t="s">
        <v>1405</v>
      </c>
      <c r="J84" s="11" t="str">
        <f t="shared" si="1"/>
        <v>Origem_IDs</v>
      </c>
    </row>
    <row r="85" spans="1:10" ht="15" customHeight="1" x14ac:dyDescent="0.3">
      <c r="A85" s="9" t="s">
        <v>1337</v>
      </c>
      <c r="B85" s="9" t="s">
        <v>908</v>
      </c>
      <c r="C85" s="9" t="s">
        <v>1469</v>
      </c>
      <c r="D85" s="14">
        <v>5</v>
      </c>
      <c r="E85" s="9" t="s">
        <v>1404</v>
      </c>
      <c r="F85" s="9" t="s">
        <v>908</v>
      </c>
      <c r="G85" s="9" t="s">
        <v>1469</v>
      </c>
      <c r="H85" s="14">
        <v>5</v>
      </c>
      <c r="I85" s="9" t="s">
        <v>1405</v>
      </c>
      <c r="J85" s="11" t="str">
        <f t="shared" si="1"/>
        <v>Origem_Descricao</v>
      </c>
    </row>
    <row r="86" spans="1:10" ht="15" customHeight="1" x14ac:dyDescent="0.3">
      <c r="A86" s="9" t="s">
        <v>1337</v>
      </c>
      <c r="B86" s="9" t="s">
        <v>908</v>
      </c>
      <c r="C86" s="9" t="s">
        <v>1470</v>
      </c>
      <c r="D86" s="14">
        <v>6</v>
      </c>
      <c r="E86" s="9" t="s">
        <v>1404</v>
      </c>
      <c r="F86" s="9" t="s">
        <v>908</v>
      </c>
      <c r="G86" s="9" t="s">
        <v>1470</v>
      </c>
      <c r="H86" s="14">
        <v>6</v>
      </c>
      <c r="I86" s="9" t="s">
        <v>1405</v>
      </c>
      <c r="J86" s="11" t="str">
        <f t="shared" si="1"/>
        <v>Declaracao_Objetivo</v>
      </c>
    </row>
    <row r="87" spans="1:10" ht="15" customHeight="1" x14ac:dyDescent="0.3">
      <c r="A87" s="9" t="s">
        <v>1337</v>
      </c>
      <c r="B87" s="9" t="s">
        <v>908</v>
      </c>
      <c r="C87" s="9" t="s">
        <v>892</v>
      </c>
      <c r="D87" s="14">
        <v>7</v>
      </c>
      <c r="E87" s="9" t="s">
        <v>1404</v>
      </c>
      <c r="F87" s="9" t="s">
        <v>908</v>
      </c>
      <c r="G87" s="9" t="s">
        <v>892</v>
      </c>
      <c r="H87" s="14">
        <v>7</v>
      </c>
      <c r="I87" s="9" t="s">
        <v>1405</v>
      </c>
      <c r="J87" s="11" t="str">
        <f t="shared" si="1"/>
        <v>ID_KPI</v>
      </c>
    </row>
    <row r="88" spans="1:10" ht="15" customHeight="1" x14ac:dyDescent="0.3">
      <c r="A88" s="9" t="s">
        <v>1337</v>
      </c>
      <c r="B88" s="9" t="s">
        <v>908</v>
      </c>
      <c r="C88" s="9" t="s">
        <v>1471</v>
      </c>
      <c r="D88" s="14">
        <v>8</v>
      </c>
      <c r="E88" s="9" t="s">
        <v>1404</v>
      </c>
      <c r="F88" s="9" t="s">
        <v>908</v>
      </c>
      <c r="G88" s="9" t="s">
        <v>1471</v>
      </c>
      <c r="H88" s="14">
        <v>8</v>
      </c>
      <c r="I88" s="9" t="s">
        <v>1405</v>
      </c>
      <c r="J88" s="11" t="str">
        <f t="shared" si="1"/>
        <v>Indicador_KPI</v>
      </c>
    </row>
    <row r="89" spans="1:10" ht="15" customHeight="1" x14ac:dyDescent="0.3">
      <c r="A89" s="9" t="s">
        <v>1337</v>
      </c>
      <c r="B89" s="9" t="s">
        <v>908</v>
      </c>
      <c r="C89" s="9" t="s">
        <v>1456</v>
      </c>
      <c r="D89" s="14">
        <v>9</v>
      </c>
      <c r="E89" s="9" t="s">
        <v>1404</v>
      </c>
      <c r="F89" s="9" t="s">
        <v>908</v>
      </c>
      <c r="G89" s="9" t="s">
        <v>1456</v>
      </c>
      <c r="H89" s="14">
        <v>9</v>
      </c>
      <c r="I89" s="9" t="s">
        <v>1405</v>
      </c>
      <c r="J89" s="11" t="str">
        <f t="shared" si="1"/>
        <v>Baseline</v>
      </c>
    </row>
    <row r="90" spans="1:10" ht="15" customHeight="1" x14ac:dyDescent="0.3">
      <c r="A90" s="9" t="s">
        <v>1337</v>
      </c>
      <c r="B90" s="9" t="s">
        <v>908</v>
      </c>
      <c r="C90" s="9" t="s">
        <v>1472</v>
      </c>
      <c r="D90" s="14">
        <v>10</v>
      </c>
      <c r="E90" s="9" t="s">
        <v>1404</v>
      </c>
      <c r="F90" s="9" t="s">
        <v>908</v>
      </c>
      <c r="G90" s="9" t="s">
        <v>1472</v>
      </c>
      <c r="H90" s="14">
        <v>10</v>
      </c>
      <c r="I90" s="9" t="s">
        <v>1405</v>
      </c>
      <c r="J90" s="11" t="str">
        <f t="shared" si="1"/>
        <v>Meta_Tipo</v>
      </c>
    </row>
    <row r="91" spans="1:10" ht="15" customHeight="1" x14ac:dyDescent="0.3">
      <c r="A91" s="9" t="s">
        <v>1337</v>
      </c>
      <c r="B91" s="9" t="s">
        <v>908</v>
      </c>
      <c r="C91" s="9" t="s">
        <v>1473</v>
      </c>
      <c r="D91" s="14">
        <v>11</v>
      </c>
      <c r="E91" s="9" t="s">
        <v>1404</v>
      </c>
      <c r="F91" s="9" t="s">
        <v>908</v>
      </c>
      <c r="G91" s="9" t="s">
        <v>1473</v>
      </c>
      <c r="H91" s="14">
        <v>11</v>
      </c>
      <c r="I91" s="9" t="s">
        <v>1405</v>
      </c>
      <c r="J91" s="11" t="str">
        <f t="shared" si="1"/>
        <v>Meta_Valor</v>
      </c>
    </row>
    <row r="92" spans="1:10" ht="15" customHeight="1" x14ac:dyDescent="0.3">
      <c r="A92" s="9" t="s">
        <v>1337</v>
      </c>
      <c r="B92" s="9" t="s">
        <v>908</v>
      </c>
      <c r="C92" s="9" t="s">
        <v>1474</v>
      </c>
      <c r="D92" s="14">
        <v>12</v>
      </c>
      <c r="E92" s="9" t="s">
        <v>1404</v>
      </c>
      <c r="F92" s="9" t="s">
        <v>908</v>
      </c>
      <c r="G92" s="9" t="s">
        <v>1474</v>
      </c>
      <c r="H92" s="14">
        <v>12</v>
      </c>
      <c r="I92" s="9" t="s">
        <v>1405</v>
      </c>
      <c r="J92" s="11" t="str">
        <f t="shared" si="1"/>
        <v>Meta_Numerica</v>
      </c>
    </row>
    <row r="93" spans="1:10" ht="15" customHeight="1" x14ac:dyDescent="0.3">
      <c r="A93" s="9" t="s">
        <v>1337</v>
      </c>
      <c r="B93" s="9" t="s">
        <v>908</v>
      </c>
      <c r="C93" s="9" t="s">
        <v>1475</v>
      </c>
      <c r="D93" s="14">
        <v>13</v>
      </c>
      <c r="E93" s="9" t="s">
        <v>1404</v>
      </c>
      <c r="F93" s="9" t="s">
        <v>908</v>
      </c>
      <c r="G93" s="9" t="s">
        <v>1475</v>
      </c>
      <c r="H93" s="14">
        <v>13</v>
      </c>
      <c r="I93" s="9" t="s">
        <v>1405</v>
      </c>
      <c r="J93" s="11" t="str">
        <f t="shared" si="1"/>
        <v>Prazo</v>
      </c>
    </row>
    <row r="94" spans="1:10" ht="15" customHeight="1" x14ac:dyDescent="0.3">
      <c r="A94" s="9" t="s">
        <v>1337</v>
      </c>
      <c r="B94" s="9" t="s">
        <v>908</v>
      </c>
      <c r="C94" s="9" t="s">
        <v>1476</v>
      </c>
      <c r="D94" s="14">
        <v>14</v>
      </c>
      <c r="E94" s="9" t="s">
        <v>1404</v>
      </c>
      <c r="F94" s="9" t="s">
        <v>908</v>
      </c>
      <c r="G94" s="9" t="s">
        <v>1476</v>
      </c>
      <c r="H94" s="14">
        <v>14</v>
      </c>
      <c r="I94" s="9" t="s">
        <v>1405</v>
      </c>
      <c r="J94" s="11" t="str">
        <f t="shared" si="1"/>
        <v>Recursos_Humanos</v>
      </c>
    </row>
    <row r="95" spans="1:10" ht="15" customHeight="1" x14ac:dyDescent="0.3">
      <c r="A95" s="9" t="s">
        <v>1337</v>
      </c>
      <c r="B95" s="9" t="s">
        <v>908</v>
      </c>
      <c r="C95" s="9" t="s">
        <v>1477</v>
      </c>
      <c r="D95" s="14">
        <v>15</v>
      </c>
      <c r="E95" s="9" t="s">
        <v>1404</v>
      </c>
      <c r="F95" s="9" t="s">
        <v>908</v>
      </c>
      <c r="G95" s="9" t="s">
        <v>1477</v>
      </c>
      <c r="H95" s="14">
        <v>15</v>
      </c>
      <c r="I95" s="9" t="s">
        <v>1405</v>
      </c>
      <c r="J95" s="11" t="str">
        <f t="shared" si="1"/>
        <v>Recursos_Materiais</v>
      </c>
    </row>
    <row r="96" spans="1:10" ht="15" customHeight="1" x14ac:dyDescent="0.3">
      <c r="A96" s="9" t="s">
        <v>1337</v>
      </c>
      <c r="B96" s="9" t="s">
        <v>908</v>
      </c>
      <c r="C96" s="9" t="s">
        <v>1478</v>
      </c>
      <c r="D96" s="14">
        <v>16</v>
      </c>
      <c r="E96" s="9" t="s">
        <v>1404</v>
      </c>
      <c r="F96" s="9" t="s">
        <v>908</v>
      </c>
      <c r="G96" s="9" t="s">
        <v>1478</v>
      </c>
      <c r="H96" s="14">
        <v>16</v>
      </c>
      <c r="I96" s="9" t="s">
        <v>1405</v>
      </c>
      <c r="J96" s="11" t="str">
        <f t="shared" si="1"/>
        <v>Recursos_Financeiros_EUR</v>
      </c>
    </row>
    <row r="97" spans="1:10" ht="15" customHeight="1" x14ac:dyDescent="0.3">
      <c r="A97" s="9" t="s">
        <v>1337</v>
      </c>
      <c r="B97" s="9" t="s">
        <v>908</v>
      </c>
      <c r="C97" s="9" t="s">
        <v>347</v>
      </c>
      <c r="D97" s="14">
        <v>17</v>
      </c>
      <c r="E97" s="9" t="s">
        <v>1404</v>
      </c>
      <c r="F97" s="9" t="s">
        <v>908</v>
      </c>
      <c r="G97" s="9" t="s">
        <v>347</v>
      </c>
      <c r="H97" s="14">
        <v>17</v>
      </c>
      <c r="I97" s="9" t="s">
        <v>1405</v>
      </c>
      <c r="J97" s="11" t="str">
        <f t="shared" si="1"/>
        <v>Responsavel</v>
      </c>
    </row>
    <row r="98" spans="1:10" ht="15" customHeight="1" x14ac:dyDescent="0.3">
      <c r="A98" s="9" t="s">
        <v>1337</v>
      </c>
      <c r="B98" s="9" t="s">
        <v>908</v>
      </c>
      <c r="C98" s="9" t="s">
        <v>1091</v>
      </c>
      <c r="D98" s="14">
        <v>18</v>
      </c>
      <c r="E98" s="9" t="s">
        <v>1404</v>
      </c>
      <c r="F98" s="9" t="s">
        <v>908</v>
      </c>
      <c r="G98" s="9" t="s">
        <v>1091</v>
      </c>
      <c r="H98" s="14">
        <v>18</v>
      </c>
      <c r="I98" s="9" t="s">
        <v>1405</v>
      </c>
      <c r="J98" s="11" t="str">
        <f t="shared" si="1"/>
        <v>Acoes_PAM</v>
      </c>
    </row>
    <row r="99" spans="1:10" ht="15" customHeight="1" x14ac:dyDescent="0.3">
      <c r="A99" s="9" t="s">
        <v>1337</v>
      </c>
      <c r="B99" s="9" t="s">
        <v>908</v>
      </c>
      <c r="C99" s="9" t="s">
        <v>14</v>
      </c>
      <c r="D99" s="14">
        <v>19</v>
      </c>
      <c r="E99" s="9" t="s">
        <v>1404</v>
      </c>
      <c r="F99" s="9" t="s">
        <v>908</v>
      </c>
      <c r="G99" s="9" t="s">
        <v>14</v>
      </c>
      <c r="H99" s="14">
        <v>19</v>
      </c>
      <c r="I99" s="9" t="s">
        <v>1405</v>
      </c>
      <c r="J99" s="11" t="str">
        <f t="shared" si="1"/>
        <v>Estado</v>
      </c>
    </row>
    <row r="100" spans="1:10" ht="15" customHeight="1" x14ac:dyDescent="0.3">
      <c r="A100" s="9" t="s">
        <v>1337</v>
      </c>
      <c r="B100" s="9" t="s">
        <v>908</v>
      </c>
      <c r="C100" s="9" t="s">
        <v>1479</v>
      </c>
      <c r="D100" s="14">
        <v>20</v>
      </c>
      <c r="E100" s="9" t="s">
        <v>1404</v>
      </c>
      <c r="F100" s="9" t="s">
        <v>908</v>
      </c>
      <c r="G100" s="9" t="s">
        <v>1479</v>
      </c>
      <c r="H100" s="14">
        <v>20</v>
      </c>
      <c r="I100" s="9" t="s">
        <v>1405</v>
      </c>
      <c r="J100" s="11" t="str">
        <f t="shared" si="1"/>
        <v>Valor_Atual</v>
      </c>
    </row>
    <row r="101" spans="1:10" ht="15" customHeight="1" x14ac:dyDescent="0.3">
      <c r="A101" s="9" t="s">
        <v>1337</v>
      </c>
      <c r="B101" s="9" t="s">
        <v>908</v>
      </c>
      <c r="C101" s="9" t="s">
        <v>1480</v>
      </c>
      <c r="D101" s="14">
        <v>21</v>
      </c>
      <c r="E101" s="9" t="s">
        <v>1404</v>
      </c>
      <c r="F101" s="9" t="s">
        <v>908</v>
      </c>
      <c r="G101" s="9" t="s">
        <v>1480</v>
      </c>
      <c r="H101" s="14">
        <v>21</v>
      </c>
      <c r="I101" s="9" t="s">
        <v>1405</v>
      </c>
      <c r="J101" s="11" t="str">
        <f t="shared" si="1"/>
        <v>Progresso</v>
      </c>
    </row>
    <row r="102" spans="1:10" ht="15" customHeight="1" x14ac:dyDescent="0.3">
      <c r="A102" s="9" t="s">
        <v>1337</v>
      </c>
      <c r="B102" s="9" t="s">
        <v>908</v>
      </c>
      <c r="C102" s="9" t="s">
        <v>1481</v>
      </c>
      <c r="D102" s="14">
        <v>22</v>
      </c>
      <c r="E102" s="9" t="s">
        <v>1404</v>
      </c>
      <c r="F102" s="9" t="s">
        <v>908</v>
      </c>
      <c r="G102" s="9" t="s">
        <v>1481</v>
      </c>
      <c r="H102" s="14">
        <v>22</v>
      </c>
      <c r="I102" s="9" t="s">
        <v>1405</v>
      </c>
      <c r="J102" s="11" t="str">
        <f t="shared" si="1"/>
        <v>Dias_ate_Prazo</v>
      </c>
    </row>
    <row r="103" spans="1:10" ht="15" customHeight="1" x14ac:dyDescent="0.3">
      <c r="A103" s="9" t="s">
        <v>1337</v>
      </c>
      <c r="B103" s="9" t="s">
        <v>908</v>
      </c>
      <c r="C103" s="9" t="s">
        <v>1482</v>
      </c>
      <c r="D103" s="14">
        <v>23</v>
      </c>
      <c r="E103" s="9" t="s">
        <v>1404</v>
      </c>
      <c r="F103" s="9" t="s">
        <v>908</v>
      </c>
      <c r="G103" s="9" t="s">
        <v>1482</v>
      </c>
      <c r="H103" s="14">
        <v>23</v>
      </c>
      <c r="I103" s="9" t="s">
        <v>1405</v>
      </c>
      <c r="J103" s="11" t="str">
        <f t="shared" si="1"/>
        <v>S_Especifico</v>
      </c>
    </row>
    <row r="104" spans="1:10" ht="15" customHeight="1" x14ac:dyDescent="0.3">
      <c r="A104" s="9" t="s">
        <v>1337</v>
      </c>
      <c r="B104" s="9" t="s">
        <v>908</v>
      </c>
      <c r="C104" s="9" t="s">
        <v>1483</v>
      </c>
      <c r="D104" s="14">
        <v>24</v>
      </c>
      <c r="E104" s="9" t="s">
        <v>1404</v>
      </c>
      <c r="F104" s="9" t="s">
        <v>908</v>
      </c>
      <c r="G104" s="9" t="s">
        <v>1483</v>
      </c>
      <c r="H104" s="14">
        <v>24</v>
      </c>
      <c r="I104" s="9" t="s">
        <v>1405</v>
      </c>
      <c r="J104" s="11" t="str">
        <f t="shared" si="1"/>
        <v>M_Mensuravel</v>
      </c>
    </row>
    <row r="105" spans="1:10" ht="15" customHeight="1" x14ac:dyDescent="0.3">
      <c r="A105" s="9" t="s">
        <v>1337</v>
      </c>
      <c r="B105" s="9" t="s">
        <v>908</v>
      </c>
      <c r="C105" s="9" t="s">
        <v>1484</v>
      </c>
      <c r="D105" s="14">
        <v>25</v>
      </c>
      <c r="E105" s="9" t="s">
        <v>1404</v>
      </c>
      <c r="F105" s="9" t="s">
        <v>908</v>
      </c>
      <c r="G105" s="9" t="s">
        <v>1484</v>
      </c>
      <c r="H105" s="14">
        <v>25</v>
      </c>
      <c r="I105" s="9" t="s">
        <v>1405</v>
      </c>
      <c r="J105" s="11" t="str">
        <f t="shared" si="1"/>
        <v>A_Atingivel</v>
      </c>
    </row>
    <row r="106" spans="1:10" ht="15" customHeight="1" x14ac:dyDescent="0.3">
      <c r="A106" s="9" t="s">
        <v>1337</v>
      </c>
      <c r="B106" s="9" t="s">
        <v>908</v>
      </c>
      <c r="C106" s="9" t="s">
        <v>1485</v>
      </c>
      <c r="D106" s="14">
        <v>26</v>
      </c>
      <c r="E106" s="9" t="s">
        <v>1404</v>
      </c>
      <c r="F106" s="9" t="s">
        <v>908</v>
      </c>
      <c r="G106" s="9" t="s">
        <v>1485</v>
      </c>
      <c r="H106" s="14">
        <v>26</v>
      </c>
      <c r="I106" s="9" t="s">
        <v>1405</v>
      </c>
      <c r="J106" s="11" t="str">
        <f t="shared" si="1"/>
        <v>R_Relevante</v>
      </c>
    </row>
    <row r="107" spans="1:10" ht="15" customHeight="1" x14ac:dyDescent="0.3">
      <c r="A107" s="9" t="s">
        <v>1337</v>
      </c>
      <c r="B107" s="9" t="s">
        <v>908</v>
      </c>
      <c r="C107" s="9" t="s">
        <v>1486</v>
      </c>
      <c r="D107" s="14">
        <v>27</v>
      </c>
      <c r="E107" s="9" t="s">
        <v>1404</v>
      </c>
      <c r="F107" s="9" t="s">
        <v>908</v>
      </c>
      <c r="G107" s="9" t="s">
        <v>1486</v>
      </c>
      <c r="H107" s="14">
        <v>27</v>
      </c>
      <c r="I107" s="9" t="s">
        <v>1405</v>
      </c>
      <c r="J107" s="11" t="str">
        <f t="shared" si="1"/>
        <v>T_Temporal</v>
      </c>
    </row>
    <row r="108" spans="1:10" ht="15" customHeight="1" x14ac:dyDescent="0.3">
      <c r="A108" s="9" t="s">
        <v>1337</v>
      </c>
      <c r="B108" s="9" t="s">
        <v>908</v>
      </c>
      <c r="C108" s="9" t="s">
        <v>1487</v>
      </c>
      <c r="D108" s="14">
        <v>28</v>
      </c>
      <c r="E108" s="9" t="s">
        <v>1404</v>
      </c>
      <c r="F108" s="9" t="s">
        <v>908</v>
      </c>
      <c r="G108" s="9" t="s">
        <v>1487</v>
      </c>
      <c r="H108" s="14">
        <v>28</v>
      </c>
      <c r="I108" s="9" t="s">
        <v>1405</v>
      </c>
      <c r="J108" s="11" t="str">
        <f t="shared" si="1"/>
        <v>Validacao_SMART</v>
      </c>
    </row>
    <row r="109" spans="1:10" ht="15" customHeight="1" x14ac:dyDescent="0.3">
      <c r="A109" s="9" t="s">
        <v>1337</v>
      </c>
      <c r="B109" s="9" t="s">
        <v>908</v>
      </c>
      <c r="C109" s="9" t="s">
        <v>1488</v>
      </c>
      <c r="D109" s="14">
        <v>29</v>
      </c>
      <c r="E109" s="9" t="s">
        <v>1404</v>
      </c>
      <c r="F109" s="9" t="s">
        <v>908</v>
      </c>
      <c r="G109" s="9" t="s">
        <v>1488</v>
      </c>
      <c r="H109" s="14">
        <v>29</v>
      </c>
      <c r="I109" s="9" t="s">
        <v>1405</v>
      </c>
      <c r="J109" s="11" t="str">
        <f t="shared" si="1"/>
        <v>Data_Aprovacao</v>
      </c>
    </row>
    <row r="110" spans="1:10" ht="15" customHeight="1" x14ac:dyDescent="0.3">
      <c r="A110" s="9" t="s">
        <v>1337</v>
      </c>
      <c r="B110" s="9" t="s">
        <v>908</v>
      </c>
      <c r="C110" s="9" t="s">
        <v>1489</v>
      </c>
      <c r="D110" s="14">
        <v>30</v>
      </c>
      <c r="E110" s="9" t="s">
        <v>1404</v>
      </c>
      <c r="F110" s="9" t="s">
        <v>908</v>
      </c>
      <c r="G110" s="9"/>
      <c r="H110" s="14"/>
      <c r="I110" s="9" t="s">
        <v>1420</v>
      </c>
      <c r="J110" s="11" t="str">
        <f t="shared" si="1"/>
        <v>Considera_USE</v>
      </c>
    </row>
    <row r="111" spans="1:10" ht="15" customHeight="1" x14ac:dyDescent="0.3">
      <c r="A111" s="9" t="s">
        <v>1337</v>
      </c>
      <c r="B111" s="9" t="s">
        <v>908</v>
      </c>
      <c r="C111" s="9" t="s">
        <v>1490</v>
      </c>
      <c r="D111" s="14">
        <v>31</v>
      </c>
      <c r="E111" s="9" t="s">
        <v>1404</v>
      </c>
      <c r="F111" s="9" t="s">
        <v>908</v>
      </c>
      <c r="G111" s="9"/>
      <c r="H111" s="14"/>
      <c r="I111" s="9" t="s">
        <v>1420</v>
      </c>
      <c r="J111" s="11" t="str">
        <f t="shared" si="1"/>
        <v>Oportunidades_Revisao</v>
      </c>
    </row>
    <row r="112" spans="1:10" ht="15" customHeight="1" x14ac:dyDescent="0.3">
      <c r="A112" s="9" t="s">
        <v>1337</v>
      </c>
      <c r="B112" s="9" t="s">
        <v>908</v>
      </c>
      <c r="C112" s="9" t="s">
        <v>1491</v>
      </c>
      <c r="D112" s="14">
        <v>32</v>
      </c>
      <c r="E112" s="9" t="s">
        <v>1404</v>
      </c>
      <c r="F112" s="9" t="s">
        <v>908</v>
      </c>
      <c r="G112" s="9"/>
      <c r="H112" s="14"/>
      <c r="I112" s="9" t="s">
        <v>1420</v>
      </c>
      <c r="J112" s="11" t="str">
        <f t="shared" si="1"/>
        <v>Requisitos_Aplicaveis</v>
      </c>
    </row>
    <row r="113" spans="1:10" ht="15" customHeight="1" x14ac:dyDescent="0.3">
      <c r="A113" s="9" t="s">
        <v>1337</v>
      </c>
      <c r="B113" s="9" t="s">
        <v>908</v>
      </c>
      <c r="C113" s="9" t="s">
        <v>1492</v>
      </c>
      <c r="D113" s="14">
        <v>33</v>
      </c>
      <c r="E113" s="9" t="s">
        <v>1404</v>
      </c>
      <c r="F113" s="9" t="s">
        <v>908</v>
      </c>
      <c r="G113" s="9"/>
      <c r="H113" s="14"/>
      <c r="I113" s="9" t="s">
        <v>1420</v>
      </c>
      <c r="J113" s="11" t="str">
        <f t="shared" si="1"/>
        <v>Comunicado</v>
      </c>
    </row>
    <row r="114" spans="1:10" ht="15" customHeight="1" x14ac:dyDescent="0.3">
      <c r="A114" s="9" t="s">
        <v>1337</v>
      </c>
      <c r="B114" s="9" t="s">
        <v>908</v>
      </c>
      <c r="C114" s="9" t="s">
        <v>1493</v>
      </c>
      <c r="D114" s="14">
        <v>34</v>
      </c>
      <c r="E114" s="9" t="s">
        <v>1404</v>
      </c>
      <c r="F114" s="9" t="s">
        <v>908</v>
      </c>
      <c r="G114" s="9"/>
      <c r="H114" s="14"/>
      <c r="I114" s="9" t="s">
        <v>1420</v>
      </c>
      <c r="J114" s="11" t="str">
        <f t="shared" si="1"/>
        <v>Ligacao_SGA</v>
      </c>
    </row>
    <row r="115" spans="1:10" ht="15" customHeight="1" x14ac:dyDescent="0.3">
      <c r="A115" s="9" t="s">
        <v>1337</v>
      </c>
      <c r="B115" s="9" t="s">
        <v>908</v>
      </c>
      <c r="C115" s="9" t="s">
        <v>1452</v>
      </c>
      <c r="D115" s="14">
        <v>35</v>
      </c>
      <c r="E115" s="9" t="s">
        <v>1404</v>
      </c>
      <c r="F115" s="9" t="s">
        <v>908</v>
      </c>
      <c r="G115" s="9"/>
      <c r="H115" s="14"/>
      <c r="I115" s="9" t="s">
        <v>1420</v>
      </c>
      <c r="J115" s="11" t="str">
        <f t="shared" si="1"/>
        <v>Polaridade</v>
      </c>
    </row>
    <row r="116" spans="1:10" ht="15" customHeight="1" x14ac:dyDescent="0.3">
      <c r="A116" s="9" t="s">
        <v>1339</v>
      </c>
      <c r="B116" s="9" t="s">
        <v>749</v>
      </c>
      <c r="C116" s="9" t="s">
        <v>92</v>
      </c>
      <c r="D116" s="14">
        <v>1</v>
      </c>
      <c r="E116" s="9" t="s">
        <v>1404</v>
      </c>
      <c r="F116" s="9" t="s">
        <v>749</v>
      </c>
      <c r="G116" s="9" t="s">
        <v>92</v>
      </c>
      <c r="H116" s="14">
        <v>1</v>
      </c>
      <c r="I116" s="9" t="s">
        <v>1405</v>
      </c>
      <c r="J116" s="11" t="str">
        <f t="shared" si="1"/>
        <v>Codigo</v>
      </c>
    </row>
    <row r="117" spans="1:10" ht="15" customHeight="1" x14ac:dyDescent="0.3">
      <c r="A117" s="9" t="s">
        <v>1339</v>
      </c>
      <c r="B117" s="9" t="s">
        <v>749</v>
      </c>
      <c r="C117" s="9" t="s">
        <v>1494</v>
      </c>
      <c r="D117" s="14">
        <v>2</v>
      </c>
      <c r="E117" s="9" t="s">
        <v>1404</v>
      </c>
      <c r="F117" s="9" t="s">
        <v>749</v>
      </c>
      <c r="G117" s="9" t="s">
        <v>1494</v>
      </c>
      <c r="H117" s="14">
        <v>2</v>
      </c>
      <c r="I117" s="9" t="s">
        <v>1405</v>
      </c>
      <c r="J117" s="11" t="str">
        <f t="shared" si="1"/>
        <v>Valor</v>
      </c>
    </row>
    <row r="118" spans="1:10" ht="15" customHeight="1" x14ac:dyDescent="0.3">
      <c r="A118" s="9" t="s">
        <v>1339</v>
      </c>
      <c r="B118" s="9" t="s">
        <v>749</v>
      </c>
      <c r="C118" s="9" t="s">
        <v>1451</v>
      </c>
      <c r="D118" s="14">
        <v>3</v>
      </c>
      <c r="E118" s="9" t="s">
        <v>1404</v>
      </c>
      <c r="F118" s="9" t="s">
        <v>749</v>
      </c>
      <c r="G118" s="9" t="s">
        <v>1451</v>
      </c>
      <c r="H118" s="14">
        <v>3</v>
      </c>
      <c r="I118" s="9" t="s">
        <v>1405</v>
      </c>
      <c r="J118" s="11" t="str">
        <f t="shared" si="1"/>
        <v>Unidade</v>
      </c>
    </row>
    <row r="119" spans="1:10" ht="15" customHeight="1" x14ac:dyDescent="0.3">
      <c r="A119" s="9" t="s">
        <v>1339</v>
      </c>
      <c r="B119" s="9" t="s">
        <v>749</v>
      </c>
      <c r="C119" s="9" t="s">
        <v>1495</v>
      </c>
      <c r="D119" s="14">
        <v>4</v>
      </c>
      <c r="E119" s="9" t="s">
        <v>1404</v>
      </c>
      <c r="F119" s="9" t="s">
        <v>749</v>
      </c>
      <c r="G119" s="9" t="s">
        <v>1495</v>
      </c>
      <c r="H119" s="14">
        <v>4</v>
      </c>
      <c r="I119" s="9" t="s">
        <v>1405</v>
      </c>
      <c r="J119" s="11" t="str">
        <f t="shared" si="1"/>
        <v>Descricao</v>
      </c>
    </row>
    <row r="120" spans="1:10" ht="15" customHeight="1" x14ac:dyDescent="0.3">
      <c r="A120" s="9" t="s">
        <v>1339</v>
      </c>
      <c r="B120" s="9" t="s">
        <v>749</v>
      </c>
      <c r="C120" s="9" t="s">
        <v>1496</v>
      </c>
      <c r="D120" s="14">
        <v>5</v>
      </c>
      <c r="E120" s="9" t="s">
        <v>1404</v>
      </c>
      <c r="F120" s="9" t="s">
        <v>749</v>
      </c>
      <c r="G120" s="9"/>
      <c r="H120" s="14"/>
      <c r="I120" s="9" t="s">
        <v>1420</v>
      </c>
      <c r="J120" s="11" t="str">
        <f t="shared" si="1"/>
        <v>Fonte</v>
      </c>
    </row>
    <row r="121" spans="1:10" ht="15" customHeight="1" x14ac:dyDescent="0.3">
      <c r="A121" s="9" t="s">
        <v>1341</v>
      </c>
      <c r="B121" s="9" t="s">
        <v>929</v>
      </c>
      <c r="C121" s="9" t="s">
        <v>930</v>
      </c>
      <c r="D121" s="14">
        <v>1</v>
      </c>
      <c r="E121" s="9" t="s">
        <v>1404</v>
      </c>
      <c r="F121" s="9" t="s">
        <v>929</v>
      </c>
      <c r="G121" s="9" t="s">
        <v>930</v>
      </c>
      <c r="H121" s="14">
        <v>1</v>
      </c>
      <c r="I121" s="9" t="s">
        <v>1405</v>
      </c>
      <c r="J121" s="11" t="str">
        <f t="shared" si="1"/>
        <v>ID_MED</v>
      </c>
    </row>
    <row r="122" spans="1:10" ht="15" customHeight="1" x14ac:dyDescent="0.3">
      <c r="A122" s="9" t="s">
        <v>1341</v>
      </c>
      <c r="B122" s="9" t="s">
        <v>929</v>
      </c>
      <c r="C122" s="9" t="s">
        <v>1497</v>
      </c>
      <c r="D122" s="14">
        <v>2</v>
      </c>
      <c r="E122" s="9" t="s">
        <v>1404</v>
      </c>
      <c r="F122" s="9" t="s">
        <v>929</v>
      </c>
      <c r="G122" s="9" t="s">
        <v>1497</v>
      </c>
      <c r="H122" s="14">
        <v>2</v>
      </c>
      <c r="I122" s="9" t="s">
        <v>1405</v>
      </c>
      <c r="J122" s="11" t="str">
        <f t="shared" si="1"/>
        <v>O_Que_Medir</v>
      </c>
    </row>
    <row r="123" spans="1:10" ht="15" customHeight="1" x14ac:dyDescent="0.3">
      <c r="A123" s="9" t="s">
        <v>1341</v>
      </c>
      <c r="B123" s="9" t="s">
        <v>929</v>
      </c>
      <c r="C123" s="9" t="s">
        <v>1451</v>
      </c>
      <c r="D123" s="14">
        <v>3</v>
      </c>
      <c r="E123" s="9" t="s">
        <v>1404</v>
      </c>
      <c r="F123" s="9" t="s">
        <v>929</v>
      </c>
      <c r="G123" s="9" t="s">
        <v>1451</v>
      </c>
      <c r="H123" s="14">
        <v>3</v>
      </c>
      <c r="I123" s="9" t="s">
        <v>1405</v>
      </c>
      <c r="J123" s="11" t="str">
        <f t="shared" si="1"/>
        <v>Unidade</v>
      </c>
    </row>
    <row r="124" spans="1:10" ht="15" customHeight="1" x14ac:dyDescent="0.3">
      <c r="A124" s="9" t="s">
        <v>1341</v>
      </c>
      <c r="B124" s="9" t="s">
        <v>929</v>
      </c>
      <c r="C124" s="9" t="s">
        <v>345</v>
      </c>
      <c r="D124" s="14">
        <v>4</v>
      </c>
      <c r="E124" s="9" t="s">
        <v>1404</v>
      </c>
      <c r="F124" s="9" t="s">
        <v>929</v>
      </c>
      <c r="G124" s="9" t="s">
        <v>345</v>
      </c>
      <c r="H124" s="14">
        <v>4</v>
      </c>
      <c r="I124" s="9" t="s">
        <v>1405</v>
      </c>
      <c r="J124" s="11" t="str">
        <f t="shared" si="1"/>
        <v>Tipo</v>
      </c>
    </row>
    <row r="125" spans="1:10" ht="15" customHeight="1" x14ac:dyDescent="0.3">
      <c r="A125" s="9" t="s">
        <v>1341</v>
      </c>
      <c r="B125" s="9" t="s">
        <v>929</v>
      </c>
      <c r="C125" s="9" t="s">
        <v>1498</v>
      </c>
      <c r="D125" s="14">
        <v>5</v>
      </c>
      <c r="E125" s="9" t="s">
        <v>1404</v>
      </c>
      <c r="F125" s="9" t="s">
        <v>929</v>
      </c>
      <c r="G125" s="9" t="s">
        <v>1498</v>
      </c>
      <c r="H125" s="14">
        <v>5</v>
      </c>
      <c r="I125" s="9" t="s">
        <v>1405</v>
      </c>
      <c r="J125" s="11" t="str">
        <f t="shared" si="1"/>
        <v>Como_Medir</v>
      </c>
    </row>
    <row r="126" spans="1:10" ht="15" customHeight="1" x14ac:dyDescent="0.3">
      <c r="A126" s="9" t="s">
        <v>1341</v>
      </c>
      <c r="B126" s="9" t="s">
        <v>929</v>
      </c>
      <c r="C126" s="9" t="s">
        <v>1096</v>
      </c>
      <c r="D126" s="14">
        <v>6</v>
      </c>
      <c r="E126" s="9" t="s">
        <v>1404</v>
      </c>
      <c r="F126" s="9" t="s">
        <v>929</v>
      </c>
      <c r="G126" s="9" t="s">
        <v>1096</v>
      </c>
      <c r="H126" s="14">
        <v>6</v>
      </c>
      <c r="I126" s="9" t="s">
        <v>1405</v>
      </c>
      <c r="J126" s="11" t="str">
        <f t="shared" si="1"/>
        <v>Equipamentos</v>
      </c>
    </row>
    <row r="127" spans="1:10" ht="15" customHeight="1" x14ac:dyDescent="0.3">
      <c r="A127" s="9" t="s">
        <v>1341</v>
      </c>
      <c r="B127" s="9" t="s">
        <v>929</v>
      </c>
      <c r="C127" s="9" t="s">
        <v>1499</v>
      </c>
      <c r="D127" s="14">
        <v>7</v>
      </c>
      <c r="E127" s="9" t="s">
        <v>1404</v>
      </c>
      <c r="F127" s="9" t="s">
        <v>929</v>
      </c>
      <c r="G127" s="9" t="s">
        <v>1499</v>
      </c>
      <c r="H127" s="14">
        <v>7</v>
      </c>
      <c r="I127" s="9" t="s">
        <v>1405</v>
      </c>
      <c r="J127" s="11" t="str">
        <f t="shared" si="1"/>
        <v>Quando_Medir</v>
      </c>
    </row>
    <row r="128" spans="1:10" ht="15" customHeight="1" x14ac:dyDescent="0.3">
      <c r="A128" s="9" t="s">
        <v>1341</v>
      </c>
      <c r="B128" s="9" t="s">
        <v>929</v>
      </c>
      <c r="C128" s="9" t="s">
        <v>1500</v>
      </c>
      <c r="D128" s="14">
        <v>8</v>
      </c>
      <c r="E128" s="9" t="s">
        <v>1404</v>
      </c>
      <c r="F128" s="9" t="s">
        <v>929</v>
      </c>
      <c r="G128" s="9" t="s">
        <v>1500</v>
      </c>
      <c r="H128" s="14">
        <v>8</v>
      </c>
      <c r="I128" s="9" t="s">
        <v>1405</v>
      </c>
      <c r="J128" s="11" t="str">
        <f t="shared" si="1"/>
        <v>Quem_Mede</v>
      </c>
    </row>
    <row r="129" spans="1:10" ht="15" customHeight="1" x14ac:dyDescent="0.3">
      <c r="A129" s="9" t="s">
        <v>1341</v>
      </c>
      <c r="B129" s="9" t="s">
        <v>929</v>
      </c>
      <c r="C129" s="9" t="s">
        <v>892</v>
      </c>
      <c r="D129" s="14">
        <v>9</v>
      </c>
      <c r="E129" s="9" t="s">
        <v>1404</v>
      </c>
      <c r="F129" s="9" t="s">
        <v>929</v>
      </c>
      <c r="G129" s="9" t="s">
        <v>892</v>
      </c>
      <c r="H129" s="14">
        <v>9</v>
      </c>
      <c r="I129" s="9" t="s">
        <v>1405</v>
      </c>
      <c r="J129" s="11" t="str">
        <f t="shared" si="1"/>
        <v>ID_KPI</v>
      </c>
    </row>
    <row r="130" spans="1:10" ht="15" customHeight="1" x14ac:dyDescent="0.3">
      <c r="A130" s="9" t="s">
        <v>1341</v>
      </c>
      <c r="B130" s="9" t="s">
        <v>929</v>
      </c>
      <c r="C130" s="9" t="s">
        <v>1501</v>
      </c>
      <c r="D130" s="14">
        <v>10</v>
      </c>
      <c r="E130" s="9" t="s">
        <v>1404</v>
      </c>
      <c r="F130" s="9" t="s">
        <v>929</v>
      </c>
      <c r="G130" s="9" t="s">
        <v>1501</v>
      </c>
      <c r="H130" s="14">
        <v>10</v>
      </c>
      <c r="I130" s="9" t="s">
        <v>1405</v>
      </c>
      <c r="J130" s="11" t="str">
        <f t="shared" si="1"/>
        <v>Criterio_Meta</v>
      </c>
    </row>
    <row r="131" spans="1:10" ht="15" customHeight="1" x14ac:dyDescent="0.3">
      <c r="A131" s="9" t="s">
        <v>1341</v>
      </c>
      <c r="B131" s="9" t="s">
        <v>929</v>
      </c>
      <c r="C131" s="9" t="s">
        <v>1502</v>
      </c>
      <c r="D131" s="14">
        <v>11</v>
      </c>
      <c r="E131" s="9" t="s">
        <v>1404</v>
      </c>
      <c r="F131" s="9" t="s">
        <v>929</v>
      </c>
      <c r="G131" s="9"/>
      <c r="H131" s="14"/>
      <c r="I131" s="9" t="s">
        <v>1420</v>
      </c>
      <c r="J131" s="11" t="str">
        <f t="shared" si="1"/>
        <v>Quando_Analisar</v>
      </c>
    </row>
    <row r="132" spans="1:10" ht="15" customHeight="1" x14ac:dyDescent="0.3">
      <c r="A132" s="9" t="s">
        <v>1341</v>
      </c>
      <c r="B132" s="9" t="s">
        <v>929</v>
      </c>
      <c r="C132" s="9" t="s">
        <v>1503</v>
      </c>
      <c r="D132" s="14">
        <v>12</v>
      </c>
      <c r="E132" s="9" t="s">
        <v>1404</v>
      </c>
      <c r="F132" s="9" t="s">
        <v>929</v>
      </c>
      <c r="G132" s="9"/>
      <c r="H132" s="14"/>
      <c r="I132" s="9" t="s">
        <v>1420</v>
      </c>
      <c r="J132" s="11" t="str">
        <f t="shared" si="1"/>
        <v>Caracteristica_9_1_1</v>
      </c>
    </row>
    <row r="133" spans="1:10" ht="15" customHeight="1" x14ac:dyDescent="0.3">
      <c r="A133" s="9" t="s">
        <v>1341</v>
      </c>
      <c r="B133" s="9" t="s">
        <v>929</v>
      </c>
      <c r="C133" s="9" t="s">
        <v>1504</v>
      </c>
      <c r="D133" s="14">
        <v>13</v>
      </c>
      <c r="E133" s="9" t="s">
        <v>1404</v>
      </c>
      <c r="F133" s="9" t="s">
        <v>929</v>
      </c>
      <c r="G133" s="9"/>
      <c r="H133" s="14"/>
      <c r="I133" s="9" t="s">
        <v>1420</v>
      </c>
      <c r="J133" s="11" t="str">
        <f t="shared" ref="J133:J196" si="2">IF(A133="","",IF(G133&lt;&gt;"",G133,C133))</f>
        <v>Desvio_Significativo</v>
      </c>
    </row>
    <row r="134" spans="1:10" ht="15" customHeight="1" x14ac:dyDescent="0.3">
      <c r="A134" s="9" t="s">
        <v>1341</v>
      </c>
      <c r="B134" s="9" t="s">
        <v>929</v>
      </c>
      <c r="C134" s="9" t="s">
        <v>1505</v>
      </c>
      <c r="D134" s="14">
        <v>14</v>
      </c>
      <c r="E134" s="9" t="s">
        <v>1404</v>
      </c>
      <c r="F134" s="9" t="s">
        <v>929</v>
      </c>
      <c r="G134" s="9"/>
      <c r="H134" s="14"/>
      <c r="I134" s="9" t="s">
        <v>1420</v>
      </c>
      <c r="J134" s="11" t="str">
        <f t="shared" si="2"/>
        <v>Acao_Desvio</v>
      </c>
    </row>
    <row r="135" spans="1:10" ht="15" customHeight="1" x14ac:dyDescent="0.3">
      <c r="A135" s="9" t="s">
        <v>1341</v>
      </c>
      <c r="B135" s="9" t="s">
        <v>929</v>
      </c>
      <c r="C135" s="9"/>
      <c r="D135" s="14"/>
      <c r="E135" s="9" t="s">
        <v>1404</v>
      </c>
      <c r="F135" s="9" t="s">
        <v>929</v>
      </c>
      <c r="G135" s="9" t="s">
        <v>1506</v>
      </c>
      <c r="H135" s="14">
        <v>11</v>
      </c>
      <c r="I135" s="9" t="s">
        <v>1424</v>
      </c>
      <c r="J135" s="11" t="str">
        <f t="shared" si="2"/>
        <v>IDs_Aspetos</v>
      </c>
    </row>
    <row r="136" spans="1:10" ht="15" customHeight="1" x14ac:dyDescent="0.3">
      <c r="A136" s="9" t="s">
        <v>1341</v>
      </c>
      <c r="B136" s="9" t="s">
        <v>929</v>
      </c>
      <c r="C136" s="9"/>
      <c r="D136" s="14"/>
      <c r="E136" s="9" t="s">
        <v>1404</v>
      </c>
      <c r="F136" s="9" t="s">
        <v>929</v>
      </c>
      <c r="G136" s="9" t="s">
        <v>1507</v>
      </c>
      <c r="H136" s="14">
        <v>12</v>
      </c>
      <c r="I136" s="9" t="s">
        <v>1424</v>
      </c>
      <c r="J136" s="11" t="str">
        <f t="shared" si="2"/>
        <v>Estado_Equipamentos</v>
      </c>
    </row>
    <row r="137" spans="1:10" ht="15" customHeight="1" x14ac:dyDescent="0.3">
      <c r="A137" s="9" t="s">
        <v>1343</v>
      </c>
      <c r="B137" s="9" t="s">
        <v>753</v>
      </c>
      <c r="C137" s="9" t="s">
        <v>933</v>
      </c>
      <c r="D137" s="14">
        <v>1</v>
      </c>
      <c r="E137" s="9" t="s">
        <v>1404</v>
      </c>
      <c r="F137" s="9" t="s">
        <v>753</v>
      </c>
      <c r="G137" s="9" t="s">
        <v>933</v>
      </c>
      <c r="H137" s="14">
        <v>1</v>
      </c>
      <c r="I137" s="9" t="s">
        <v>1405</v>
      </c>
      <c r="J137" s="11" t="str">
        <f t="shared" si="2"/>
        <v>ID_Equipamento</v>
      </c>
    </row>
    <row r="138" spans="1:10" ht="15" customHeight="1" x14ac:dyDescent="0.3">
      <c r="A138" s="9" t="s">
        <v>1343</v>
      </c>
      <c r="B138" s="9" t="s">
        <v>753</v>
      </c>
      <c r="C138" s="9" t="s">
        <v>1508</v>
      </c>
      <c r="D138" s="14">
        <v>2</v>
      </c>
      <c r="E138" s="9" t="s">
        <v>1404</v>
      </c>
      <c r="F138" s="9" t="s">
        <v>753</v>
      </c>
      <c r="G138" s="9" t="s">
        <v>1508</v>
      </c>
      <c r="H138" s="14">
        <v>2</v>
      </c>
      <c r="I138" s="9" t="s">
        <v>1405</v>
      </c>
      <c r="J138" s="11" t="str">
        <f t="shared" si="2"/>
        <v>Equipamento</v>
      </c>
    </row>
    <row r="139" spans="1:10" ht="15" customHeight="1" x14ac:dyDescent="0.3">
      <c r="A139" s="9" t="s">
        <v>1343</v>
      </c>
      <c r="B139" s="9" t="s">
        <v>753</v>
      </c>
      <c r="C139" s="9" t="s">
        <v>1509</v>
      </c>
      <c r="D139" s="14">
        <v>3</v>
      </c>
      <c r="E139" s="9" t="s">
        <v>1404</v>
      </c>
      <c r="F139" s="9" t="s">
        <v>753</v>
      </c>
      <c r="G139" s="9" t="s">
        <v>1509</v>
      </c>
      <c r="H139" s="14">
        <v>3</v>
      </c>
      <c r="I139" s="9" t="s">
        <v>1405</v>
      </c>
      <c r="J139" s="11" t="str">
        <f t="shared" si="2"/>
        <v>IDs_MED</v>
      </c>
    </row>
    <row r="140" spans="1:10" ht="15" customHeight="1" x14ac:dyDescent="0.3">
      <c r="A140" s="9" t="s">
        <v>1343</v>
      </c>
      <c r="B140" s="9" t="s">
        <v>753</v>
      </c>
      <c r="C140" s="9" t="s">
        <v>1510</v>
      </c>
      <c r="D140" s="14">
        <v>4</v>
      </c>
      <c r="E140" s="9" t="s">
        <v>1404</v>
      </c>
      <c r="F140" s="9" t="s">
        <v>753</v>
      </c>
      <c r="G140" s="9" t="s">
        <v>1510</v>
      </c>
      <c r="H140" s="14">
        <v>4</v>
      </c>
      <c r="I140" s="9" t="s">
        <v>1405</v>
      </c>
      <c r="J140" s="11" t="str">
        <f t="shared" si="2"/>
        <v>Tipo_Controlo</v>
      </c>
    </row>
    <row r="141" spans="1:10" ht="15" customHeight="1" x14ac:dyDescent="0.3">
      <c r="A141" s="9" t="s">
        <v>1343</v>
      </c>
      <c r="B141" s="9" t="s">
        <v>753</v>
      </c>
      <c r="C141" s="9" t="s">
        <v>1511</v>
      </c>
      <c r="D141" s="14">
        <v>5</v>
      </c>
      <c r="E141" s="9" t="s">
        <v>1404</v>
      </c>
      <c r="F141" s="9" t="s">
        <v>753</v>
      </c>
      <c r="G141" s="9" t="s">
        <v>1511</v>
      </c>
      <c r="H141" s="14">
        <v>5</v>
      </c>
      <c r="I141" s="9" t="s">
        <v>1405</v>
      </c>
      <c r="J141" s="11" t="str">
        <f t="shared" si="2"/>
        <v>Ultima_Calibracao</v>
      </c>
    </row>
    <row r="142" spans="1:10" ht="15" customHeight="1" x14ac:dyDescent="0.3">
      <c r="A142" s="9" t="s">
        <v>1343</v>
      </c>
      <c r="B142" s="9" t="s">
        <v>753</v>
      </c>
      <c r="C142" s="9" t="s">
        <v>1512</v>
      </c>
      <c r="D142" s="14">
        <v>6</v>
      </c>
      <c r="E142" s="9" t="s">
        <v>1404</v>
      </c>
      <c r="F142" s="9" t="s">
        <v>753</v>
      </c>
      <c r="G142" s="9" t="s">
        <v>1512</v>
      </c>
      <c r="H142" s="14">
        <v>6</v>
      </c>
      <c r="I142" s="9" t="s">
        <v>1405</v>
      </c>
      <c r="J142" s="11" t="str">
        <f t="shared" si="2"/>
        <v>Periodicidade_Meses</v>
      </c>
    </row>
    <row r="143" spans="1:10" ht="15" customHeight="1" x14ac:dyDescent="0.3">
      <c r="A143" s="9" t="s">
        <v>1343</v>
      </c>
      <c r="B143" s="9" t="s">
        <v>753</v>
      </c>
      <c r="C143" s="9" t="s">
        <v>1513</v>
      </c>
      <c r="D143" s="14">
        <v>7</v>
      </c>
      <c r="E143" s="9" t="s">
        <v>1404</v>
      </c>
      <c r="F143" s="9" t="s">
        <v>753</v>
      </c>
      <c r="G143" s="9" t="s">
        <v>1513</v>
      </c>
      <c r="H143" s="14">
        <v>7</v>
      </c>
      <c r="I143" s="9" t="s">
        <v>1405</v>
      </c>
      <c r="J143" s="11" t="str">
        <f t="shared" si="2"/>
        <v>Entidade</v>
      </c>
    </row>
    <row r="144" spans="1:10" ht="15" customHeight="1" x14ac:dyDescent="0.3">
      <c r="A144" s="9" t="s">
        <v>1343</v>
      </c>
      <c r="B144" s="9" t="s">
        <v>753</v>
      </c>
      <c r="C144" s="9" t="s">
        <v>431</v>
      </c>
      <c r="D144" s="14">
        <v>8</v>
      </c>
      <c r="E144" s="9" t="s">
        <v>1404</v>
      </c>
      <c r="F144" s="9" t="s">
        <v>753</v>
      </c>
      <c r="G144" s="9" t="s">
        <v>431</v>
      </c>
      <c r="H144" s="14">
        <v>8</v>
      </c>
      <c r="I144" s="9" t="s">
        <v>1405</v>
      </c>
      <c r="J144" s="11" t="str">
        <f t="shared" si="2"/>
        <v>Evidencia</v>
      </c>
    </row>
    <row r="145" spans="1:10" ht="15" customHeight="1" x14ac:dyDescent="0.3">
      <c r="A145" s="9" t="s">
        <v>1343</v>
      </c>
      <c r="B145" s="9" t="s">
        <v>753</v>
      </c>
      <c r="C145" s="9" t="s">
        <v>1514</v>
      </c>
      <c r="D145" s="14">
        <v>9</v>
      </c>
      <c r="E145" s="9" t="s">
        <v>1404</v>
      </c>
      <c r="F145" s="9" t="s">
        <v>753</v>
      </c>
      <c r="G145" s="9" t="s">
        <v>1514</v>
      </c>
      <c r="H145" s="14">
        <v>9</v>
      </c>
      <c r="I145" s="9" t="s">
        <v>1405</v>
      </c>
      <c r="J145" s="11" t="str">
        <f t="shared" si="2"/>
        <v>Proxima_Calibracao</v>
      </c>
    </row>
    <row r="146" spans="1:10" ht="15" customHeight="1" x14ac:dyDescent="0.3">
      <c r="A146" s="9" t="s">
        <v>1343</v>
      </c>
      <c r="B146" s="9" t="s">
        <v>753</v>
      </c>
      <c r="C146" s="9" t="s">
        <v>14</v>
      </c>
      <c r="D146" s="14">
        <v>10</v>
      </c>
      <c r="E146" s="9" t="s">
        <v>1404</v>
      </c>
      <c r="F146" s="9" t="s">
        <v>753</v>
      </c>
      <c r="G146" s="9" t="s">
        <v>14</v>
      </c>
      <c r="H146" s="14">
        <v>10</v>
      </c>
      <c r="I146" s="9" t="s">
        <v>1405</v>
      </c>
      <c r="J146" s="11" t="str">
        <f t="shared" si="2"/>
        <v>Estado</v>
      </c>
    </row>
    <row r="147" spans="1:10" ht="15" customHeight="1" x14ac:dyDescent="0.3">
      <c r="A147" s="9" t="s">
        <v>1343</v>
      </c>
      <c r="B147" s="9" t="s">
        <v>753</v>
      </c>
      <c r="C147" s="9" t="s">
        <v>1515</v>
      </c>
      <c r="D147" s="14">
        <v>11</v>
      </c>
      <c r="E147" s="9" t="s">
        <v>1404</v>
      </c>
      <c r="F147" s="9" t="s">
        <v>753</v>
      </c>
      <c r="G147" s="9"/>
      <c r="H147" s="14"/>
      <c r="I147" s="9" t="s">
        <v>1420</v>
      </c>
      <c r="J147" s="11" t="str">
        <f t="shared" si="2"/>
        <v>Classe_Exatidao</v>
      </c>
    </row>
    <row r="148" spans="1:10" ht="15" customHeight="1" x14ac:dyDescent="0.3">
      <c r="A148" s="9" t="s">
        <v>1343</v>
      </c>
      <c r="B148" s="9" t="s">
        <v>753</v>
      </c>
      <c r="C148" s="9" t="s">
        <v>1516</v>
      </c>
      <c r="D148" s="14">
        <v>12</v>
      </c>
      <c r="E148" s="9" t="s">
        <v>1404</v>
      </c>
      <c r="F148" s="9" t="s">
        <v>753</v>
      </c>
      <c r="G148" s="9"/>
      <c r="H148" s="14"/>
      <c r="I148" s="9" t="s">
        <v>1420</v>
      </c>
      <c r="J148" s="11" t="str">
        <f t="shared" si="2"/>
        <v>Incerteza</v>
      </c>
    </row>
    <row r="149" spans="1:10" ht="15" customHeight="1" x14ac:dyDescent="0.3">
      <c r="A149" s="9" t="s">
        <v>1343</v>
      </c>
      <c r="B149" s="9" t="s">
        <v>753</v>
      </c>
      <c r="C149" s="9" t="s">
        <v>1517</v>
      </c>
      <c r="D149" s="14">
        <v>13</v>
      </c>
      <c r="E149" s="9" t="s">
        <v>1404</v>
      </c>
      <c r="F149" s="9" t="s">
        <v>753</v>
      </c>
      <c r="G149" s="9"/>
      <c r="H149" s="14"/>
      <c r="I149" s="9" t="s">
        <v>1420</v>
      </c>
      <c r="J149" s="11" t="str">
        <f t="shared" si="2"/>
        <v>Verificacao_Repetibilidade</v>
      </c>
    </row>
    <row r="150" spans="1:10" ht="15" customHeight="1" x14ac:dyDescent="0.3">
      <c r="A150" s="9" t="s">
        <v>1343</v>
      </c>
      <c r="B150" s="9" t="s">
        <v>753</v>
      </c>
      <c r="C150" s="9" t="s">
        <v>724</v>
      </c>
      <c r="D150" s="14">
        <v>14</v>
      </c>
      <c r="E150" s="9" t="s">
        <v>1404</v>
      </c>
      <c r="F150" s="9" t="s">
        <v>753</v>
      </c>
      <c r="G150" s="9"/>
      <c r="H150" s="14"/>
      <c r="I150" s="9" t="s">
        <v>1420</v>
      </c>
      <c r="J150" s="11" t="str">
        <f t="shared" si="2"/>
        <v>Registo_Dono</v>
      </c>
    </row>
    <row r="151" spans="1:10" ht="15" customHeight="1" x14ac:dyDescent="0.3">
      <c r="A151" s="9" t="s">
        <v>1345</v>
      </c>
      <c r="B151" s="9" t="s">
        <v>940</v>
      </c>
      <c r="C151" s="9" t="s">
        <v>941</v>
      </c>
      <c r="D151" s="14">
        <v>1</v>
      </c>
      <c r="E151" s="9" t="s">
        <v>1404</v>
      </c>
      <c r="F151" s="9" t="s">
        <v>940</v>
      </c>
      <c r="G151" s="9" t="s">
        <v>941</v>
      </c>
      <c r="H151" s="14">
        <v>1</v>
      </c>
      <c r="I151" s="9" t="s">
        <v>1405</v>
      </c>
      <c r="J151" s="11" t="str">
        <f t="shared" si="2"/>
        <v>ID_Competencia</v>
      </c>
    </row>
    <row r="152" spans="1:10" ht="15" customHeight="1" x14ac:dyDescent="0.3">
      <c r="A152" s="9" t="s">
        <v>1345</v>
      </c>
      <c r="B152" s="9" t="s">
        <v>940</v>
      </c>
      <c r="C152" s="9" t="s">
        <v>1148</v>
      </c>
      <c r="D152" s="14">
        <v>2</v>
      </c>
      <c r="E152" s="9" t="s">
        <v>1404</v>
      </c>
      <c r="F152" s="9" t="s">
        <v>940</v>
      </c>
      <c r="G152" s="9" t="s">
        <v>1148</v>
      </c>
      <c r="H152" s="14">
        <v>2</v>
      </c>
      <c r="I152" s="9" t="s">
        <v>1405</v>
      </c>
      <c r="J152" s="11" t="str">
        <f t="shared" si="2"/>
        <v>Funcao</v>
      </c>
    </row>
    <row r="153" spans="1:10" ht="15" customHeight="1" x14ac:dyDescent="0.3">
      <c r="A153" s="9" t="s">
        <v>1345</v>
      </c>
      <c r="B153" s="9" t="s">
        <v>940</v>
      </c>
      <c r="C153" s="9" t="s">
        <v>1240</v>
      </c>
      <c r="D153" s="14">
        <v>3</v>
      </c>
      <c r="E153" s="9" t="s">
        <v>1404</v>
      </c>
      <c r="F153" s="9" t="s">
        <v>940</v>
      </c>
      <c r="G153" s="9" t="s">
        <v>1240</v>
      </c>
      <c r="H153" s="14">
        <v>3</v>
      </c>
      <c r="I153" s="9" t="s">
        <v>1405</v>
      </c>
      <c r="J153" s="11" t="str">
        <f t="shared" si="2"/>
        <v>Processo</v>
      </c>
    </row>
    <row r="154" spans="1:10" ht="15" customHeight="1" x14ac:dyDescent="0.3">
      <c r="A154" s="9" t="s">
        <v>1345</v>
      </c>
      <c r="B154" s="9" t="s">
        <v>940</v>
      </c>
      <c r="C154" s="9" t="s">
        <v>863</v>
      </c>
      <c r="D154" s="14">
        <v>4</v>
      </c>
      <c r="E154" s="9" t="s">
        <v>1404</v>
      </c>
      <c r="F154" s="9" t="s">
        <v>940</v>
      </c>
      <c r="G154" s="9" t="s">
        <v>1518</v>
      </c>
      <c r="H154" s="14">
        <v>4</v>
      </c>
      <c r="I154" s="9" t="s">
        <v>1413</v>
      </c>
      <c r="J154" s="11" t="str">
        <f t="shared" si="2"/>
        <v>ID_Aspeto_AAS</v>
      </c>
    </row>
    <row r="155" spans="1:10" ht="15" customHeight="1" x14ac:dyDescent="0.3">
      <c r="A155" s="9" t="s">
        <v>1345</v>
      </c>
      <c r="B155" s="9" t="s">
        <v>940</v>
      </c>
      <c r="C155" s="9" t="s">
        <v>1519</v>
      </c>
      <c r="D155" s="14">
        <v>5</v>
      </c>
      <c r="E155" s="9" t="s">
        <v>1404</v>
      </c>
      <c r="F155" s="9" t="s">
        <v>940</v>
      </c>
      <c r="G155" s="9" t="s">
        <v>1520</v>
      </c>
      <c r="H155" s="14">
        <v>5</v>
      </c>
      <c r="I155" s="9" t="s">
        <v>1413</v>
      </c>
      <c r="J155" s="11" t="str">
        <f t="shared" si="2"/>
        <v>Aspeto_Significativo</v>
      </c>
    </row>
    <row r="156" spans="1:10" ht="15" customHeight="1" x14ac:dyDescent="0.3">
      <c r="A156" s="9" t="s">
        <v>1345</v>
      </c>
      <c r="B156" s="9" t="s">
        <v>940</v>
      </c>
      <c r="C156" s="9" t="s">
        <v>1521</v>
      </c>
      <c r="D156" s="14">
        <v>6</v>
      </c>
      <c r="E156" s="9" t="s">
        <v>1404</v>
      </c>
      <c r="F156" s="9" t="s">
        <v>940</v>
      </c>
      <c r="G156" s="9" t="s">
        <v>1521</v>
      </c>
      <c r="H156" s="14">
        <v>6</v>
      </c>
      <c r="I156" s="9" t="s">
        <v>1405</v>
      </c>
      <c r="J156" s="11" t="str">
        <f t="shared" si="2"/>
        <v>Educacao_Habilitacoes</v>
      </c>
    </row>
    <row r="157" spans="1:10" ht="15" customHeight="1" x14ac:dyDescent="0.3">
      <c r="A157" s="9" t="s">
        <v>1345</v>
      </c>
      <c r="B157" s="9" t="s">
        <v>940</v>
      </c>
      <c r="C157" s="9" t="s">
        <v>1098</v>
      </c>
      <c r="D157" s="14">
        <v>7</v>
      </c>
      <c r="E157" s="9" t="s">
        <v>1404</v>
      </c>
      <c r="F157" s="9" t="s">
        <v>940</v>
      </c>
      <c r="G157" s="9" t="s">
        <v>1098</v>
      </c>
      <c r="H157" s="14">
        <v>7</v>
      </c>
      <c r="I157" s="9" t="s">
        <v>1405</v>
      </c>
      <c r="J157" s="11" t="str">
        <f t="shared" si="2"/>
        <v>Formacao_Obrigatoria</v>
      </c>
    </row>
    <row r="158" spans="1:10" ht="15" customHeight="1" x14ac:dyDescent="0.3">
      <c r="A158" s="9" t="s">
        <v>1345</v>
      </c>
      <c r="B158" s="9" t="s">
        <v>940</v>
      </c>
      <c r="C158" s="9" t="s">
        <v>1522</v>
      </c>
      <c r="D158" s="14">
        <v>8</v>
      </c>
      <c r="E158" s="9" t="s">
        <v>1404</v>
      </c>
      <c r="F158" s="9" t="s">
        <v>940</v>
      </c>
      <c r="G158" s="9" t="s">
        <v>1522</v>
      </c>
      <c r="H158" s="14">
        <v>8</v>
      </c>
      <c r="I158" s="9" t="s">
        <v>1405</v>
      </c>
      <c r="J158" s="11" t="str">
        <f t="shared" si="2"/>
        <v>Formacao_Descricao</v>
      </c>
    </row>
    <row r="159" spans="1:10" ht="15" customHeight="1" x14ac:dyDescent="0.3">
      <c r="A159" s="9" t="s">
        <v>1345</v>
      </c>
      <c r="B159" s="9" t="s">
        <v>940</v>
      </c>
      <c r="C159" s="9" t="s">
        <v>1523</v>
      </c>
      <c r="D159" s="14">
        <v>9</v>
      </c>
      <c r="E159" s="9" t="s">
        <v>1404</v>
      </c>
      <c r="F159" s="9" t="s">
        <v>940</v>
      </c>
      <c r="G159" s="9" t="s">
        <v>1523</v>
      </c>
      <c r="H159" s="14">
        <v>9</v>
      </c>
      <c r="I159" s="9" t="s">
        <v>1405</v>
      </c>
      <c r="J159" s="11" t="str">
        <f t="shared" si="2"/>
        <v>Experiencia</v>
      </c>
    </row>
    <row r="160" spans="1:10" ht="15" customHeight="1" x14ac:dyDescent="0.3">
      <c r="A160" s="9" t="s">
        <v>1345</v>
      </c>
      <c r="B160" s="9" t="s">
        <v>940</v>
      </c>
      <c r="C160" s="9" t="s">
        <v>1524</v>
      </c>
      <c r="D160" s="14">
        <v>10</v>
      </c>
      <c r="E160" s="9" t="s">
        <v>1404</v>
      </c>
      <c r="F160" s="9" t="s">
        <v>940</v>
      </c>
      <c r="G160" s="9" t="s">
        <v>1524</v>
      </c>
      <c r="H160" s="14">
        <v>10</v>
      </c>
      <c r="I160" s="9" t="s">
        <v>1405</v>
      </c>
      <c r="J160" s="11" t="str">
        <f t="shared" si="2"/>
        <v>Soft_Skills</v>
      </c>
    </row>
    <row r="161" spans="1:10" ht="15" customHeight="1" x14ac:dyDescent="0.3">
      <c r="A161" s="9" t="s">
        <v>1345</v>
      </c>
      <c r="B161" s="9" t="s">
        <v>940</v>
      </c>
      <c r="C161" s="9" t="s">
        <v>1525</v>
      </c>
      <c r="D161" s="14">
        <v>11</v>
      </c>
      <c r="E161" s="9" t="s">
        <v>1404</v>
      </c>
      <c r="F161" s="9" t="s">
        <v>940</v>
      </c>
      <c r="G161" s="9" t="s">
        <v>1525</v>
      </c>
      <c r="H161" s="14">
        <v>11</v>
      </c>
      <c r="I161" s="9" t="s">
        <v>1405</v>
      </c>
      <c r="J161" s="11" t="str">
        <f t="shared" si="2"/>
        <v>Tema_Consciencializacao</v>
      </c>
    </row>
    <row r="162" spans="1:10" ht="15" customHeight="1" x14ac:dyDescent="0.3">
      <c r="A162" s="9" t="s">
        <v>1345</v>
      </c>
      <c r="B162" s="9" t="s">
        <v>940</v>
      </c>
      <c r="C162" s="9" t="s">
        <v>1526</v>
      </c>
      <c r="D162" s="14">
        <v>12</v>
      </c>
      <c r="E162" s="9" t="s">
        <v>1404</v>
      </c>
      <c r="F162" s="9" t="s">
        <v>940</v>
      </c>
      <c r="G162" s="9" t="s">
        <v>1526</v>
      </c>
      <c r="H162" s="14">
        <v>12</v>
      </c>
      <c r="I162" s="9" t="s">
        <v>1405</v>
      </c>
      <c r="J162" s="11" t="str">
        <f t="shared" si="2"/>
        <v>Consequencia_Desvio</v>
      </c>
    </row>
    <row r="163" spans="1:10" ht="15" customHeight="1" x14ac:dyDescent="0.3">
      <c r="A163" s="9" t="s">
        <v>1345</v>
      </c>
      <c r="B163" s="9" t="s">
        <v>940</v>
      </c>
      <c r="C163" s="9" t="s">
        <v>1527</v>
      </c>
      <c r="D163" s="14">
        <v>13</v>
      </c>
      <c r="E163" s="9" t="s">
        <v>1404</v>
      </c>
      <c r="F163" s="9" t="s">
        <v>940</v>
      </c>
      <c r="G163" s="9" t="s">
        <v>1527</v>
      </c>
      <c r="H163" s="14">
        <v>13</v>
      </c>
      <c r="I163" s="9" t="s">
        <v>1405</v>
      </c>
      <c r="J163" s="11" t="str">
        <f t="shared" si="2"/>
        <v>Avaliacao_Eficacia</v>
      </c>
    </row>
    <row r="164" spans="1:10" ht="15" customHeight="1" x14ac:dyDescent="0.3">
      <c r="A164" s="9" t="s">
        <v>1345</v>
      </c>
      <c r="B164" s="9" t="s">
        <v>940</v>
      </c>
      <c r="C164" s="9" t="s">
        <v>1528</v>
      </c>
      <c r="D164" s="14">
        <v>14</v>
      </c>
      <c r="E164" s="9" t="s">
        <v>1404</v>
      </c>
      <c r="F164" s="9" t="s">
        <v>940</v>
      </c>
      <c r="G164" s="9" t="s">
        <v>1528</v>
      </c>
      <c r="H164" s="14">
        <v>14</v>
      </c>
      <c r="I164" s="9" t="s">
        <v>1405</v>
      </c>
      <c r="J164" s="11" t="str">
        <f t="shared" si="2"/>
        <v>N_Colaboradores</v>
      </c>
    </row>
    <row r="165" spans="1:10" ht="15" customHeight="1" x14ac:dyDescent="0.3">
      <c r="A165" s="9" t="s">
        <v>1345</v>
      </c>
      <c r="B165" s="9" t="s">
        <v>940</v>
      </c>
      <c r="C165" s="9" t="s">
        <v>1529</v>
      </c>
      <c r="D165" s="14">
        <v>15</v>
      </c>
      <c r="E165" s="9" t="s">
        <v>1404</v>
      </c>
      <c r="F165" s="9" t="s">
        <v>940</v>
      </c>
      <c r="G165" s="9" t="s">
        <v>1529</v>
      </c>
      <c r="H165" s="14">
        <v>15</v>
      </c>
      <c r="I165" s="9" t="s">
        <v>1405</v>
      </c>
      <c r="J165" s="11" t="str">
        <f t="shared" si="2"/>
        <v>Registos_Aprovados</v>
      </c>
    </row>
    <row r="166" spans="1:10" ht="15" customHeight="1" x14ac:dyDescent="0.3">
      <c r="A166" s="9" t="s">
        <v>1345</v>
      </c>
      <c r="B166" s="9" t="s">
        <v>940</v>
      </c>
      <c r="C166" s="9" t="s">
        <v>1530</v>
      </c>
      <c r="D166" s="14">
        <v>16</v>
      </c>
      <c r="E166" s="9" t="s">
        <v>1404</v>
      </c>
      <c r="F166" s="9" t="s">
        <v>940</v>
      </c>
      <c r="G166" s="9" t="s">
        <v>1530</v>
      </c>
      <c r="H166" s="14">
        <v>16</v>
      </c>
      <c r="I166" s="9" t="s">
        <v>1405</v>
      </c>
      <c r="J166" s="11" t="str">
        <f t="shared" si="2"/>
        <v>Cobertura</v>
      </c>
    </row>
    <row r="167" spans="1:10" ht="15" customHeight="1" x14ac:dyDescent="0.3">
      <c r="A167" s="9" t="s">
        <v>1345</v>
      </c>
      <c r="B167" s="9" t="s">
        <v>940</v>
      </c>
      <c r="C167" s="9" t="s">
        <v>14</v>
      </c>
      <c r="D167" s="14">
        <v>17</v>
      </c>
      <c r="E167" s="9" t="s">
        <v>1404</v>
      </c>
      <c r="F167" s="9" t="s">
        <v>940</v>
      </c>
      <c r="G167" s="9" t="s">
        <v>14</v>
      </c>
      <c r="H167" s="14">
        <v>17</v>
      </c>
      <c r="I167" s="9" t="s">
        <v>1405</v>
      </c>
      <c r="J167" s="11" t="str">
        <f t="shared" si="2"/>
        <v>Estado</v>
      </c>
    </row>
    <row r="168" spans="1:10" ht="15" customHeight="1" x14ac:dyDescent="0.3">
      <c r="A168" s="9" t="s">
        <v>1345</v>
      </c>
      <c r="B168" s="9" t="s">
        <v>940</v>
      </c>
      <c r="C168" s="9"/>
      <c r="D168" s="14"/>
      <c r="E168" s="9" t="s">
        <v>1404</v>
      </c>
      <c r="F168" s="9" t="s">
        <v>940</v>
      </c>
      <c r="G168" s="9" t="s">
        <v>1531</v>
      </c>
      <c r="H168" s="14">
        <v>18</v>
      </c>
      <c r="I168" s="9" t="s">
        <v>1424</v>
      </c>
      <c r="J168" s="11" t="str">
        <f t="shared" si="2"/>
        <v>Selecionado_Atv_4_1</v>
      </c>
    </row>
    <row r="169" spans="1:10" ht="15" customHeight="1" x14ac:dyDescent="0.3">
      <c r="A169" s="9" t="s">
        <v>1347</v>
      </c>
      <c r="B169" s="9" t="s">
        <v>948</v>
      </c>
      <c r="C169" s="9" t="s">
        <v>949</v>
      </c>
      <c r="D169" s="14">
        <v>1</v>
      </c>
      <c r="E169" s="9" t="s">
        <v>1404</v>
      </c>
      <c r="F169" s="9" t="s">
        <v>948</v>
      </c>
      <c r="G169" s="9" t="s">
        <v>949</v>
      </c>
      <c r="H169" s="14">
        <v>1</v>
      </c>
      <c r="I169" s="9" t="s">
        <v>1405</v>
      </c>
      <c r="J169" s="11" t="str">
        <f t="shared" si="2"/>
        <v>ID_Registo</v>
      </c>
    </row>
    <row r="170" spans="1:10" ht="15" customHeight="1" x14ac:dyDescent="0.3">
      <c r="A170" s="9" t="s">
        <v>1347</v>
      </c>
      <c r="B170" s="9" t="s">
        <v>948</v>
      </c>
      <c r="C170" s="9" t="s">
        <v>1532</v>
      </c>
      <c r="D170" s="14">
        <v>2</v>
      </c>
      <c r="E170" s="9" t="s">
        <v>1404</v>
      </c>
      <c r="F170" s="9" t="s">
        <v>948</v>
      </c>
      <c r="G170" s="9" t="s">
        <v>1532</v>
      </c>
      <c r="H170" s="14">
        <v>2</v>
      </c>
      <c r="I170" s="9" t="s">
        <v>1405</v>
      </c>
      <c r="J170" s="11" t="str">
        <f t="shared" si="2"/>
        <v>Colaborador</v>
      </c>
    </row>
    <row r="171" spans="1:10" ht="15" customHeight="1" x14ac:dyDescent="0.3">
      <c r="A171" s="9" t="s">
        <v>1347</v>
      </c>
      <c r="B171" s="9" t="s">
        <v>948</v>
      </c>
      <c r="C171" s="9" t="s">
        <v>941</v>
      </c>
      <c r="D171" s="14">
        <v>3</v>
      </c>
      <c r="E171" s="9" t="s">
        <v>1404</v>
      </c>
      <c r="F171" s="9" t="s">
        <v>948</v>
      </c>
      <c r="G171" s="9" t="s">
        <v>941</v>
      </c>
      <c r="H171" s="14">
        <v>3</v>
      </c>
      <c r="I171" s="9" t="s">
        <v>1405</v>
      </c>
      <c r="J171" s="11" t="str">
        <f t="shared" si="2"/>
        <v>ID_Competencia</v>
      </c>
    </row>
    <row r="172" spans="1:10" ht="15" customHeight="1" x14ac:dyDescent="0.3">
      <c r="A172" s="9" t="s">
        <v>1347</v>
      </c>
      <c r="B172" s="9" t="s">
        <v>948</v>
      </c>
      <c r="C172" s="9" t="s">
        <v>945</v>
      </c>
      <c r="D172" s="14">
        <v>4</v>
      </c>
      <c r="E172" s="9" t="s">
        <v>1404</v>
      </c>
      <c r="F172" s="9" t="s">
        <v>948</v>
      </c>
      <c r="G172" s="9" t="s">
        <v>945</v>
      </c>
      <c r="H172" s="14">
        <v>4</v>
      </c>
      <c r="I172" s="9" t="s">
        <v>1405</v>
      </c>
      <c r="J172" s="11" t="str">
        <f t="shared" si="2"/>
        <v>ID_Formacao</v>
      </c>
    </row>
    <row r="173" spans="1:10" ht="15" customHeight="1" x14ac:dyDescent="0.3">
      <c r="A173" s="9" t="s">
        <v>1347</v>
      </c>
      <c r="B173" s="9" t="s">
        <v>948</v>
      </c>
      <c r="C173" s="9" t="s">
        <v>1533</v>
      </c>
      <c r="D173" s="14">
        <v>5</v>
      </c>
      <c r="E173" s="9" t="s">
        <v>1404</v>
      </c>
      <c r="F173" s="9" t="s">
        <v>948</v>
      </c>
      <c r="G173" s="9" t="s">
        <v>1533</v>
      </c>
      <c r="H173" s="14">
        <v>5</v>
      </c>
      <c r="I173" s="9" t="s">
        <v>1405</v>
      </c>
      <c r="J173" s="11" t="str">
        <f t="shared" si="2"/>
        <v>Data_Realizacao</v>
      </c>
    </row>
    <row r="174" spans="1:10" ht="15" customHeight="1" x14ac:dyDescent="0.3">
      <c r="A174" s="9" t="s">
        <v>1347</v>
      </c>
      <c r="B174" s="9" t="s">
        <v>948</v>
      </c>
      <c r="C174" s="9" t="s">
        <v>1534</v>
      </c>
      <c r="D174" s="14">
        <v>6</v>
      </c>
      <c r="E174" s="9" t="s">
        <v>1404</v>
      </c>
      <c r="F174" s="9" t="s">
        <v>948</v>
      </c>
      <c r="G174" s="9" t="s">
        <v>1534</v>
      </c>
      <c r="H174" s="14">
        <v>6</v>
      </c>
      <c r="I174" s="9" t="s">
        <v>1405</v>
      </c>
      <c r="J174" s="11" t="str">
        <f t="shared" si="2"/>
        <v>Duracao_h</v>
      </c>
    </row>
    <row r="175" spans="1:10" ht="15" customHeight="1" x14ac:dyDescent="0.3">
      <c r="A175" s="9" t="s">
        <v>1347</v>
      </c>
      <c r="B175" s="9" t="s">
        <v>948</v>
      </c>
      <c r="C175" s="9" t="s">
        <v>1076</v>
      </c>
      <c r="D175" s="14">
        <v>7</v>
      </c>
      <c r="E175" s="9" t="s">
        <v>1404</v>
      </c>
      <c r="F175" s="9" t="s">
        <v>948</v>
      </c>
      <c r="G175" s="9" t="s">
        <v>1076</v>
      </c>
      <c r="H175" s="14">
        <v>7</v>
      </c>
      <c r="I175" s="9" t="s">
        <v>1405</v>
      </c>
      <c r="J175" s="11" t="str">
        <f t="shared" si="2"/>
        <v>Resultado</v>
      </c>
    </row>
    <row r="176" spans="1:10" ht="15" customHeight="1" x14ac:dyDescent="0.3">
      <c r="A176" s="9" t="s">
        <v>1347</v>
      </c>
      <c r="B176" s="9" t="s">
        <v>948</v>
      </c>
      <c r="C176" s="9" t="s">
        <v>1535</v>
      </c>
      <c r="D176" s="14">
        <v>8</v>
      </c>
      <c r="E176" s="9" t="s">
        <v>1404</v>
      </c>
      <c r="F176" s="9" t="s">
        <v>948</v>
      </c>
      <c r="G176" s="9" t="s">
        <v>1535</v>
      </c>
      <c r="H176" s="14">
        <v>8</v>
      </c>
      <c r="I176" s="9" t="s">
        <v>1405</v>
      </c>
      <c r="J176" s="11" t="str">
        <f t="shared" si="2"/>
        <v>Nota_Teste</v>
      </c>
    </row>
    <row r="177" spans="1:10" ht="15" customHeight="1" x14ac:dyDescent="0.3">
      <c r="A177" s="9" t="s">
        <v>1347</v>
      </c>
      <c r="B177" s="9" t="s">
        <v>948</v>
      </c>
      <c r="C177" s="9" t="s">
        <v>1536</v>
      </c>
      <c r="D177" s="14">
        <v>9</v>
      </c>
      <c r="E177" s="9" t="s">
        <v>1404</v>
      </c>
      <c r="F177" s="9" t="s">
        <v>948</v>
      </c>
      <c r="G177" s="9" t="s">
        <v>1536</v>
      </c>
      <c r="H177" s="14">
        <v>9</v>
      </c>
      <c r="I177" s="9" t="s">
        <v>1405</v>
      </c>
      <c r="J177" s="11" t="str">
        <f t="shared" si="2"/>
        <v>Nivel_Avaliado</v>
      </c>
    </row>
    <row r="178" spans="1:10" ht="15" customHeight="1" x14ac:dyDescent="0.3">
      <c r="A178" s="9" t="s">
        <v>1347</v>
      </c>
      <c r="B178" s="9" t="s">
        <v>948</v>
      </c>
      <c r="C178" s="9" t="s">
        <v>1537</v>
      </c>
      <c r="D178" s="14">
        <v>10</v>
      </c>
      <c r="E178" s="9" t="s">
        <v>1404</v>
      </c>
      <c r="F178" s="9" t="s">
        <v>948</v>
      </c>
      <c r="G178" s="9" t="s">
        <v>1537</v>
      </c>
      <c r="H178" s="14">
        <v>10</v>
      </c>
      <c r="I178" s="9" t="s">
        <v>1405</v>
      </c>
      <c r="J178" s="11" t="str">
        <f t="shared" si="2"/>
        <v>Reciclagem_Meses</v>
      </c>
    </row>
    <row r="179" spans="1:10" ht="15" customHeight="1" x14ac:dyDescent="0.3">
      <c r="A179" s="9" t="s">
        <v>1347</v>
      </c>
      <c r="B179" s="9" t="s">
        <v>948</v>
      </c>
      <c r="C179" s="9" t="s">
        <v>1538</v>
      </c>
      <c r="D179" s="14">
        <v>11</v>
      </c>
      <c r="E179" s="9" t="s">
        <v>1404</v>
      </c>
      <c r="F179" s="9" t="s">
        <v>948</v>
      </c>
      <c r="G179" s="9" t="s">
        <v>1538</v>
      </c>
      <c r="H179" s="14">
        <v>11</v>
      </c>
      <c r="I179" s="9" t="s">
        <v>1405</v>
      </c>
      <c r="J179" s="11" t="str">
        <f t="shared" si="2"/>
        <v>Validade</v>
      </c>
    </row>
    <row r="180" spans="1:10" ht="15" customHeight="1" x14ac:dyDescent="0.3">
      <c r="A180" s="9" t="s">
        <v>1347</v>
      </c>
      <c r="B180" s="9" t="s">
        <v>948</v>
      </c>
      <c r="C180" s="9" t="s">
        <v>1539</v>
      </c>
      <c r="D180" s="14">
        <v>12</v>
      </c>
      <c r="E180" s="9" t="s">
        <v>1404</v>
      </c>
      <c r="F180" s="9" t="s">
        <v>948</v>
      </c>
      <c r="G180" s="9" t="s">
        <v>1539</v>
      </c>
      <c r="H180" s="14">
        <v>12</v>
      </c>
      <c r="I180" s="9" t="s">
        <v>1405</v>
      </c>
      <c r="J180" s="11" t="str">
        <f t="shared" si="2"/>
        <v>Valida</v>
      </c>
    </row>
    <row r="181" spans="1:10" ht="15" customHeight="1" x14ac:dyDescent="0.3">
      <c r="A181" s="9" t="s">
        <v>1349</v>
      </c>
      <c r="B181" s="9" t="s">
        <v>956</v>
      </c>
      <c r="C181" s="9" t="s">
        <v>957</v>
      </c>
      <c r="D181" s="14">
        <v>1</v>
      </c>
      <c r="E181" s="9" t="s">
        <v>1404</v>
      </c>
      <c r="F181" s="9" t="s">
        <v>956</v>
      </c>
      <c r="G181" s="9" t="s">
        <v>957</v>
      </c>
      <c r="H181" s="14">
        <v>1</v>
      </c>
      <c r="I181" s="9" t="s">
        <v>1405</v>
      </c>
      <c r="J181" s="11" t="str">
        <f t="shared" si="2"/>
        <v>ID_Comunicacao</v>
      </c>
    </row>
    <row r="182" spans="1:10" ht="15" customHeight="1" x14ac:dyDescent="0.3">
      <c r="A182" s="9" t="s">
        <v>1349</v>
      </c>
      <c r="B182" s="9" t="s">
        <v>956</v>
      </c>
      <c r="C182" s="9" t="s">
        <v>345</v>
      </c>
      <c r="D182" s="14">
        <v>2</v>
      </c>
      <c r="E182" s="9" t="s">
        <v>1404</v>
      </c>
      <c r="F182" s="9" t="s">
        <v>956</v>
      </c>
      <c r="G182" s="9" t="s">
        <v>345</v>
      </c>
      <c r="H182" s="14">
        <v>2</v>
      </c>
      <c r="I182" s="9" t="s">
        <v>1405</v>
      </c>
      <c r="J182" s="11" t="str">
        <f t="shared" si="2"/>
        <v>Tipo</v>
      </c>
    </row>
    <row r="183" spans="1:10" ht="15" customHeight="1" x14ac:dyDescent="0.3">
      <c r="A183" s="9" t="s">
        <v>1349</v>
      </c>
      <c r="B183" s="9" t="s">
        <v>956</v>
      </c>
      <c r="C183" s="9" t="s">
        <v>1540</v>
      </c>
      <c r="D183" s="14">
        <v>3</v>
      </c>
      <c r="E183" s="9" t="s">
        <v>1404</v>
      </c>
      <c r="F183" s="9" t="s">
        <v>956</v>
      </c>
      <c r="G183" s="9" t="s">
        <v>1540</v>
      </c>
      <c r="H183" s="14">
        <v>3</v>
      </c>
      <c r="I183" s="9" t="s">
        <v>1405</v>
      </c>
      <c r="J183" s="11" t="str">
        <f t="shared" si="2"/>
        <v>Cenario</v>
      </c>
    </row>
    <row r="184" spans="1:10" ht="15" customHeight="1" x14ac:dyDescent="0.3">
      <c r="A184" s="9" t="s">
        <v>1349</v>
      </c>
      <c r="B184" s="9" t="s">
        <v>956</v>
      </c>
      <c r="C184" s="9" t="s">
        <v>1541</v>
      </c>
      <c r="D184" s="14">
        <v>4</v>
      </c>
      <c r="E184" s="9" t="s">
        <v>1404</v>
      </c>
      <c r="F184" s="9" t="s">
        <v>956</v>
      </c>
      <c r="G184" s="9" t="s">
        <v>1541</v>
      </c>
      <c r="H184" s="14">
        <v>4</v>
      </c>
      <c r="I184" s="9" t="s">
        <v>1405</v>
      </c>
      <c r="J184" s="11" t="str">
        <f t="shared" si="2"/>
        <v>O_Que_Mensagem</v>
      </c>
    </row>
    <row r="185" spans="1:10" ht="15" customHeight="1" x14ac:dyDescent="0.3">
      <c r="A185" s="9" t="s">
        <v>1349</v>
      </c>
      <c r="B185" s="9" t="s">
        <v>956</v>
      </c>
      <c r="C185" s="9" t="s">
        <v>1542</v>
      </c>
      <c r="D185" s="14">
        <v>5</v>
      </c>
      <c r="E185" s="9" t="s">
        <v>1404</v>
      </c>
      <c r="F185" s="9" t="s">
        <v>956</v>
      </c>
      <c r="G185" s="9" t="s">
        <v>1542</v>
      </c>
      <c r="H185" s="14">
        <v>5</v>
      </c>
      <c r="I185" s="9" t="s">
        <v>1405</v>
      </c>
      <c r="J185" s="11" t="str">
        <f t="shared" si="2"/>
        <v>A_Quem_Publico</v>
      </c>
    </row>
    <row r="186" spans="1:10" ht="15" customHeight="1" x14ac:dyDescent="0.3">
      <c r="A186" s="9" t="s">
        <v>1349</v>
      </c>
      <c r="B186" s="9" t="s">
        <v>956</v>
      </c>
      <c r="C186" s="9" t="s">
        <v>1543</v>
      </c>
      <c r="D186" s="14">
        <v>6</v>
      </c>
      <c r="E186" s="9" t="s">
        <v>1404</v>
      </c>
      <c r="F186" s="9" t="s">
        <v>956</v>
      </c>
      <c r="G186" s="9" t="s">
        <v>1543</v>
      </c>
      <c r="H186" s="14">
        <v>6</v>
      </c>
      <c r="I186" s="9" t="s">
        <v>1405</v>
      </c>
      <c r="J186" s="11" t="str">
        <f t="shared" si="2"/>
        <v>Quando_Momento</v>
      </c>
    </row>
    <row r="187" spans="1:10" ht="15" customHeight="1" x14ac:dyDescent="0.3">
      <c r="A187" s="9" t="s">
        <v>1349</v>
      </c>
      <c r="B187" s="9" t="s">
        <v>956</v>
      </c>
      <c r="C187" s="9" t="s">
        <v>1544</v>
      </c>
      <c r="D187" s="14">
        <v>7</v>
      </c>
      <c r="E187" s="9" t="s">
        <v>1404</v>
      </c>
      <c r="F187" s="9" t="s">
        <v>956</v>
      </c>
      <c r="G187" s="9" t="s">
        <v>1544</v>
      </c>
      <c r="H187" s="14">
        <v>7</v>
      </c>
      <c r="I187" s="9" t="s">
        <v>1405</v>
      </c>
      <c r="J187" s="11" t="str">
        <f t="shared" si="2"/>
        <v>Como_Canal</v>
      </c>
    </row>
    <row r="188" spans="1:10" ht="15" customHeight="1" x14ac:dyDescent="0.3">
      <c r="A188" s="9" t="s">
        <v>1349</v>
      </c>
      <c r="B188" s="9" t="s">
        <v>956</v>
      </c>
      <c r="C188" s="9" t="s">
        <v>1545</v>
      </c>
      <c r="D188" s="14">
        <v>8</v>
      </c>
      <c r="E188" s="9" t="s">
        <v>1404</v>
      </c>
      <c r="F188" s="9" t="s">
        <v>956</v>
      </c>
      <c r="G188" s="9" t="s">
        <v>1545</v>
      </c>
      <c r="H188" s="14">
        <v>8</v>
      </c>
      <c r="I188" s="9" t="s">
        <v>1405</v>
      </c>
      <c r="J188" s="11" t="str">
        <f t="shared" si="2"/>
        <v>Porque_Objetivo</v>
      </c>
    </row>
    <row r="189" spans="1:10" ht="15" customHeight="1" x14ac:dyDescent="0.3">
      <c r="A189" s="9" t="s">
        <v>1349</v>
      </c>
      <c r="B189" s="9" t="s">
        <v>956</v>
      </c>
      <c r="C189" s="9" t="s">
        <v>347</v>
      </c>
      <c r="D189" s="14">
        <v>9</v>
      </c>
      <c r="E189" s="9" t="s">
        <v>1404</v>
      </c>
      <c r="F189" s="9" t="s">
        <v>956</v>
      </c>
      <c r="G189" s="9" t="s">
        <v>347</v>
      </c>
      <c r="H189" s="14">
        <v>9</v>
      </c>
      <c r="I189" s="9" t="s">
        <v>1405</v>
      </c>
      <c r="J189" s="11" t="str">
        <f t="shared" si="2"/>
        <v>Responsavel</v>
      </c>
    </row>
    <row r="190" spans="1:10" ht="15" customHeight="1" x14ac:dyDescent="0.3">
      <c r="A190" s="9" t="s">
        <v>1349</v>
      </c>
      <c r="B190" s="9" t="s">
        <v>956</v>
      </c>
      <c r="C190" s="9"/>
      <c r="D190" s="14"/>
      <c r="E190" s="9" t="s">
        <v>1404</v>
      </c>
      <c r="F190" s="9" t="s">
        <v>956</v>
      </c>
      <c r="G190" s="9" t="s">
        <v>154</v>
      </c>
      <c r="H190" s="14">
        <v>10</v>
      </c>
      <c r="I190" s="9" t="s">
        <v>1424</v>
      </c>
      <c r="J190" s="11" t="str">
        <f t="shared" si="2"/>
        <v>Clausula</v>
      </c>
    </row>
    <row r="191" spans="1:10" ht="15" customHeight="1" x14ac:dyDescent="0.3">
      <c r="A191" s="9" t="s">
        <v>1349</v>
      </c>
      <c r="B191" s="9" t="s">
        <v>956</v>
      </c>
      <c r="C191" s="9"/>
      <c r="D191" s="14"/>
      <c r="E191" s="9" t="s">
        <v>1404</v>
      </c>
      <c r="F191" s="9" t="s">
        <v>956</v>
      </c>
      <c r="G191" s="9" t="s">
        <v>1546</v>
      </c>
      <c r="H191" s="14">
        <v>11</v>
      </c>
      <c r="I191" s="9" t="s">
        <v>1424</v>
      </c>
      <c r="J191" s="11" t="str">
        <f t="shared" si="2"/>
        <v>Participacao_Feedback</v>
      </c>
    </row>
    <row r="192" spans="1:10" ht="15" customHeight="1" x14ac:dyDescent="0.3">
      <c r="A192" s="9" t="s">
        <v>1349</v>
      </c>
      <c r="B192" s="9" t="s">
        <v>956</v>
      </c>
      <c r="C192" s="9"/>
      <c r="D192" s="14"/>
      <c r="E192" s="9" t="s">
        <v>1404</v>
      </c>
      <c r="F192" s="9" t="s">
        <v>956</v>
      </c>
      <c r="G192" s="9" t="s">
        <v>431</v>
      </c>
      <c r="H192" s="14">
        <v>12</v>
      </c>
      <c r="I192" s="9" t="s">
        <v>1424</v>
      </c>
      <c r="J192" s="11" t="str">
        <f t="shared" si="2"/>
        <v>Evidencia</v>
      </c>
    </row>
    <row r="193" spans="1:10" ht="15" customHeight="1" x14ac:dyDescent="0.3">
      <c r="A193" s="9" t="s">
        <v>1349</v>
      </c>
      <c r="B193" s="9" t="s">
        <v>956</v>
      </c>
      <c r="C193" s="9"/>
      <c r="D193" s="14"/>
      <c r="E193" s="9" t="s">
        <v>1404</v>
      </c>
      <c r="F193" s="9" t="s">
        <v>956</v>
      </c>
      <c r="G193" s="9" t="s">
        <v>1547</v>
      </c>
      <c r="H193" s="14">
        <v>13</v>
      </c>
      <c r="I193" s="9" t="s">
        <v>1424</v>
      </c>
      <c r="J193" s="11" t="str">
        <f t="shared" si="2"/>
        <v>Data_Prevista</v>
      </c>
    </row>
    <row r="194" spans="1:10" ht="15" customHeight="1" x14ac:dyDescent="0.3">
      <c r="A194" s="9" t="s">
        <v>1349</v>
      </c>
      <c r="B194" s="9" t="s">
        <v>956</v>
      </c>
      <c r="C194" s="9"/>
      <c r="D194" s="14"/>
      <c r="E194" s="9" t="s">
        <v>1404</v>
      </c>
      <c r="F194" s="9" t="s">
        <v>956</v>
      </c>
      <c r="G194" s="9" t="s">
        <v>1548</v>
      </c>
      <c r="H194" s="14">
        <v>14</v>
      </c>
      <c r="I194" s="9" t="s">
        <v>1424</v>
      </c>
      <c r="J194" s="11" t="str">
        <f t="shared" si="2"/>
        <v>Data_Realizada</v>
      </c>
    </row>
    <row r="195" spans="1:10" ht="15" customHeight="1" x14ac:dyDescent="0.3">
      <c r="A195" s="9" t="s">
        <v>1349</v>
      </c>
      <c r="B195" s="9" t="s">
        <v>956</v>
      </c>
      <c r="C195" s="9"/>
      <c r="D195" s="14"/>
      <c r="E195" s="9" t="s">
        <v>1404</v>
      </c>
      <c r="F195" s="9" t="s">
        <v>956</v>
      </c>
      <c r="G195" s="9" t="s">
        <v>1549</v>
      </c>
      <c r="H195" s="14">
        <v>15</v>
      </c>
      <c r="I195" s="9" t="s">
        <v>1424</v>
      </c>
      <c r="J195" s="11" t="str">
        <f t="shared" si="2"/>
        <v>Alcance_Previsto</v>
      </c>
    </row>
    <row r="196" spans="1:10" ht="15" customHeight="1" x14ac:dyDescent="0.3">
      <c r="A196" s="9" t="s">
        <v>1349</v>
      </c>
      <c r="B196" s="9" t="s">
        <v>956</v>
      </c>
      <c r="C196" s="9"/>
      <c r="D196" s="14"/>
      <c r="E196" s="9" t="s">
        <v>1404</v>
      </c>
      <c r="F196" s="9" t="s">
        <v>956</v>
      </c>
      <c r="G196" s="9" t="s">
        <v>1550</v>
      </c>
      <c r="H196" s="14">
        <v>16</v>
      </c>
      <c r="I196" s="9" t="s">
        <v>1424</v>
      </c>
      <c r="J196" s="11" t="str">
        <f t="shared" si="2"/>
        <v>Alcance_Real</v>
      </c>
    </row>
    <row r="197" spans="1:10" ht="15" customHeight="1" x14ac:dyDescent="0.3">
      <c r="A197" s="9" t="s">
        <v>1349</v>
      </c>
      <c r="B197" s="9" t="s">
        <v>956</v>
      </c>
      <c r="C197" s="9"/>
      <c r="D197" s="14"/>
      <c r="E197" s="9" t="s">
        <v>1404</v>
      </c>
      <c r="F197" s="9" t="s">
        <v>956</v>
      </c>
      <c r="G197" s="9" t="s">
        <v>1551</v>
      </c>
      <c r="H197" s="14">
        <v>17</v>
      </c>
      <c r="I197" s="9" t="s">
        <v>1424</v>
      </c>
      <c r="J197" s="11" t="str">
        <f t="shared" ref="J197:J260" si="3">IF(A197="","",IF(G197&lt;&gt;"",G197,C197))</f>
        <v>Taxa_Alcance</v>
      </c>
    </row>
    <row r="198" spans="1:10" ht="15" customHeight="1" x14ac:dyDescent="0.3">
      <c r="A198" s="9" t="s">
        <v>1349</v>
      </c>
      <c r="B198" s="9" t="s">
        <v>956</v>
      </c>
      <c r="C198" s="9"/>
      <c r="D198" s="14"/>
      <c r="E198" s="9" t="s">
        <v>1404</v>
      </c>
      <c r="F198" s="9" t="s">
        <v>956</v>
      </c>
      <c r="G198" s="9" t="s">
        <v>14</v>
      </c>
      <c r="H198" s="14">
        <v>18</v>
      </c>
      <c r="I198" s="9" t="s">
        <v>1424</v>
      </c>
      <c r="J198" s="11" t="str">
        <f t="shared" si="3"/>
        <v>Estado</v>
      </c>
    </row>
    <row r="199" spans="1:10" ht="15" customHeight="1" x14ac:dyDescent="0.3">
      <c r="A199" s="9" t="s">
        <v>1349</v>
      </c>
      <c r="B199" s="9" t="s">
        <v>956</v>
      </c>
      <c r="C199" s="9"/>
      <c r="D199" s="14"/>
      <c r="E199" s="9" t="s">
        <v>1404</v>
      </c>
      <c r="F199" s="9" t="s">
        <v>956</v>
      </c>
      <c r="G199" s="9" t="s">
        <v>1552</v>
      </c>
      <c r="H199" s="14">
        <v>19</v>
      </c>
      <c r="I199" s="9" t="s">
        <v>1424</v>
      </c>
      <c r="J199" s="11" t="str">
        <f t="shared" si="3"/>
        <v>Selecionado_Atv_4_2</v>
      </c>
    </row>
    <row r="200" spans="1:10" ht="15" customHeight="1" x14ac:dyDescent="0.3">
      <c r="A200" s="9" t="s">
        <v>1352</v>
      </c>
      <c r="B200" s="9" t="s">
        <v>1002</v>
      </c>
      <c r="C200" s="9" t="s">
        <v>1003</v>
      </c>
      <c r="D200" s="14">
        <v>1</v>
      </c>
      <c r="E200" s="9" t="s">
        <v>1404</v>
      </c>
      <c r="F200" s="9" t="s">
        <v>1002</v>
      </c>
      <c r="G200" s="9" t="s">
        <v>1003</v>
      </c>
      <c r="H200" s="14">
        <v>1</v>
      </c>
      <c r="I200" s="9" t="s">
        <v>1405</v>
      </c>
      <c r="J200" s="11" t="str">
        <f t="shared" si="3"/>
        <v>ID_Legal</v>
      </c>
    </row>
    <row r="201" spans="1:10" ht="15" customHeight="1" x14ac:dyDescent="0.3">
      <c r="A201" s="9" t="s">
        <v>1352</v>
      </c>
      <c r="B201" s="9" t="s">
        <v>1002</v>
      </c>
      <c r="C201" s="9" t="s">
        <v>325</v>
      </c>
      <c r="D201" s="14">
        <v>2</v>
      </c>
      <c r="E201" s="9" t="s">
        <v>1404</v>
      </c>
      <c r="F201" s="9" t="s">
        <v>1002</v>
      </c>
      <c r="G201" s="9" t="s">
        <v>325</v>
      </c>
      <c r="H201" s="14">
        <v>3</v>
      </c>
      <c r="I201" s="9" t="s">
        <v>1405</v>
      </c>
      <c r="J201" s="11" t="str">
        <f t="shared" si="3"/>
        <v>Tema</v>
      </c>
    </row>
    <row r="202" spans="1:10" ht="15" customHeight="1" x14ac:dyDescent="0.3">
      <c r="A202" s="9" t="s">
        <v>1352</v>
      </c>
      <c r="B202" s="9" t="s">
        <v>1002</v>
      </c>
      <c r="C202" s="9" t="s">
        <v>1553</v>
      </c>
      <c r="D202" s="14">
        <v>3</v>
      </c>
      <c r="E202" s="9" t="s">
        <v>1404</v>
      </c>
      <c r="F202" s="9" t="s">
        <v>1002</v>
      </c>
      <c r="G202" s="9" t="s">
        <v>1553</v>
      </c>
      <c r="H202" s="14">
        <v>4</v>
      </c>
      <c r="I202" s="9" t="s">
        <v>1405</v>
      </c>
      <c r="J202" s="11" t="str">
        <f t="shared" si="3"/>
        <v>Diploma_Documento</v>
      </c>
    </row>
    <row r="203" spans="1:10" ht="15" customHeight="1" x14ac:dyDescent="0.3">
      <c r="A203" s="9" t="s">
        <v>1352</v>
      </c>
      <c r="B203" s="9" t="s">
        <v>1002</v>
      </c>
      <c r="C203" s="9" t="s">
        <v>1554</v>
      </c>
      <c r="D203" s="14">
        <v>4</v>
      </c>
      <c r="E203" s="9" t="s">
        <v>1404</v>
      </c>
      <c r="F203" s="9" t="s">
        <v>1002</v>
      </c>
      <c r="G203" s="9" t="s">
        <v>1554</v>
      </c>
      <c r="H203" s="14">
        <v>5</v>
      </c>
      <c r="I203" s="9" t="s">
        <v>1405</v>
      </c>
      <c r="J203" s="11" t="str">
        <f t="shared" si="3"/>
        <v>Tipo_Diploma</v>
      </c>
    </row>
    <row r="204" spans="1:10" ht="15" customHeight="1" x14ac:dyDescent="0.3">
      <c r="A204" s="9" t="s">
        <v>1352</v>
      </c>
      <c r="B204" s="9" t="s">
        <v>1002</v>
      </c>
      <c r="C204" s="9" t="s">
        <v>1555</v>
      </c>
      <c r="D204" s="14">
        <v>5</v>
      </c>
      <c r="E204" s="9" t="s">
        <v>1404</v>
      </c>
      <c r="F204" s="9" t="s">
        <v>1002</v>
      </c>
      <c r="G204" s="9" t="s">
        <v>1555</v>
      </c>
      <c r="H204" s="14">
        <v>6</v>
      </c>
      <c r="I204" s="9" t="s">
        <v>1405</v>
      </c>
      <c r="J204" s="11" t="str">
        <f t="shared" si="3"/>
        <v>Data_Publicacao</v>
      </c>
    </row>
    <row r="205" spans="1:10" ht="15" customHeight="1" x14ac:dyDescent="0.3">
      <c r="A205" s="9" t="s">
        <v>1352</v>
      </c>
      <c r="B205" s="9" t="s">
        <v>1002</v>
      </c>
      <c r="C205" s="9" t="s">
        <v>808</v>
      </c>
      <c r="D205" s="14">
        <v>6</v>
      </c>
      <c r="E205" s="9" t="s">
        <v>1404</v>
      </c>
      <c r="F205" s="9" t="s">
        <v>1002</v>
      </c>
      <c r="G205" s="9" t="s">
        <v>808</v>
      </c>
      <c r="H205" s="14">
        <v>7</v>
      </c>
      <c r="I205" s="9" t="s">
        <v>1405</v>
      </c>
      <c r="J205" s="11" t="str">
        <f t="shared" si="3"/>
        <v>Ambito</v>
      </c>
    </row>
    <row r="206" spans="1:10" ht="15" customHeight="1" x14ac:dyDescent="0.3">
      <c r="A206" s="9" t="s">
        <v>1352</v>
      </c>
      <c r="B206" s="9" t="s">
        <v>1002</v>
      </c>
      <c r="C206" s="9" t="s">
        <v>1556</v>
      </c>
      <c r="D206" s="14">
        <v>7</v>
      </c>
      <c r="E206" s="9" t="s">
        <v>1404</v>
      </c>
      <c r="F206" s="9" t="s">
        <v>1002</v>
      </c>
      <c r="G206" s="9" t="s">
        <v>1556</v>
      </c>
      <c r="H206" s="14">
        <v>8</v>
      </c>
      <c r="I206" s="9" t="s">
        <v>1405</v>
      </c>
      <c r="J206" s="11" t="str">
        <f t="shared" si="3"/>
        <v>Entidade_Fiscalizadora</v>
      </c>
    </row>
    <row r="207" spans="1:10" ht="15" customHeight="1" x14ac:dyDescent="0.3">
      <c r="A207" s="9" t="s">
        <v>1352</v>
      </c>
      <c r="B207" s="9" t="s">
        <v>1002</v>
      </c>
      <c r="C207" s="9" t="s">
        <v>1557</v>
      </c>
      <c r="D207" s="14">
        <v>8</v>
      </c>
      <c r="E207" s="9" t="s">
        <v>1404</v>
      </c>
      <c r="F207" s="9" t="s">
        <v>1002</v>
      </c>
      <c r="G207" s="9" t="s">
        <v>1557</v>
      </c>
      <c r="H207" s="14">
        <v>9</v>
      </c>
      <c r="I207" s="9" t="s">
        <v>1405</v>
      </c>
      <c r="J207" s="11" t="str">
        <f t="shared" si="3"/>
        <v>Resumo_Obrigacoes</v>
      </c>
    </row>
    <row r="208" spans="1:10" ht="15" customHeight="1" x14ac:dyDescent="0.3">
      <c r="A208" s="9" t="s">
        <v>1352</v>
      </c>
      <c r="B208" s="9" t="s">
        <v>1002</v>
      </c>
      <c r="C208" s="9" t="s">
        <v>1558</v>
      </c>
      <c r="D208" s="14">
        <v>9</v>
      </c>
      <c r="E208" s="9" t="s">
        <v>1404</v>
      </c>
      <c r="F208" s="9" t="s">
        <v>1002</v>
      </c>
      <c r="G208" s="9" t="s">
        <v>1558</v>
      </c>
      <c r="H208" s="14">
        <v>10</v>
      </c>
      <c r="I208" s="9" t="s">
        <v>1405</v>
      </c>
      <c r="J208" s="11" t="str">
        <f t="shared" si="3"/>
        <v>Aplicabilidade</v>
      </c>
    </row>
    <row r="209" spans="1:10" ht="15" customHeight="1" x14ac:dyDescent="0.3">
      <c r="A209" s="9" t="s">
        <v>1352</v>
      </c>
      <c r="B209" s="9" t="s">
        <v>1002</v>
      </c>
      <c r="C209" s="9" t="s">
        <v>1559</v>
      </c>
      <c r="D209" s="14">
        <v>10</v>
      </c>
      <c r="E209" s="9" t="s">
        <v>1404</v>
      </c>
      <c r="F209" s="9" t="s">
        <v>1002</v>
      </c>
      <c r="G209" s="9" t="s">
        <v>1559</v>
      </c>
      <c r="H209" s="14">
        <v>11</v>
      </c>
      <c r="I209" s="9" t="s">
        <v>1405</v>
      </c>
      <c r="J209" s="11" t="str">
        <f t="shared" si="3"/>
        <v>Justificacao_Aplicabilidade</v>
      </c>
    </row>
    <row r="210" spans="1:10" ht="15" customHeight="1" x14ac:dyDescent="0.3">
      <c r="A210" s="9" t="s">
        <v>1352</v>
      </c>
      <c r="B210" s="9" t="s">
        <v>1002</v>
      </c>
      <c r="C210" s="9" t="s">
        <v>1560</v>
      </c>
      <c r="D210" s="14">
        <v>11</v>
      </c>
      <c r="E210" s="9" t="s">
        <v>1404</v>
      </c>
      <c r="F210" s="9" t="s">
        <v>1002</v>
      </c>
      <c r="G210" s="9" t="s">
        <v>1560</v>
      </c>
      <c r="H210" s="14">
        <v>12</v>
      </c>
      <c r="I210" s="9" t="s">
        <v>1405</v>
      </c>
      <c r="J210" s="11" t="str">
        <f t="shared" si="3"/>
        <v>Processos</v>
      </c>
    </row>
    <row r="211" spans="1:10" ht="15" customHeight="1" x14ac:dyDescent="0.3">
      <c r="A211" s="9" t="s">
        <v>1352</v>
      </c>
      <c r="B211" s="9" t="s">
        <v>1002</v>
      </c>
      <c r="C211" s="9" t="s">
        <v>1561</v>
      </c>
      <c r="D211" s="14">
        <v>12</v>
      </c>
      <c r="E211" s="9" t="s">
        <v>1404</v>
      </c>
      <c r="F211" s="9" t="s">
        <v>1002</v>
      </c>
      <c r="G211" s="9" t="s">
        <v>1506</v>
      </c>
      <c r="H211" s="14">
        <v>13</v>
      </c>
      <c r="I211" s="9" t="s">
        <v>1413</v>
      </c>
      <c r="J211" s="11" t="str">
        <f t="shared" si="3"/>
        <v>IDs_Aspetos</v>
      </c>
    </row>
    <row r="212" spans="1:10" ht="15" customHeight="1" x14ac:dyDescent="0.3">
      <c r="A212" s="9" t="s">
        <v>1352</v>
      </c>
      <c r="B212" s="9" t="s">
        <v>1002</v>
      </c>
      <c r="C212" s="9" t="s">
        <v>1562</v>
      </c>
      <c r="D212" s="14">
        <v>13</v>
      </c>
      <c r="E212" s="9" t="s">
        <v>1404</v>
      </c>
      <c r="F212" s="9" t="s">
        <v>1002</v>
      </c>
      <c r="G212" s="9" t="s">
        <v>1562</v>
      </c>
      <c r="H212" s="14">
        <v>14</v>
      </c>
      <c r="I212" s="9" t="s">
        <v>1405</v>
      </c>
      <c r="J212" s="11" t="str">
        <f t="shared" si="3"/>
        <v>Disposicoes_Internas</v>
      </c>
    </row>
    <row r="213" spans="1:10" ht="15" customHeight="1" x14ac:dyDescent="0.3">
      <c r="A213" s="9" t="s">
        <v>1352</v>
      </c>
      <c r="B213" s="9" t="s">
        <v>1002</v>
      </c>
      <c r="C213" s="9" t="s">
        <v>1563</v>
      </c>
      <c r="D213" s="14">
        <v>14</v>
      </c>
      <c r="E213" s="9" t="s">
        <v>1404</v>
      </c>
      <c r="F213" s="9" t="s">
        <v>1002</v>
      </c>
      <c r="G213" s="9" t="s">
        <v>1563</v>
      </c>
      <c r="H213" s="14">
        <v>15</v>
      </c>
      <c r="I213" s="9" t="s">
        <v>1405</v>
      </c>
      <c r="J213" s="11" t="str">
        <f t="shared" si="3"/>
        <v>Avaliacao_Conformidade_Evidencia</v>
      </c>
    </row>
    <row r="214" spans="1:10" ht="15" customHeight="1" x14ac:dyDescent="0.3">
      <c r="A214" s="9" t="s">
        <v>1352</v>
      </c>
      <c r="B214" s="9" t="s">
        <v>1002</v>
      </c>
      <c r="C214" s="9" t="s">
        <v>1564</v>
      </c>
      <c r="D214" s="14">
        <v>15</v>
      </c>
      <c r="E214" s="9" t="s">
        <v>1404</v>
      </c>
      <c r="F214" s="9" t="s">
        <v>1002</v>
      </c>
      <c r="G214" s="9" t="s">
        <v>1564</v>
      </c>
      <c r="H214" s="14">
        <v>16</v>
      </c>
      <c r="I214" s="9" t="s">
        <v>1405</v>
      </c>
      <c r="J214" s="11" t="str">
        <f t="shared" si="3"/>
        <v>Tipo_Evidencia</v>
      </c>
    </row>
    <row r="215" spans="1:10" ht="15" customHeight="1" x14ac:dyDescent="0.3">
      <c r="A215" s="9" t="s">
        <v>1352</v>
      </c>
      <c r="B215" s="9" t="s">
        <v>1002</v>
      </c>
      <c r="C215" s="9" t="s">
        <v>1565</v>
      </c>
      <c r="D215" s="14">
        <v>16</v>
      </c>
      <c r="E215" s="9" t="s">
        <v>1404</v>
      </c>
      <c r="F215" s="9" t="s">
        <v>1002</v>
      </c>
      <c r="G215" s="9" t="s">
        <v>1565</v>
      </c>
      <c r="H215" s="14">
        <v>17</v>
      </c>
      <c r="I215" s="9" t="s">
        <v>1405</v>
      </c>
      <c r="J215" s="11" t="str">
        <f t="shared" si="3"/>
        <v>Data_Evidencia</v>
      </c>
    </row>
    <row r="216" spans="1:10" ht="15" customHeight="1" x14ac:dyDescent="0.3">
      <c r="A216" s="9" t="s">
        <v>1352</v>
      </c>
      <c r="B216" s="9" t="s">
        <v>1002</v>
      </c>
      <c r="C216" s="9" t="s">
        <v>14</v>
      </c>
      <c r="D216" s="14">
        <v>17</v>
      </c>
      <c r="E216" s="9" t="s">
        <v>1404</v>
      </c>
      <c r="F216" s="9" t="s">
        <v>1002</v>
      </c>
      <c r="G216" s="9" t="s">
        <v>14</v>
      </c>
      <c r="H216" s="14">
        <v>18</v>
      </c>
      <c r="I216" s="9" t="s">
        <v>1405</v>
      </c>
      <c r="J216" s="11" t="str">
        <f t="shared" si="3"/>
        <v>Estado</v>
      </c>
    </row>
    <row r="217" spans="1:10" ht="15" customHeight="1" x14ac:dyDescent="0.3">
      <c r="A217" s="9" t="s">
        <v>1352</v>
      </c>
      <c r="B217" s="9" t="s">
        <v>1002</v>
      </c>
      <c r="C217" s="9" t="s">
        <v>1566</v>
      </c>
      <c r="D217" s="14">
        <v>18</v>
      </c>
      <c r="E217" s="9" t="s">
        <v>1404</v>
      </c>
      <c r="F217" s="9" t="s">
        <v>1002</v>
      </c>
      <c r="G217" s="9" t="s">
        <v>1566</v>
      </c>
      <c r="H217" s="14">
        <v>19</v>
      </c>
      <c r="I217" s="9" t="s">
        <v>1405</v>
      </c>
      <c r="J217" s="11" t="str">
        <f t="shared" si="3"/>
        <v>Data_Avaliacao</v>
      </c>
    </row>
    <row r="218" spans="1:10" ht="15" customHeight="1" x14ac:dyDescent="0.3">
      <c r="A218" s="9" t="s">
        <v>1352</v>
      </c>
      <c r="B218" s="9" t="s">
        <v>1002</v>
      </c>
      <c r="C218" s="9" t="s">
        <v>1512</v>
      </c>
      <c r="D218" s="14">
        <v>19</v>
      </c>
      <c r="E218" s="9" t="s">
        <v>1404</v>
      </c>
      <c r="F218" s="9" t="s">
        <v>1002</v>
      </c>
      <c r="G218" s="9" t="s">
        <v>1512</v>
      </c>
      <c r="H218" s="14">
        <v>20</v>
      </c>
      <c r="I218" s="9" t="s">
        <v>1405</v>
      </c>
      <c r="J218" s="11" t="str">
        <f t="shared" si="3"/>
        <v>Periodicidade_Meses</v>
      </c>
    </row>
    <row r="219" spans="1:10" ht="15" customHeight="1" x14ac:dyDescent="0.3">
      <c r="A219" s="9" t="s">
        <v>1352</v>
      </c>
      <c r="B219" s="9" t="s">
        <v>1002</v>
      </c>
      <c r="C219" s="9" t="s">
        <v>1567</v>
      </c>
      <c r="D219" s="14">
        <v>20</v>
      </c>
      <c r="E219" s="9" t="s">
        <v>1404</v>
      </c>
      <c r="F219" s="9" t="s">
        <v>1002</v>
      </c>
      <c r="G219" s="9" t="s">
        <v>1567</v>
      </c>
      <c r="H219" s="14">
        <v>21</v>
      </c>
      <c r="I219" s="9" t="s">
        <v>1405</v>
      </c>
      <c r="J219" s="11" t="str">
        <f t="shared" si="3"/>
        <v>Proxima_Avaliacao</v>
      </c>
    </row>
    <row r="220" spans="1:10" ht="15" customHeight="1" x14ac:dyDescent="0.3">
      <c r="A220" s="9" t="s">
        <v>1352</v>
      </c>
      <c r="B220" s="9" t="s">
        <v>1002</v>
      </c>
      <c r="C220" s="9" t="s">
        <v>1568</v>
      </c>
      <c r="D220" s="14">
        <v>21</v>
      </c>
      <c r="E220" s="9" t="s">
        <v>1404</v>
      </c>
      <c r="F220" s="9" t="s">
        <v>1002</v>
      </c>
      <c r="G220" s="9" t="s">
        <v>1568</v>
      </c>
      <c r="H220" s="14">
        <v>22</v>
      </c>
      <c r="I220" s="9" t="s">
        <v>1405</v>
      </c>
      <c r="J220" s="11" t="str">
        <f t="shared" si="3"/>
        <v>Idade_Evidencia_Dias</v>
      </c>
    </row>
    <row r="221" spans="1:10" ht="15" customHeight="1" x14ac:dyDescent="0.3">
      <c r="A221" s="9" t="s">
        <v>1352</v>
      </c>
      <c r="B221" s="9" t="s">
        <v>1002</v>
      </c>
      <c r="C221" s="9" t="s">
        <v>1569</v>
      </c>
      <c r="D221" s="14">
        <v>22</v>
      </c>
      <c r="E221" s="9" t="s">
        <v>1404</v>
      </c>
      <c r="F221" s="9" t="s">
        <v>1002</v>
      </c>
      <c r="G221" s="9" t="s">
        <v>1569</v>
      </c>
      <c r="H221" s="14">
        <v>23</v>
      </c>
      <c r="I221" s="9" t="s">
        <v>1405</v>
      </c>
      <c r="J221" s="11" t="str">
        <f t="shared" si="3"/>
        <v>Alerta</v>
      </c>
    </row>
    <row r="222" spans="1:10" ht="15" customHeight="1" x14ac:dyDescent="0.3">
      <c r="A222" s="9" t="s">
        <v>1352</v>
      </c>
      <c r="B222" s="9" t="s">
        <v>1002</v>
      </c>
      <c r="C222" s="9" t="s">
        <v>1570</v>
      </c>
      <c r="D222" s="14">
        <v>23</v>
      </c>
      <c r="E222" s="9" t="s">
        <v>1404</v>
      </c>
      <c r="F222" s="9" t="s">
        <v>1002</v>
      </c>
      <c r="G222" s="9" t="s">
        <v>1571</v>
      </c>
      <c r="H222" s="14">
        <v>24</v>
      </c>
      <c r="I222" s="9" t="s">
        <v>1413</v>
      </c>
      <c r="J222" s="11" t="str">
        <f t="shared" si="3"/>
        <v>ID_PAM</v>
      </c>
    </row>
    <row r="223" spans="1:10" ht="15" customHeight="1" x14ac:dyDescent="0.3">
      <c r="A223" s="9" t="s">
        <v>1352</v>
      </c>
      <c r="B223" s="9" t="s">
        <v>1002</v>
      </c>
      <c r="C223" s="9" t="s">
        <v>347</v>
      </c>
      <c r="D223" s="14">
        <v>24</v>
      </c>
      <c r="E223" s="9" t="s">
        <v>1404</v>
      </c>
      <c r="F223" s="9" t="s">
        <v>1002</v>
      </c>
      <c r="G223" s="9" t="s">
        <v>347</v>
      </c>
      <c r="H223" s="14">
        <v>25</v>
      </c>
      <c r="I223" s="9" t="s">
        <v>1405</v>
      </c>
      <c r="J223" s="11" t="str">
        <f t="shared" si="3"/>
        <v>Responsavel</v>
      </c>
    </row>
    <row r="224" spans="1:10" ht="15" customHeight="1" x14ac:dyDescent="0.3">
      <c r="A224" s="9" t="s">
        <v>1352</v>
      </c>
      <c r="B224" s="9" t="s">
        <v>1002</v>
      </c>
      <c r="C224" s="9" t="s">
        <v>1572</v>
      </c>
      <c r="D224" s="14">
        <v>25</v>
      </c>
      <c r="E224" s="9" t="s">
        <v>1404</v>
      </c>
      <c r="F224" s="9" t="s">
        <v>1002</v>
      </c>
      <c r="G224" s="9" t="s">
        <v>1572</v>
      </c>
      <c r="H224" s="14">
        <v>26</v>
      </c>
      <c r="I224" s="9" t="s">
        <v>1405</v>
      </c>
      <c r="J224" s="11" t="str">
        <f t="shared" si="3"/>
        <v>Fonte_Oficial</v>
      </c>
    </row>
    <row r="225" spans="1:10" ht="15" customHeight="1" x14ac:dyDescent="0.3">
      <c r="A225" s="9" t="s">
        <v>1352</v>
      </c>
      <c r="B225" s="9" t="s">
        <v>1002</v>
      </c>
      <c r="C225" s="9" t="s">
        <v>1573</v>
      </c>
      <c r="D225" s="14">
        <v>26</v>
      </c>
      <c r="E225" s="9" t="s">
        <v>1404</v>
      </c>
      <c r="F225" s="9" t="s">
        <v>1002</v>
      </c>
      <c r="G225" s="9" t="s">
        <v>1573</v>
      </c>
      <c r="H225" s="14">
        <v>27</v>
      </c>
      <c r="I225" s="9" t="s">
        <v>1405</v>
      </c>
      <c r="J225" s="11" t="str">
        <f t="shared" si="3"/>
        <v>Natureza_Obrigacao</v>
      </c>
    </row>
    <row r="226" spans="1:10" ht="15" customHeight="1" x14ac:dyDescent="0.3">
      <c r="A226" s="9" t="s">
        <v>1352</v>
      </c>
      <c r="B226" s="9" t="s">
        <v>1002</v>
      </c>
      <c r="C226" s="9" t="s">
        <v>1574</v>
      </c>
      <c r="D226" s="14">
        <v>27</v>
      </c>
      <c r="E226" s="9" t="s">
        <v>1404</v>
      </c>
      <c r="F226" s="9" t="s">
        <v>1002</v>
      </c>
      <c r="G226" s="9" t="s">
        <v>1574</v>
      </c>
      <c r="H226" s="14">
        <v>28</v>
      </c>
      <c r="I226" s="9" t="s">
        <v>1405</v>
      </c>
      <c r="J226" s="11" t="str">
        <f t="shared" si="3"/>
        <v>Papel_Plasticom</v>
      </c>
    </row>
    <row r="227" spans="1:10" ht="15" customHeight="1" x14ac:dyDescent="0.3">
      <c r="A227" s="9" t="s">
        <v>1352</v>
      </c>
      <c r="B227" s="9" t="s">
        <v>1002</v>
      </c>
      <c r="C227" s="9" t="s">
        <v>724</v>
      </c>
      <c r="D227" s="14">
        <v>28</v>
      </c>
      <c r="E227" s="9" t="s">
        <v>1404</v>
      </c>
      <c r="F227" s="9" t="s">
        <v>1002</v>
      </c>
      <c r="G227" s="9"/>
      <c r="H227" s="14"/>
      <c r="I227" s="9" t="s">
        <v>1420</v>
      </c>
      <c r="J227" s="11" t="str">
        <f t="shared" si="3"/>
        <v>Registo_Dono</v>
      </c>
    </row>
    <row r="228" spans="1:10" ht="15" customHeight="1" x14ac:dyDescent="0.3">
      <c r="A228" s="9" t="s">
        <v>1352</v>
      </c>
      <c r="B228" s="9" t="s">
        <v>1002</v>
      </c>
      <c r="C228" s="9"/>
      <c r="D228" s="14"/>
      <c r="E228" s="9" t="s">
        <v>1404</v>
      </c>
      <c r="F228" s="9" t="s">
        <v>1002</v>
      </c>
      <c r="G228" s="9" t="s">
        <v>1575</v>
      </c>
      <c r="H228" s="14">
        <v>2</v>
      </c>
      <c r="I228" s="9" t="s">
        <v>1424</v>
      </c>
      <c r="J228" s="11" t="str">
        <f t="shared" si="3"/>
        <v>Codigo_Tema</v>
      </c>
    </row>
    <row r="229" spans="1:10" ht="15" customHeight="1" x14ac:dyDescent="0.3">
      <c r="A229" s="9" t="s">
        <v>1352</v>
      </c>
      <c r="B229" s="9" t="s">
        <v>1002</v>
      </c>
      <c r="C229" s="9"/>
      <c r="D229" s="14"/>
      <c r="E229" s="9" t="s">
        <v>1404</v>
      </c>
      <c r="F229" s="9" t="s">
        <v>1002</v>
      </c>
      <c r="G229" s="9" t="s">
        <v>1576</v>
      </c>
      <c r="H229" s="14">
        <v>29</v>
      </c>
      <c r="I229" s="9" t="s">
        <v>1424</v>
      </c>
      <c r="J229" s="11" t="str">
        <f t="shared" si="3"/>
        <v>IDs_Req_Embalagem</v>
      </c>
    </row>
    <row r="230" spans="1:10" ht="15" customHeight="1" x14ac:dyDescent="0.3">
      <c r="A230" s="9" t="s">
        <v>1354</v>
      </c>
      <c r="B230" s="9" t="s">
        <v>1006</v>
      </c>
      <c r="C230" s="9" t="s">
        <v>1007</v>
      </c>
      <c r="D230" s="14">
        <v>1</v>
      </c>
      <c r="E230" s="9" t="s">
        <v>1404</v>
      </c>
      <c r="F230" s="9" t="s">
        <v>1006</v>
      </c>
      <c r="G230" s="9" t="s">
        <v>1007</v>
      </c>
      <c r="H230" s="14">
        <v>1</v>
      </c>
      <c r="I230" s="9" t="s">
        <v>1405</v>
      </c>
      <c r="J230" s="11" t="str">
        <f t="shared" si="3"/>
        <v>ID_Obrigacao</v>
      </c>
    </row>
    <row r="231" spans="1:10" ht="15" customHeight="1" x14ac:dyDescent="0.3">
      <c r="A231" s="9" t="s">
        <v>1354</v>
      </c>
      <c r="B231" s="9" t="s">
        <v>1006</v>
      </c>
      <c r="C231" s="9" t="s">
        <v>1003</v>
      </c>
      <c r="D231" s="14">
        <v>2</v>
      </c>
      <c r="E231" s="9" t="s">
        <v>1404</v>
      </c>
      <c r="F231" s="9" t="s">
        <v>1006</v>
      </c>
      <c r="G231" s="9" t="s">
        <v>1003</v>
      </c>
      <c r="H231" s="14">
        <v>2</v>
      </c>
      <c r="I231" s="9" t="s">
        <v>1405</v>
      </c>
      <c r="J231" s="11" t="str">
        <f t="shared" si="3"/>
        <v>ID_Legal</v>
      </c>
    </row>
    <row r="232" spans="1:10" ht="15" customHeight="1" x14ac:dyDescent="0.3">
      <c r="A232" s="9" t="s">
        <v>1354</v>
      </c>
      <c r="B232" s="9" t="s">
        <v>1006</v>
      </c>
      <c r="C232" s="9" t="s">
        <v>1577</v>
      </c>
      <c r="D232" s="14">
        <v>3</v>
      </c>
      <c r="E232" s="9" t="s">
        <v>1404</v>
      </c>
      <c r="F232" s="9" t="s">
        <v>1006</v>
      </c>
      <c r="G232" s="9" t="s">
        <v>1577</v>
      </c>
      <c r="H232" s="14">
        <v>3</v>
      </c>
      <c r="I232" s="9" t="s">
        <v>1405</v>
      </c>
      <c r="J232" s="11" t="str">
        <f t="shared" si="3"/>
        <v>Obrigacao</v>
      </c>
    </row>
    <row r="233" spans="1:10" ht="15" customHeight="1" x14ac:dyDescent="0.3">
      <c r="A233" s="9" t="s">
        <v>1354</v>
      </c>
      <c r="B233" s="9" t="s">
        <v>1006</v>
      </c>
      <c r="C233" s="9" t="s">
        <v>349</v>
      </c>
      <c r="D233" s="14">
        <v>4</v>
      </c>
      <c r="E233" s="9" t="s">
        <v>1404</v>
      </c>
      <c r="F233" s="9" t="s">
        <v>1006</v>
      </c>
      <c r="G233" s="9" t="s">
        <v>349</v>
      </c>
      <c r="H233" s="14">
        <v>4</v>
      </c>
      <c r="I233" s="9" t="s">
        <v>1405</v>
      </c>
      <c r="J233" s="11" t="str">
        <f t="shared" si="3"/>
        <v>Frequencia</v>
      </c>
    </row>
    <row r="234" spans="1:10" ht="15" customHeight="1" x14ac:dyDescent="0.3">
      <c r="A234" s="9" t="s">
        <v>1354</v>
      </c>
      <c r="B234" s="9" t="s">
        <v>1006</v>
      </c>
      <c r="C234" s="9" t="s">
        <v>1578</v>
      </c>
      <c r="D234" s="14">
        <v>5</v>
      </c>
      <c r="E234" s="9" t="s">
        <v>1404</v>
      </c>
      <c r="F234" s="9" t="s">
        <v>1006</v>
      </c>
      <c r="G234" s="9" t="s">
        <v>1578</v>
      </c>
      <c r="H234" s="14">
        <v>5</v>
      </c>
      <c r="I234" s="9" t="s">
        <v>1405</v>
      </c>
      <c r="J234" s="11" t="str">
        <f t="shared" si="3"/>
        <v>Prazo_Proximo</v>
      </c>
    </row>
    <row r="235" spans="1:10" ht="15" customHeight="1" x14ac:dyDescent="0.3">
      <c r="A235" s="9" t="s">
        <v>1354</v>
      </c>
      <c r="B235" s="9" t="s">
        <v>1006</v>
      </c>
      <c r="C235" s="9" t="s">
        <v>1579</v>
      </c>
      <c r="D235" s="14">
        <v>6</v>
      </c>
      <c r="E235" s="9" t="s">
        <v>1404</v>
      </c>
      <c r="F235" s="9" t="s">
        <v>1006</v>
      </c>
      <c r="G235" s="9" t="s">
        <v>1579</v>
      </c>
      <c r="H235" s="14">
        <v>6</v>
      </c>
      <c r="I235" s="9" t="s">
        <v>1405</v>
      </c>
      <c r="J235" s="11" t="str">
        <f t="shared" si="3"/>
        <v>Ultimo_Cumprimento</v>
      </c>
    </row>
    <row r="236" spans="1:10" ht="15" customHeight="1" x14ac:dyDescent="0.3">
      <c r="A236" s="9" t="s">
        <v>1354</v>
      </c>
      <c r="B236" s="9" t="s">
        <v>1006</v>
      </c>
      <c r="C236" s="9" t="s">
        <v>431</v>
      </c>
      <c r="D236" s="14">
        <v>7</v>
      </c>
      <c r="E236" s="9" t="s">
        <v>1404</v>
      </c>
      <c r="F236" s="9" t="s">
        <v>1006</v>
      </c>
      <c r="G236" s="9" t="s">
        <v>431</v>
      </c>
      <c r="H236" s="14">
        <v>7</v>
      </c>
      <c r="I236" s="9" t="s">
        <v>1405</v>
      </c>
      <c r="J236" s="11" t="str">
        <f t="shared" si="3"/>
        <v>Evidencia</v>
      </c>
    </row>
    <row r="237" spans="1:10" ht="15" customHeight="1" x14ac:dyDescent="0.3">
      <c r="A237" s="9" t="s">
        <v>1354</v>
      </c>
      <c r="B237" s="9" t="s">
        <v>1006</v>
      </c>
      <c r="C237" s="9" t="s">
        <v>347</v>
      </c>
      <c r="D237" s="14">
        <v>8</v>
      </c>
      <c r="E237" s="9" t="s">
        <v>1404</v>
      </c>
      <c r="F237" s="9" t="s">
        <v>1006</v>
      </c>
      <c r="G237" s="9" t="s">
        <v>347</v>
      </c>
      <c r="H237" s="14">
        <v>8</v>
      </c>
      <c r="I237" s="9" t="s">
        <v>1405</v>
      </c>
      <c r="J237" s="11" t="str">
        <f t="shared" si="3"/>
        <v>Responsavel</v>
      </c>
    </row>
    <row r="238" spans="1:10" ht="15" customHeight="1" x14ac:dyDescent="0.3">
      <c r="A238" s="9" t="s">
        <v>1354</v>
      </c>
      <c r="B238" s="9" t="s">
        <v>1006</v>
      </c>
      <c r="C238" s="9" t="s">
        <v>1481</v>
      </c>
      <c r="D238" s="14">
        <v>9</v>
      </c>
      <c r="E238" s="9" t="s">
        <v>1404</v>
      </c>
      <c r="F238" s="9" t="s">
        <v>1006</v>
      </c>
      <c r="G238" s="9" t="s">
        <v>1481</v>
      </c>
      <c r="H238" s="14">
        <v>9</v>
      </c>
      <c r="I238" s="9" t="s">
        <v>1405</v>
      </c>
      <c r="J238" s="11" t="str">
        <f t="shared" si="3"/>
        <v>Dias_ate_Prazo</v>
      </c>
    </row>
    <row r="239" spans="1:10" ht="15" customHeight="1" x14ac:dyDescent="0.3">
      <c r="A239" s="9" t="s">
        <v>1354</v>
      </c>
      <c r="B239" s="9" t="s">
        <v>1006</v>
      </c>
      <c r="C239" s="9" t="s">
        <v>14</v>
      </c>
      <c r="D239" s="14">
        <v>10</v>
      </c>
      <c r="E239" s="9" t="s">
        <v>1404</v>
      </c>
      <c r="F239" s="9" t="s">
        <v>1006</v>
      </c>
      <c r="G239" s="9" t="s">
        <v>14</v>
      </c>
      <c r="H239" s="14">
        <v>10</v>
      </c>
      <c r="I239" s="9" t="s">
        <v>1405</v>
      </c>
      <c r="J239" s="11" t="str">
        <f t="shared" si="3"/>
        <v>Estado</v>
      </c>
    </row>
    <row r="240" spans="1:10" ht="15" customHeight="1" x14ac:dyDescent="0.3">
      <c r="A240" s="9" t="s">
        <v>1356</v>
      </c>
      <c r="B240" s="9" t="s">
        <v>1034</v>
      </c>
      <c r="C240" s="9" t="s">
        <v>1035</v>
      </c>
      <c r="D240" s="14">
        <v>1</v>
      </c>
      <c r="E240" s="9" t="s">
        <v>1404</v>
      </c>
      <c r="F240" s="9" t="s">
        <v>1034</v>
      </c>
      <c r="G240" s="9" t="s">
        <v>1035</v>
      </c>
      <c r="H240" s="14">
        <v>1</v>
      </c>
      <c r="I240" s="9" t="s">
        <v>1405</v>
      </c>
      <c r="J240" s="11" t="str">
        <f t="shared" si="3"/>
        <v>ID_Auditoria</v>
      </c>
    </row>
    <row r="241" spans="1:10" ht="15" customHeight="1" x14ac:dyDescent="0.3">
      <c r="A241" s="9" t="s">
        <v>1356</v>
      </c>
      <c r="B241" s="9" t="s">
        <v>1034</v>
      </c>
      <c r="C241" s="9" t="s">
        <v>808</v>
      </c>
      <c r="D241" s="14">
        <v>2</v>
      </c>
      <c r="E241" s="9" t="s">
        <v>1404</v>
      </c>
      <c r="F241" s="9" t="s">
        <v>1034</v>
      </c>
      <c r="G241" s="9" t="s">
        <v>808</v>
      </c>
      <c r="H241" s="14">
        <v>4</v>
      </c>
      <c r="I241" s="9" t="s">
        <v>1405</v>
      </c>
      <c r="J241" s="11" t="str">
        <f t="shared" si="3"/>
        <v>Ambito</v>
      </c>
    </row>
    <row r="242" spans="1:10" ht="15" customHeight="1" x14ac:dyDescent="0.3">
      <c r="A242" s="9" t="s">
        <v>1356</v>
      </c>
      <c r="B242" s="9" t="s">
        <v>1034</v>
      </c>
      <c r="C242" s="9" t="s">
        <v>1580</v>
      </c>
      <c r="D242" s="14">
        <v>3</v>
      </c>
      <c r="E242" s="9" t="s">
        <v>1404</v>
      </c>
      <c r="F242" s="9" t="s">
        <v>1034</v>
      </c>
      <c r="G242" s="9" t="s">
        <v>1580</v>
      </c>
      <c r="H242" s="14">
        <v>3</v>
      </c>
      <c r="I242" s="9" t="s">
        <v>1405</v>
      </c>
      <c r="J242" s="11" t="str">
        <f t="shared" si="3"/>
        <v>Objetivo</v>
      </c>
    </row>
    <row r="243" spans="1:10" ht="15" customHeight="1" x14ac:dyDescent="0.3">
      <c r="A243" s="9" t="s">
        <v>1356</v>
      </c>
      <c r="B243" s="9" t="s">
        <v>1034</v>
      </c>
      <c r="C243" s="9" t="s">
        <v>1581</v>
      </c>
      <c r="D243" s="14">
        <v>4</v>
      </c>
      <c r="E243" s="9" t="s">
        <v>1404</v>
      </c>
      <c r="F243" s="9" t="s">
        <v>1034</v>
      </c>
      <c r="G243" s="9" t="s">
        <v>1581</v>
      </c>
      <c r="H243" s="14">
        <v>5</v>
      </c>
      <c r="I243" s="9" t="s">
        <v>1405</v>
      </c>
      <c r="J243" s="11" t="str">
        <f t="shared" si="3"/>
        <v>Criterios</v>
      </c>
    </row>
    <row r="244" spans="1:10" ht="15" customHeight="1" x14ac:dyDescent="0.3">
      <c r="A244" s="9" t="s">
        <v>1356</v>
      </c>
      <c r="B244" s="9" t="s">
        <v>1034</v>
      </c>
      <c r="C244" s="9" t="s">
        <v>1582</v>
      </c>
      <c r="D244" s="14">
        <v>5</v>
      </c>
      <c r="E244" s="9" t="s">
        <v>1404</v>
      </c>
      <c r="F244" s="9" t="s">
        <v>1034</v>
      </c>
      <c r="G244" s="9"/>
      <c r="H244" s="14"/>
      <c r="I244" s="9" t="s">
        <v>1420</v>
      </c>
      <c r="J244" s="11" t="str">
        <f t="shared" si="3"/>
        <v>Metodo</v>
      </c>
    </row>
    <row r="245" spans="1:10" ht="15" customHeight="1" x14ac:dyDescent="0.3">
      <c r="A245" s="9" t="s">
        <v>1356</v>
      </c>
      <c r="B245" s="9" t="s">
        <v>1034</v>
      </c>
      <c r="C245" s="9" t="s">
        <v>1583</v>
      </c>
      <c r="D245" s="14">
        <v>6</v>
      </c>
      <c r="E245" s="9" t="s">
        <v>1404</v>
      </c>
      <c r="F245" s="9" t="s">
        <v>1034</v>
      </c>
      <c r="G245" s="9" t="s">
        <v>1583</v>
      </c>
      <c r="H245" s="14">
        <v>8</v>
      </c>
      <c r="I245" s="9" t="s">
        <v>1405</v>
      </c>
      <c r="J245" s="11" t="str">
        <f t="shared" si="3"/>
        <v>Equipa_Auditora</v>
      </c>
    </row>
    <row r="246" spans="1:10" ht="15" customHeight="1" x14ac:dyDescent="0.3">
      <c r="A246" s="9" t="s">
        <v>1356</v>
      </c>
      <c r="B246" s="9" t="s">
        <v>1034</v>
      </c>
      <c r="C246" s="9" t="s">
        <v>1584</v>
      </c>
      <c r="D246" s="14">
        <v>7</v>
      </c>
      <c r="E246" s="9" t="s">
        <v>1404</v>
      </c>
      <c r="F246" s="9" t="s">
        <v>1034</v>
      </c>
      <c r="G246" s="9"/>
      <c r="H246" s="14"/>
      <c r="I246" s="9" t="s">
        <v>1420</v>
      </c>
      <c r="J246" s="11" t="str">
        <f t="shared" si="3"/>
        <v>Data_Planeada</v>
      </c>
    </row>
    <row r="247" spans="1:10" ht="15" customHeight="1" x14ac:dyDescent="0.3">
      <c r="A247" s="9" t="s">
        <v>1356</v>
      </c>
      <c r="B247" s="9" t="s">
        <v>1034</v>
      </c>
      <c r="C247" s="9" t="s">
        <v>1585</v>
      </c>
      <c r="D247" s="14">
        <v>8</v>
      </c>
      <c r="E247" s="9" t="s">
        <v>1404</v>
      </c>
      <c r="F247" s="9" t="s">
        <v>1034</v>
      </c>
      <c r="G247" s="9"/>
      <c r="H247" s="14"/>
      <c r="I247" s="9" t="s">
        <v>1420</v>
      </c>
      <c r="J247" s="11" t="str">
        <f t="shared" si="3"/>
        <v>Data_Real</v>
      </c>
    </row>
    <row r="248" spans="1:10" ht="15" customHeight="1" x14ac:dyDescent="0.3">
      <c r="A248" s="9" t="s">
        <v>1356</v>
      </c>
      <c r="B248" s="9" t="s">
        <v>1034</v>
      </c>
      <c r="C248" s="9" t="s">
        <v>14</v>
      </c>
      <c r="D248" s="14">
        <v>9</v>
      </c>
      <c r="E248" s="9" t="s">
        <v>1404</v>
      </c>
      <c r="F248" s="9" t="s">
        <v>1034</v>
      </c>
      <c r="G248" s="9" t="s">
        <v>14</v>
      </c>
      <c r="H248" s="14">
        <v>10</v>
      </c>
      <c r="I248" s="9" t="s">
        <v>1405</v>
      </c>
      <c r="J248" s="11" t="str">
        <f t="shared" si="3"/>
        <v>Estado</v>
      </c>
    </row>
    <row r="249" spans="1:10" ht="15" customHeight="1" x14ac:dyDescent="0.3">
      <c r="A249" s="9" t="s">
        <v>1356</v>
      </c>
      <c r="B249" s="9" t="s">
        <v>1034</v>
      </c>
      <c r="C249" s="9" t="s">
        <v>1586</v>
      </c>
      <c r="D249" s="14">
        <v>10</v>
      </c>
      <c r="E249" s="9" t="s">
        <v>1404</v>
      </c>
      <c r="F249" s="9" t="s">
        <v>1034</v>
      </c>
      <c r="G249" s="9"/>
      <c r="H249" s="14"/>
      <c r="I249" s="9" t="s">
        <v>1420</v>
      </c>
      <c r="J249" s="11" t="str">
        <f t="shared" si="3"/>
        <v>Relatorio_Emitido</v>
      </c>
    </row>
    <row r="250" spans="1:10" ht="15" customHeight="1" x14ac:dyDescent="0.3">
      <c r="A250" s="9" t="s">
        <v>1356</v>
      </c>
      <c r="B250" s="9" t="s">
        <v>1034</v>
      </c>
      <c r="C250" s="9" t="s">
        <v>1587</v>
      </c>
      <c r="D250" s="14">
        <v>11</v>
      </c>
      <c r="E250" s="9" t="s">
        <v>1404</v>
      </c>
      <c r="F250" s="9" t="s">
        <v>1034</v>
      </c>
      <c r="G250" s="9"/>
      <c r="H250" s="14"/>
      <c r="I250" s="9" t="s">
        <v>1420</v>
      </c>
      <c r="J250" s="11" t="str">
        <f t="shared" si="3"/>
        <v>N_Constatacoes</v>
      </c>
    </row>
    <row r="251" spans="1:10" ht="15" customHeight="1" x14ac:dyDescent="0.3">
      <c r="A251" s="9" t="s">
        <v>1356</v>
      </c>
      <c r="B251" s="9" t="s">
        <v>1034</v>
      </c>
      <c r="C251" s="9" t="s">
        <v>1588</v>
      </c>
      <c r="D251" s="14">
        <v>12</v>
      </c>
      <c r="E251" s="9" t="s">
        <v>1404</v>
      </c>
      <c r="F251" s="9" t="s">
        <v>1034</v>
      </c>
      <c r="G251" s="9" t="s">
        <v>1588</v>
      </c>
      <c r="H251" s="14">
        <v>12</v>
      </c>
      <c r="I251" s="9" t="s">
        <v>1405</v>
      </c>
      <c r="J251" s="11" t="str">
        <f t="shared" si="3"/>
        <v>N_NC</v>
      </c>
    </row>
    <row r="252" spans="1:10" ht="15" customHeight="1" x14ac:dyDescent="0.3">
      <c r="A252" s="9" t="s">
        <v>1356</v>
      </c>
      <c r="B252" s="9" t="s">
        <v>1034</v>
      </c>
      <c r="C252" s="9"/>
      <c r="D252" s="14"/>
      <c r="E252" s="9" t="s">
        <v>1404</v>
      </c>
      <c r="F252" s="9" t="s">
        <v>1034</v>
      </c>
      <c r="G252" s="9" t="s">
        <v>325</v>
      </c>
      <c r="H252" s="14">
        <v>2</v>
      </c>
      <c r="I252" s="9" t="s">
        <v>1424</v>
      </c>
      <c r="J252" s="11" t="str">
        <f t="shared" si="3"/>
        <v>Tema</v>
      </c>
    </row>
    <row r="253" spans="1:10" ht="15" customHeight="1" x14ac:dyDescent="0.3">
      <c r="A253" s="9" t="s">
        <v>1356</v>
      </c>
      <c r="B253" s="9" t="s">
        <v>1034</v>
      </c>
      <c r="C253" s="9"/>
      <c r="D253" s="14"/>
      <c r="E253" s="9" t="s">
        <v>1404</v>
      </c>
      <c r="F253" s="9" t="s">
        <v>1034</v>
      </c>
      <c r="G253" s="9" t="s">
        <v>1589</v>
      </c>
      <c r="H253" s="14">
        <v>6</v>
      </c>
      <c r="I253" s="9" t="s">
        <v>1424</v>
      </c>
      <c r="J253" s="11" t="str">
        <f t="shared" si="3"/>
        <v>Data_Inicio</v>
      </c>
    </row>
    <row r="254" spans="1:10" ht="15" customHeight="1" x14ac:dyDescent="0.3">
      <c r="A254" s="9" t="s">
        <v>1356</v>
      </c>
      <c r="B254" s="9" t="s">
        <v>1034</v>
      </c>
      <c r="C254" s="9"/>
      <c r="D254" s="14"/>
      <c r="E254" s="9" t="s">
        <v>1404</v>
      </c>
      <c r="F254" s="9" t="s">
        <v>1034</v>
      </c>
      <c r="G254" s="9" t="s">
        <v>1590</v>
      </c>
      <c r="H254" s="14">
        <v>7</v>
      </c>
      <c r="I254" s="9" t="s">
        <v>1424</v>
      </c>
      <c r="J254" s="11" t="str">
        <f t="shared" si="3"/>
        <v>Data_Fim</v>
      </c>
    </row>
    <row r="255" spans="1:10" ht="15" customHeight="1" x14ac:dyDescent="0.3">
      <c r="A255" s="9" t="s">
        <v>1356</v>
      </c>
      <c r="B255" s="9" t="s">
        <v>1034</v>
      </c>
      <c r="C255" s="9"/>
      <c r="D255" s="14"/>
      <c r="E255" s="9" t="s">
        <v>1404</v>
      </c>
      <c r="F255" s="9" t="s">
        <v>1034</v>
      </c>
      <c r="G255" s="9" t="s">
        <v>1591</v>
      </c>
      <c r="H255" s="14">
        <v>9</v>
      </c>
      <c r="I255" s="9" t="s">
        <v>1424</v>
      </c>
      <c r="J255" s="11" t="str">
        <f t="shared" si="3"/>
        <v>Independencia</v>
      </c>
    </row>
    <row r="256" spans="1:10" ht="15" customHeight="1" x14ac:dyDescent="0.3">
      <c r="A256" s="9" t="s">
        <v>1356</v>
      </c>
      <c r="B256" s="9" t="s">
        <v>1034</v>
      </c>
      <c r="C256" s="9"/>
      <c r="D256" s="14"/>
      <c r="E256" s="9" t="s">
        <v>1404</v>
      </c>
      <c r="F256" s="9" t="s">
        <v>1034</v>
      </c>
      <c r="G256" s="9" t="s">
        <v>1592</v>
      </c>
      <c r="H256" s="14">
        <v>11</v>
      </c>
      <c r="I256" s="9" t="s">
        <v>1424</v>
      </c>
      <c r="J256" s="11" t="str">
        <f t="shared" si="3"/>
        <v>N_Questoes</v>
      </c>
    </row>
    <row r="257" spans="1:10" ht="15" customHeight="1" x14ac:dyDescent="0.3">
      <c r="A257" s="9" t="s">
        <v>1356</v>
      </c>
      <c r="B257" s="9" t="s">
        <v>1034</v>
      </c>
      <c r="C257" s="9"/>
      <c r="D257" s="14"/>
      <c r="E257" s="9" t="s">
        <v>1404</v>
      </c>
      <c r="F257" s="9" t="s">
        <v>1034</v>
      </c>
      <c r="G257" s="9" t="s">
        <v>1593</v>
      </c>
      <c r="H257" s="14">
        <v>13</v>
      </c>
      <c r="I257" s="9" t="s">
        <v>1424</v>
      </c>
      <c r="J257" s="11" t="str">
        <f t="shared" si="3"/>
        <v>N_OM</v>
      </c>
    </row>
    <row r="258" spans="1:10" ht="15" customHeight="1" x14ac:dyDescent="0.3">
      <c r="A258" s="9" t="s">
        <v>1359</v>
      </c>
      <c r="B258" s="9" t="s">
        <v>1042</v>
      </c>
      <c r="C258" s="9" t="s">
        <v>1043</v>
      </c>
      <c r="D258" s="14">
        <v>1</v>
      </c>
      <c r="E258" s="9" t="s">
        <v>1404</v>
      </c>
      <c r="F258" s="9" t="s">
        <v>1042</v>
      </c>
      <c r="G258" s="9" t="s">
        <v>1043</v>
      </c>
      <c r="H258" s="14">
        <v>1</v>
      </c>
      <c r="I258" s="9" t="s">
        <v>1405</v>
      </c>
      <c r="J258" s="11" t="str">
        <f t="shared" si="3"/>
        <v>ID_Constatacao</v>
      </c>
    </row>
    <row r="259" spans="1:10" ht="15" customHeight="1" x14ac:dyDescent="0.3">
      <c r="A259" s="9" t="s">
        <v>1359</v>
      </c>
      <c r="B259" s="9" t="s">
        <v>1042</v>
      </c>
      <c r="C259" s="9" t="s">
        <v>1035</v>
      </c>
      <c r="D259" s="14">
        <v>2</v>
      </c>
      <c r="E259" s="9" t="s">
        <v>1404</v>
      </c>
      <c r="F259" s="9" t="s">
        <v>1042</v>
      </c>
      <c r="G259" s="9" t="s">
        <v>1035</v>
      </c>
      <c r="H259" s="14">
        <v>2</v>
      </c>
      <c r="I259" s="9" t="s">
        <v>1405</v>
      </c>
      <c r="J259" s="11" t="str">
        <f t="shared" si="3"/>
        <v>ID_Auditoria</v>
      </c>
    </row>
    <row r="260" spans="1:10" ht="15" customHeight="1" x14ac:dyDescent="0.3">
      <c r="A260" s="9" t="s">
        <v>1359</v>
      </c>
      <c r="B260" s="9" t="s">
        <v>1042</v>
      </c>
      <c r="C260" s="9" t="s">
        <v>154</v>
      </c>
      <c r="D260" s="14">
        <v>3</v>
      </c>
      <c r="E260" s="9" t="s">
        <v>1404</v>
      </c>
      <c r="F260" s="9" t="s">
        <v>1042</v>
      </c>
      <c r="G260" s="9" t="s">
        <v>154</v>
      </c>
      <c r="H260" s="14">
        <v>5</v>
      </c>
      <c r="I260" s="9" t="s">
        <v>1405</v>
      </c>
      <c r="J260" s="11" t="str">
        <f t="shared" si="3"/>
        <v>Clausula</v>
      </c>
    </row>
    <row r="261" spans="1:10" ht="15" customHeight="1" x14ac:dyDescent="0.3">
      <c r="A261" s="9" t="s">
        <v>1359</v>
      </c>
      <c r="B261" s="9" t="s">
        <v>1042</v>
      </c>
      <c r="C261" s="9" t="s">
        <v>1594</v>
      </c>
      <c r="D261" s="14">
        <v>4</v>
      </c>
      <c r="E261" s="9" t="s">
        <v>1404</v>
      </c>
      <c r="F261" s="9" t="s">
        <v>1042</v>
      </c>
      <c r="G261" s="9" t="s">
        <v>1594</v>
      </c>
      <c r="H261" s="14">
        <v>9</v>
      </c>
      <c r="I261" s="9" t="s">
        <v>1405</v>
      </c>
      <c r="J261" s="11" t="str">
        <f t="shared" ref="J261:J324" si="4">IF(A261="","",IF(G261&lt;&gt;"",G261,C261))</f>
        <v>Classificacao</v>
      </c>
    </row>
    <row r="262" spans="1:10" ht="15" customHeight="1" x14ac:dyDescent="0.3">
      <c r="A262" s="9" t="s">
        <v>1359</v>
      </c>
      <c r="B262" s="9" t="s">
        <v>1042</v>
      </c>
      <c r="C262" s="9" t="s">
        <v>1595</v>
      </c>
      <c r="D262" s="14">
        <v>5</v>
      </c>
      <c r="E262" s="9" t="s">
        <v>1404</v>
      </c>
      <c r="F262" s="9" t="s">
        <v>1042</v>
      </c>
      <c r="G262" s="9" t="s">
        <v>1595</v>
      </c>
      <c r="H262" s="14">
        <v>3</v>
      </c>
      <c r="I262" s="9" t="s">
        <v>1405</v>
      </c>
      <c r="J262" s="11" t="str">
        <f t="shared" si="4"/>
        <v>Processo_Auditado</v>
      </c>
    </row>
    <row r="263" spans="1:10" ht="15" customHeight="1" x14ac:dyDescent="0.3">
      <c r="A263" s="9" t="s">
        <v>1359</v>
      </c>
      <c r="B263" s="9" t="s">
        <v>1042</v>
      </c>
      <c r="C263" s="9" t="s">
        <v>1596</v>
      </c>
      <c r="D263" s="14">
        <v>6</v>
      </c>
      <c r="E263" s="9" t="s">
        <v>1404</v>
      </c>
      <c r="F263" s="9" t="s">
        <v>1042</v>
      </c>
      <c r="G263" s="9"/>
      <c r="H263" s="14"/>
      <c r="I263" s="9" t="s">
        <v>1420</v>
      </c>
      <c r="J263" s="11" t="str">
        <f t="shared" si="4"/>
        <v>Constatacao</v>
      </c>
    </row>
    <row r="264" spans="1:10" ht="15" customHeight="1" x14ac:dyDescent="0.3">
      <c r="A264" s="9" t="s">
        <v>1359</v>
      </c>
      <c r="B264" s="9" t="s">
        <v>1042</v>
      </c>
      <c r="C264" s="9" t="s">
        <v>1597</v>
      </c>
      <c r="D264" s="14">
        <v>7</v>
      </c>
      <c r="E264" s="9" t="s">
        <v>1404</v>
      </c>
      <c r="F264" s="9" t="s">
        <v>1042</v>
      </c>
      <c r="G264" s="9" t="s">
        <v>1597</v>
      </c>
      <c r="H264" s="14">
        <v>8</v>
      </c>
      <c r="I264" s="9" t="s">
        <v>1405</v>
      </c>
      <c r="J264" s="11" t="str">
        <f t="shared" si="4"/>
        <v>Evidencia_Objetiva</v>
      </c>
    </row>
    <row r="265" spans="1:10" ht="15" customHeight="1" x14ac:dyDescent="0.3">
      <c r="A265" s="9" t="s">
        <v>1359</v>
      </c>
      <c r="B265" s="9" t="s">
        <v>1042</v>
      </c>
      <c r="C265" s="9" t="s">
        <v>1060</v>
      </c>
      <c r="D265" s="14">
        <v>8</v>
      </c>
      <c r="E265" s="9" t="s">
        <v>1404</v>
      </c>
      <c r="F265" s="9" t="s">
        <v>1042</v>
      </c>
      <c r="G265" s="9" t="s">
        <v>1060</v>
      </c>
      <c r="H265" s="14">
        <v>13</v>
      </c>
      <c r="I265" s="9" t="s">
        <v>1405</v>
      </c>
      <c r="J265" s="11" t="str">
        <f t="shared" si="4"/>
        <v>ID_NC</v>
      </c>
    </row>
    <row r="266" spans="1:10" ht="15" customHeight="1" x14ac:dyDescent="0.3">
      <c r="A266" s="9" t="s">
        <v>1359</v>
      </c>
      <c r="B266" s="9" t="s">
        <v>1042</v>
      </c>
      <c r="C266" s="9" t="s">
        <v>1475</v>
      </c>
      <c r="D266" s="14">
        <v>9</v>
      </c>
      <c r="E266" s="9" t="s">
        <v>1404</v>
      </c>
      <c r="F266" s="9" t="s">
        <v>1042</v>
      </c>
      <c r="G266" s="9"/>
      <c r="H266" s="14"/>
      <c r="I266" s="9" t="s">
        <v>1420</v>
      </c>
      <c r="J266" s="11" t="str">
        <f t="shared" si="4"/>
        <v>Prazo</v>
      </c>
    </row>
    <row r="267" spans="1:10" ht="15" customHeight="1" x14ac:dyDescent="0.3">
      <c r="A267" s="9" t="s">
        <v>1359</v>
      </c>
      <c r="B267" s="9" t="s">
        <v>1042</v>
      </c>
      <c r="C267" s="9" t="s">
        <v>14</v>
      </c>
      <c r="D267" s="14">
        <v>10</v>
      </c>
      <c r="E267" s="9" t="s">
        <v>1404</v>
      </c>
      <c r="F267" s="9" t="s">
        <v>1042</v>
      </c>
      <c r="G267" s="9"/>
      <c r="H267" s="14"/>
      <c r="I267" s="9" t="s">
        <v>1420</v>
      </c>
      <c r="J267" s="11" t="str">
        <f t="shared" si="4"/>
        <v>Estado</v>
      </c>
    </row>
    <row r="268" spans="1:10" ht="15" customHeight="1" x14ac:dyDescent="0.3">
      <c r="A268" s="9" t="s">
        <v>1359</v>
      </c>
      <c r="B268" s="9" t="s">
        <v>1042</v>
      </c>
      <c r="C268" s="9" t="s">
        <v>1569</v>
      </c>
      <c r="D268" s="14">
        <v>11</v>
      </c>
      <c r="E268" s="9" t="s">
        <v>1404</v>
      </c>
      <c r="F268" s="9" t="s">
        <v>1042</v>
      </c>
      <c r="G268" s="9"/>
      <c r="H268" s="14"/>
      <c r="I268" s="9" t="s">
        <v>1420</v>
      </c>
      <c r="J268" s="11" t="str">
        <f t="shared" si="4"/>
        <v>Alerta</v>
      </c>
    </row>
    <row r="269" spans="1:10" ht="15" customHeight="1" x14ac:dyDescent="0.3">
      <c r="A269" s="9" t="s">
        <v>1359</v>
      </c>
      <c r="B269" s="9" t="s">
        <v>1042</v>
      </c>
      <c r="C269" s="9"/>
      <c r="D269" s="14"/>
      <c r="E269" s="9" t="s">
        <v>1404</v>
      </c>
      <c r="F269" s="9" t="s">
        <v>1042</v>
      </c>
      <c r="G269" s="9" t="s">
        <v>1149</v>
      </c>
      <c r="H269" s="14">
        <v>4</v>
      </c>
      <c r="I269" s="9" t="s">
        <v>1424</v>
      </c>
      <c r="J269" s="11" t="str">
        <f t="shared" si="4"/>
        <v>Area</v>
      </c>
    </row>
    <row r="270" spans="1:10" ht="15" customHeight="1" x14ac:dyDescent="0.3">
      <c r="A270" s="9" t="s">
        <v>1359</v>
      </c>
      <c r="B270" s="9" t="s">
        <v>1042</v>
      </c>
      <c r="C270" s="9"/>
      <c r="D270" s="14"/>
      <c r="E270" s="9" t="s">
        <v>1404</v>
      </c>
      <c r="F270" s="9" t="s">
        <v>1042</v>
      </c>
      <c r="G270" s="9" t="s">
        <v>1598</v>
      </c>
      <c r="H270" s="14">
        <v>6</v>
      </c>
      <c r="I270" s="9" t="s">
        <v>1424</v>
      </c>
      <c r="J270" s="11" t="str">
        <f t="shared" si="4"/>
        <v>Questao_Auditoria</v>
      </c>
    </row>
    <row r="271" spans="1:10" ht="15" customHeight="1" x14ac:dyDescent="0.3">
      <c r="A271" s="9" t="s">
        <v>1359</v>
      </c>
      <c r="B271" s="9" t="s">
        <v>1042</v>
      </c>
      <c r="C271" s="9"/>
      <c r="D271" s="14"/>
      <c r="E271" s="9" t="s">
        <v>1404</v>
      </c>
      <c r="F271" s="9" t="s">
        <v>1042</v>
      </c>
      <c r="G271" s="9" t="s">
        <v>1599</v>
      </c>
      <c r="H271" s="14">
        <v>7</v>
      </c>
      <c r="I271" s="9" t="s">
        <v>1424</v>
      </c>
      <c r="J271" s="11" t="str">
        <f t="shared" si="4"/>
        <v>Evidencia_Esperada</v>
      </c>
    </row>
    <row r="272" spans="1:10" ht="15" customHeight="1" x14ac:dyDescent="0.3">
      <c r="A272" s="9" t="s">
        <v>1359</v>
      </c>
      <c r="B272" s="9" t="s">
        <v>1042</v>
      </c>
      <c r="C272" s="9"/>
      <c r="D272" s="14"/>
      <c r="E272" s="9" t="s">
        <v>1404</v>
      </c>
      <c r="F272" s="9" t="s">
        <v>1042</v>
      </c>
      <c r="G272" s="9" t="s">
        <v>1600</v>
      </c>
      <c r="H272" s="14">
        <v>10</v>
      </c>
      <c r="I272" s="9" t="s">
        <v>1424</v>
      </c>
      <c r="J272" s="11" t="str">
        <f t="shared" si="4"/>
        <v>Gravidade</v>
      </c>
    </row>
    <row r="273" spans="1:10" ht="15" customHeight="1" x14ac:dyDescent="0.3">
      <c r="A273" s="9" t="s">
        <v>1359</v>
      </c>
      <c r="B273" s="9" t="s">
        <v>1042</v>
      </c>
      <c r="C273" s="9"/>
      <c r="D273" s="14"/>
      <c r="E273" s="9" t="s">
        <v>1404</v>
      </c>
      <c r="F273" s="9" t="s">
        <v>1042</v>
      </c>
      <c r="G273" s="9" t="s">
        <v>1601</v>
      </c>
      <c r="H273" s="14">
        <v>11</v>
      </c>
      <c r="I273" s="9" t="s">
        <v>1424</v>
      </c>
      <c r="J273" s="11" t="str">
        <f t="shared" si="4"/>
        <v>Requisito_Violado_ou_Melhoravel</v>
      </c>
    </row>
    <row r="274" spans="1:10" ht="15" customHeight="1" x14ac:dyDescent="0.3">
      <c r="A274" s="9" t="s">
        <v>1359</v>
      </c>
      <c r="B274" s="9" t="s">
        <v>1042</v>
      </c>
      <c r="C274" s="9"/>
      <c r="D274" s="14"/>
      <c r="E274" s="9" t="s">
        <v>1404</v>
      </c>
      <c r="F274" s="9" t="s">
        <v>1042</v>
      </c>
      <c r="G274" s="9" t="s">
        <v>1602</v>
      </c>
      <c r="H274" s="14">
        <v>12</v>
      </c>
      <c r="I274" s="9" t="s">
        <v>1424</v>
      </c>
      <c r="J274" s="11" t="str">
        <f t="shared" si="4"/>
        <v>Justificacao</v>
      </c>
    </row>
    <row r="275" spans="1:10" ht="15" customHeight="1" x14ac:dyDescent="0.3">
      <c r="A275" s="9" t="s">
        <v>1359</v>
      </c>
      <c r="B275" s="9" t="s">
        <v>1042</v>
      </c>
      <c r="C275" s="9"/>
      <c r="D275" s="14"/>
      <c r="E275" s="9" t="s">
        <v>1404</v>
      </c>
      <c r="F275" s="9" t="s">
        <v>1042</v>
      </c>
      <c r="G275" s="9" t="s">
        <v>1571</v>
      </c>
      <c r="H275" s="14">
        <v>14</v>
      </c>
      <c r="I275" s="9" t="s">
        <v>1424</v>
      </c>
      <c r="J275" s="11" t="str">
        <f t="shared" si="4"/>
        <v>ID_PAM</v>
      </c>
    </row>
    <row r="276" spans="1:10" ht="15" customHeight="1" x14ac:dyDescent="0.3">
      <c r="A276" s="9" t="s">
        <v>1359</v>
      </c>
      <c r="B276" s="9" t="s">
        <v>1042</v>
      </c>
      <c r="C276" s="9"/>
      <c r="D276" s="14"/>
      <c r="E276" s="9" t="s">
        <v>1404</v>
      </c>
      <c r="F276" s="9" t="s">
        <v>1042</v>
      </c>
      <c r="G276" s="9" t="s">
        <v>1603</v>
      </c>
      <c r="H276" s="14">
        <v>15</v>
      </c>
      <c r="I276" s="9" t="s">
        <v>1424</v>
      </c>
      <c r="J276" s="11" t="str">
        <f t="shared" si="4"/>
        <v>Auditor</v>
      </c>
    </row>
    <row r="277" spans="1:10" ht="15" customHeight="1" x14ac:dyDescent="0.3">
      <c r="A277" s="9" t="s">
        <v>1359</v>
      </c>
      <c r="B277" s="9" t="s">
        <v>1042</v>
      </c>
      <c r="C277" s="9"/>
      <c r="D277" s="14"/>
      <c r="E277" s="9" t="s">
        <v>1404</v>
      </c>
      <c r="F277" s="9" t="s">
        <v>1042</v>
      </c>
      <c r="G277" s="9" t="s">
        <v>1604</v>
      </c>
      <c r="H277" s="14">
        <v>16</v>
      </c>
      <c r="I277" s="9" t="s">
        <v>1424</v>
      </c>
      <c r="J277" s="11" t="str">
        <f t="shared" si="4"/>
        <v>Controlo_Qualidade</v>
      </c>
    </row>
    <row r="278" spans="1:10" ht="15" customHeight="1" x14ac:dyDescent="0.3">
      <c r="A278" s="9" t="s">
        <v>1361</v>
      </c>
      <c r="B278" s="9" t="s">
        <v>1047</v>
      </c>
      <c r="C278" s="9" t="s">
        <v>1048</v>
      </c>
      <c r="D278" s="14">
        <v>1</v>
      </c>
      <c r="E278" s="9" t="s">
        <v>1404</v>
      </c>
      <c r="F278" s="9" t="s">
        <v>1047</v>
      </c>
      <c r="G278" s="9" t="s">
        <v>1048</v>
      </c>
      <c r="H278" s="14">
        <v>1</v>
      </c>
      <c r="I278" s="9" t="s">
        <v>1405</v>
      </c>
      <c r="J278" s="11" t="str">
        <f t="shared" si="4"/>
        <v>ID_Reuniao</v>
      </c>
    </row>
    <row r="279" spans="1:10" ht="15" customHeight="1" x14ac:dyDescent="0.3">
      <c r="A279" s="9" t="s">
        <v>1361</v>
      </c>
      <c r="B279" s="9" t="s">
        <v>1047</v>
      </c>
      <c r="C279" s="9" t="s">
        <v>1605</v>
      </c>
      <c r="D279" s="14">
        <v>2</v>
      </c>
      <c r="E279" s="9" t="s">
        <v>1404</v>
      </c>
      <c r="F279" s="9" t="s">
        <v>1047</v>
      </c>
      <c r="G279" s="9" t="s">
        <v>1605</v>
      </c>
      <c r="H279" s="14">
        <v>2</v>
      </c>
      <c r="I279" s="9" t="s">
        <v>1405</v>
      </c>
      <c r="J279" s="11" t="str">
        <f t="shared" si="4"/>
        <v>Ponto</v>
      </c>
    </row>
    <row r="280" spans="1:10" ht="15" customHeight="1" x14ac:dyDescent="0.3">
      <c r="A280" s="9" t="s">
        <v>1361</v>
      </c>
      <c r="B280" s="9" t="s">
        <v>1047</v>
      </c>
      <c r="C280" s="9" t="s">
        <v>1606</v>
      </c>
      <c r="D280" s="14">
        <v>3</v>
      </c>
      <c r="E280" s="9" t="s">
        <v>1404</v>
      </c>
      <c r="F280" s="9" t="s">
        <v>1047</v>
      </c>
      <c r="G280" s="9" t="s">
        <v>1606</v>
      </c>
      <c r="H280" s="14">
        <v>3</v>
      </c>
      <c r="I280" s="9" t="s">
        <v>1405</v>
      </c>
      <c r="J280" s="11" t="str">
        <f t="shared" si="4"/>
        <v>Entrada_9_3_2</v>
      </c>
    </row>
    <row r="281" spans="1:10" ht="15" customHeight="1" x14ac:dyDescent="0.3">
      <c r="A281" s="9" t="s">
        <v>1361</v>
      </c>
      <c r="B281" s="9" t="s">
        <v>1047</v>
      </c>
      <c r="C281" s="9" t="s">
        <v>1607</v>
      </c>
      <c r="D281" s="14">
        <v>4</v>
      </c>
      <c r="E281" s="9" t="s">
        <v>1404</v>
      </c>
      <c r="F281" s="9" t="s">
        <v>1047</v>
      </c>
      <c r="G281" s="9" t="s">
        <v>1607</v>
      </c>
      <c r="H281" s="14">
        <v>4</v>
      </c>
      <c r="I281" s="9" t="s">
        <v>1405</v>
      </c>
      <c r="J281" s="11" t="str">
        <f t="shared" si="4"/>
        <v>Topico</v>
      </c>
    </row>
    <row r="282" spans="1:10" ht="15" customHeight="1" x14ac:dyDescent="0.3">
      <c r="A282" s="9" t="s">
        <v>1361</v>
      </c>
      <c r="B282" s="9" t="s">
        <v>1047</v>
      </c>
      <c r="C282" s="9" t="s">
        <v>1455</v>
      </c>
      <c r="D282" s="14">
        <v>5</v>
      </c>
      <c r="E282" s="9" t="s">
        <v>1404</v>
      </c>
      <c r="F282" s="9" t="s">
        <v>1047</v>
      </c>
      <c r="G282" s="9" t="s">
        <v>1455</v>
      </c>
      <c r="H282" s="14">
        <v>5</v>
      </c>
      <c r="I282" s="9" t="s">
        <v>1405</v>
      </c>
      <c r="J282" s="11" t="str">
        <f t="shared" si="4"/>
        <v>Fonte_Dados</v>
      </c>
    </row>
    <row r="283" spans="1:10" ht="15" customHeight="1" x14ac:dyDescent="0.3">
      <c r="A283" s="9" t="s">
        <v>1361</v>
      </c>
      <c r="B283" s="9" t="s">
        <v>1047</v>
      </c>
      <c r="C283" s="9" t="s">
        <v>1608</v>
      </c>
      <c r="D283" s="14">
        <v>6</v>
      </c>
      <c r="E283" s="9" t="s">
        <v>1404</v>
      </c>
      <c r="F283" s="9" t="s">
        <v>1047</v>
      </c>
      <c r="G283" s="9" t="s">
        <v>1608</v>
      </c>
      <c r="H283" s="14">
        <v>6</v>
      </c>
      <c r="I283" s="9" t="s">
        <v>1405</v>
      </c>
      <c r="J283" s="11" t="str">
        <f t="shared" si="4"/>
        <v>Apresentador</v>
      </c>
    </row>
    <row r="284" spans="1:10" ht="15" customHeight="1" x14ac:dyDescent="0.3">
      <c r="A284" s="9" t="s">
        <v>1361</v>
      </c>
      <c r="B284" s="9" t="s">
        <v>1047</v>
      </c>
      <c r="C284" s="9" t="s">
        <v>1609</v>
      </c>
      <c r="D284" s="14">
        <v>7</v>
      </c>
      <c r="E284" s="9" t="s">
        <v>1404</v>
      </c>
      <c r="F284" s="9" t="s">
        <v>1047</v>
      </c>
      <c r="G284" s="9" t="s">
        <v>1609</v>
      </c>
      <c r="H284" s="14">
        <v>7</v>
      </c>
      <c r="I284" s="9" t="s">
        <v>1405</v>
      </c>
      <c r="J284" s="11" t="str">
        <f t="shared" si="4"/>
        <v>Duracao_min</v>
      </c>
    </row>
    <row r="285" spans="1:10" ht="15" customHeight="1" x14ac:dyDescent="0.3">
      <c r="A285" s="9" t="s">
        <v>1361</v>
      </c>
      <c r="B285" s="9" t="s">
        <v>1047</v>
      </c>
      <c r="C285" s="9" t="s">
        <v>1610</v>
      </c>
      <c r="D285" s="14">
        <v>8</v>
      </c>
      <c r="E285" s="9" t="s">
        <v>1404</v>
      </c>
      <c r="F285" s="9" t="s">
        <v>1047</v>
      </c>
      <c r="G285" s="9" t="s">
        <v>1610</v>
      </c>
      <c r="H285" s="14">
        <v>9</v>
      </c>
      <c r="I285" s="9" t="s">
        <v>1405</v>
      </c>
      <c r="J285" s="11" t="str">
        <f t="shared" si="4"/>
        <v>N_Decisoes</v>
      </c>
    </row>
    <row r="286" spans="1:10" ht="15" customHeight="1" x14ac:dyDescent="0.3">
      <c r="A286" s="9" t="s">
        <v>1361</v>
      </c>
      <c r="B286" s="9" t="s">
        <v>1047</v>
      </c>
      <c r="C286" s="9"/>
      <c r="D286" s="14"/>
      <c r="E286" s="9" t="s">
        <v>1404</v>
      </c>
      <c r="F286" s="9" t="s">
        <v>1047</v>
      </c>
      <c r="G286" s="9" t="s">
        <v>1611</v>
      </c>
      <c r="H286" s="14">
        <v>8</v>
      </c>
      <c r="I286" s="9" t="s">
        <v>1424</v>
      </c>
      <c r="J286" s="11" t="str">
        <f t="shared" si="4"/>
        <v>Hora_Inicio</v>
      </c>
    </row>
    <row r="287" spans="1:10" ht="15" customHeight="1" x14ac:dyDescent="0.3">
      <c r="A287" s="9" t="s">
        <v>1364</v>
      </c>
      <c r="B287" s="9" t="s">
        <v>1051</v>
      </c>
      <c r="C287" s="9" t="s">
        <v>1052</v>
      </c>
      <c r="D287" s="14">
        <v>1</v>
      </c>
      <c r="E287" s="9" t="s">
        <v>1404</v>
      </c>
      <c r="F287" s="9" t="s">
        <v>1051</v>
      </c>
      <c r="G287" s="9" t="s">
        <v>1052</v>
      </c>
      <c r="H287" s="14">
        <v>1</v>
      </c>
      <c r="I287" s="9" t="s">
        <v>1405</v>
      </c>
      <c r="J287" s="11" t="str">
        <f t="shared" si="4"/>
        <v>ID_Decisao</v>
      </c>
    </row>
    <row r="288" spans="1:10" ht="15" customHeight="1" x14ac:dyDescent="0.3">
      <c r="A288" s="9" t="s">
        <v>1364</v>
      </c>
      <c r="B288" s="9" t="s">
        <v>1051</v>
      </c>
      <c r="C288" s="9" t="s">
        <v>1612</v>
      </c>
      <c r="D288" s="14">
        <v>2</v>
      </c>
      <c r="E288" s="9" t="s">
        <v>1404</v>
      </c>
      <c r="F288" s="9" t="s">
        <v>1051</v>
      </c>
      <c r="G288" s="9" t="s">
        <v>1612</v>
      </c>
      <c r="H288" s="14">
        <v>2</v>
      </c>
      <c r="I288" s="9" t="s">
        <v>1405</v>
      </c>
      <c r="J288" s="11" t="str">
        <f t="shared" si="4"/>
        <v>Ponto_Agenda</v>
      </c>
    </row>
    <row r="289" spans="1:10" ht="15" customHeight="1" x14ac:dyDescent="0.3">
      <c r="A289" s="9" t="s">
        <v>1364</v>
      </c>
      <c r="B289" s="9" t="s">
        <v>1051</v>
      </c>
      <c r="C289" s="9" t="s">
        <v>1613</v>
      </c>
      <c r="D289" s="14">
        <v>3</v>
      </c>
      <c r="E289" s="9" t="s">
        <v>1404</v>
      </c>
      <c r="F289" s="9" t="s">
        <v>1051</v>
      </c>
      <c r="G289" s="9" t="s">
        <v>1614</v>
      </c>
      <c r="H289" s="14">
        <v>3</v>
      </c>
      <c r="I289" s="9" t="s">
        <v>1413</v>
      </c>
      <c r="J289" s="11" t="str">
        <f t="shared" si="4"/>
        <v>Tipo_Saida_9_3_3</v>
      </c>
    </row>
    <row r="290" spans="1:10" ht="15" customHeight="1" x14ac:dyDescent="0.3">
      <c r="A290" s="9" t="s">
        <v>1364</v>
      </c>
      <c r="B290" s="9" t="s">
        <v>1051</v>
      </c>
      <c r="C290" s="9" t="s">
        <v>1615</v>
      </c>
      <c r="D290" s="14">
        <v>4</v>
      </c>
      <c r="E290" s="9" t="s">
        <v>1404</v>
      </c>
      <c r="F290" s="9" t="s">
        <v>1051</v>
      </c>
      <c r="G290" s="9" t="s">
        <v>1615</v>
      </c>
      <c r="H290" s="14">
        <v>5</v>
      </c>
      <c r="I290" s="9" t="s">
        <v>1405</v>
      </c>
      <c r="J290" s="11" t="str">
        <f t="shared" si="4"/>
        <v>Decisao_Tomada</v>
      </c>
    </row>
    <row r="291" spans="1:10" ht="15" customHeight="1" x14ac:dyDescent="0.3">
      <c r="A291" s="9" t="s">
        <v>1364</v>
      </c>
      <c r="B291" s="9" t="s">
        <v>1051</v>
      </c>
      <c r="C291" s="9" t="s">
        <v>347</v>
      </c>
      <c r="D291" s="14">
        <v>5</v>
      </c>
      <c r="E291" s="9" t="s">
        <v>1404</v>
      </c>
      <c r="F291" s="9" t="s">
        <v>1051</v>
      </c>
      <c r="G291" s="9" t="s">
        <v>347</v>
      </c>
      <c r="H291" s="14">
        <v>8</v>
      </c>
      <c r="I291" s="9" t="s">
        <v>1405</v>
      </c>
      <c r="J291" s="11" t="str">
        <f t="shared" si="4"/>
        <v>Responsavel</v>
      </c>
    </row>
    <row r="292" spans="1:10" ht="15" customHeight="1" x14ac:dyDescent="0.3">
      <c r="A292" s="9" t="s">
        <v>1364</v>
      </c>
      <c r="B292" s="9" t="s">
        <v>1051</v>
      </c>
      <c r="C292" s="9" t="s">
        <v>1475</v>
      </c>
      <c r="D292" s="14">
        <v>6</v>
      </c>
      <c r="E292" s="9" t="s">
        <v>1404</v>
      </c>
      <c r="F292" s="9" t="s">
        <v>1051</v>
      </c>
      <c r="G292" s="9" t="s">
        <v>1475</v>
      </c>
      <c r="H292" s="14">
        <v>9</v>
      </c>
      <c r="I292" s="9" t="s">
        <v>1405</v>
      </c>
      <c r="J292" s="11" t="str">
        <f t="shared" si="4"/>
        <v>Prazo</v>
      </c>
    </row>
    <row r="293" spans="1:10" ht="15" customHeight="1" x14ac:dyDescent="0.3">
      <c r="A293" s="9" t="s">
        <v>1364</v>
      </c>
      <c r="B293" s="9" t="s">
        <v>1051</v>
      </c>
      <c r="C293" s="9" t="s">
        <v>1616</v>
      </c>
      <c r="D293" s="14">
        <v>7</v>
      </c>
      <c r="E293" s="9" t="s">
        <v>1404</v>
      </c>
      <c r="F293" s="9" t="s">
        <v>1051</v>
      </c>
      <c r="G293" s="9" t="s">
        <v>1616</v>
      </c>
      <c r="H293" s="14">
        <v>6</v>
      </c>
      <c r="I293" s="9" t="s">
        <v>1405</v>
      </c>
      <c r="J293" s="11" t="str">
        <f t="shared" si="4"/>
        <v>Recursos_EUR</v>
      </c>
    </row>
    <row r="294" spans="1:10" ht="15" customHeight="1" x14ac:dyDescent="0.3">
      <c r="A294" s="9" t="s">
        <v>1364</v>
      </c>
      <c r="B294" s="9" t="s">
        <v>1051</v>
      </c>
      <c r="C294" s="9" t="s">
        <v>1617</v>
      </c>
      <c r="D294" s="14">
        <v>8</v>
      </c>
      <c r="E294" s="9" t="s">
        <v>1404</v>
      </c>
      <c r="F294" s="9" t="s">
        <v>1051</v>
      </c>
      <c r="G294" s="9"/>
      <c r="H294" s="14"/>
      <c r="I294" s="9" t="s">
        <v>1420</v>
      </c>
      <c r="J294" s="11" t="str">
        <f t="shared" si="4"/>
        <v>Ligacao</v>
      </c>
    </row>
    <row r="295" spans="1:10" ht="15" customHeight="1" x14ac:dyDescent="0.3">
      <c r="A295" s="9" t="s">
        <v>1364</v>
      </c>
      <c r="B295" s="9" t="s">
        <v>1051</v>
      </c>
      <c r="C295" s="9" t="s">
        <v>14</v>
      </c>
      <c r="D295" s="14">
        <v>9</v>
      </c>
      <c r="E295" s="9" t="s">
        <v>1404</v>
      </c>
      <c r="F295" s="9" t="s">
        <v>1051</v>
      </c>
      <c r="G295" s="9"/>
      <c r="H295" s="14"/>
      <c r="I295" s="9" t="s">
        <v>1420</v>
      </c>
      <c r="J295" s="11" t="str">
        <f t="shared" si="4"/>
        <v>Estado</v>
      </c>
    </row>
    <row r="296" spans="1:10" ht="15" customHeight="1" x14ac:dyDescent="0.3">
      <c r="A296" s="9" t="s">
        <v>1364</v>
      </c>
      <c r="B296" s="9" t="s">
        <v>1051</v>
      </c>
      <c r="C296" s="9" t="s">
        <v>1481</v>
      </c>
      <c r="D296" s="14">
        <v>10</v>
      </c>
      <c r="E296" s="9" t="s">
        <v>1404</v>
      </c>
      <c r="F296" s="9" t="s">
        <v>1051</v>
      </c>
      <c r="G296" s="9" t="s">
        <v>1481</v>
      </c>
      <c r="H296" s="14">
        <v>11</v>
      </c>
      <c r="I296" s="9" t="s">
        <v>1405</v>
      </c>
      <c r="J296" s="11" t="str">
        <f t="shared" si="4"/>
        <v>Dias_ate_Prazo</v>
      </c>
    </row>
    <row r="297" spans="1:10" ht="15" customHeight="1" x14ac:dyDescent="0.3">
      <c r="A297" s="9" t="s">
        <v>1364</v>
      </c>
      <c r="B297" s="9" t="s">
        <v>1051</v>
      </c>
      <c r="C297" s="9"/>
      <c r="D297" s="14"/>
      <c r="E297" s="9" t="s">
        <v>1404</v>
      </c>
      <c r="F297" s="9" t="s">
        <v>1051</v>
      </c>
      <c r="G297" s="9" t="s">
        <v>1618</v>
      </c>
      <c r="H297" s="14">
        <v>4</v>
      </c>
      <c r="I297" s="9" t="s">
        <v>1424</v>
      </c>
      <c r="J297" s="11" t="str">
        <f t="shared" si="4"/>
        <v>Problema_Analise</v>
      </c>
    </row>
    <row r="298" spans="1:10" ht="15" customHeight="1" x14ac:dyDescent="0.3">
      <c r="A298" s="9" t="s">
        <v>1364</v>
      </c>
      <c r="B298" s="9" t="s">
        <v>1051</v>
      </c>
      <c r="C298" s="9"/>
      <c r="D298" s="14"/>
      <c r="E298" s="9" t="s">
        <v>1404</v>
      </c>
      <c r="F298" s="9" t="s">
        <v>1051</v>
      </c>
      <c r="G298" s="9" t="s">
        <v>1619</v>
      </c>
      <c r="H298" s="14">
        <v>7</v>
      </c>
      <c r="I298" s="9" t="s">
        <v>1424</v>
      </c>
      <c r="J298" s="11" t="str">
        <f t="shared" si="4"/>
        <v>Recursos_Pessoas</v>
      </c>
    </row>
    <row r="299" spans="1:10" ht="15" customHeight="1" x14ac:dyDescent="0.3">
      <c r="A299" s="9" t="s">
        <v>1364</v>
      </c>
      <c r="B299" s="9" t="s">
        <v>1051</v>
      </c>
      <c r="C299" s="9"/>
      <c r="D299" s="14"/>
      <c r="E299" s="9" t="s">
        <v>1404</v>
      </c>
      <c r="F299" s="9" t="s">
        <v>1051</v>
      </c>
      <c r="G299" s="9" t="s">
        <v>1620</v>
      </c>
      <c r="H299" s="14">
        <v>10</v>
      </c>
      <c r="I299" s="9" t="s">
        <v>1424</v>
      </c>
      <c r="J299" s="11" t="str">
        <f t="shared" si="4"/>
        <v>IDs_PAM</v>
      </c>
    </row>
    <row r="300" spans="1:10" ht="15" customHeight="1" x14ac:dyDescent="0.3">
      <c r="A300" s="9" t="s">
        <v>1366</v>
      </c>
      <c r="B300" s="9" t="s">
        <v>1059</v>
      </c>
      <c r="C300" s="9" t="s">
        <v>1060</v>
      </c>
      <c r="D300" s="14">
        <v>1</v>
      </c>
      <c r="E300" s="9" t="s">
        <v>1404</v>
      </c>
      <c r="F300" s="9" t="s">
        <v>1059</v>
      </c>
      <c r="G300" s="9" t="s">
        <v>1060</v>
      </c>
      <c r="H300" s="14">
        <v>1</v>
      </c>
      <c r="I300" s="9" t="s">
        <v>1405</v>
      </c>
      <c r="J300" s="11" t="str">
        <f t="shared" si="4"/>
        <v>ID_NC</v>
      </c>
    </row>
    <row r="301" spans="1:10" ht="15" customHeight="1" x14ac:dyDescent="0.3">
      <c r="A301" s="9" t="s">
        <v>1366</v>
      </c>
      <c r="B301" s="9" t="s">
        <v>1059</v>
      </c>
      <c r="C301" s="9" t="s">
        <v>1621</v>
      </c>
      <c r="D301" s="14">
        <v>2</v>
      </c>
      <c r="E301" s="9" t="s">
        <v>1404</v>
      </c>
      <c r="F301" s="9" t="s">
        <v>1059</v>
      </c>
      <c r="G301" s="9" t="s">
        <v>1621</v>
      </c>
      <c r="H301" s="14">
        <v>2</v>
      </c>
      <c r="I301" s="9" t="s">
        <v>1405</v>
      </c>
      <c r="J301" s="11" t="str">
        <f t="shared" si="4"/>
        <v>Data_Detecao</v>
      </c>
    </row>
    <row r="302" spans="1:10" ht="15" customHeight="1" x14ac:dyDescent="0.3">
      <c r="A302" s="9" t="s">
        <v>1366</v>
      </c>
      <c r="B302" s="9" t="s">
        <v>1059</v>
      </c>
      <c r="C302" s="9" t="s">
        <v>1622</v>
      </c>
      <c r="D302" s="14">
        <v>3</v>
      </c>
      <c r="E302" s="9" t="s">
        <v>1404</v>
      </c>
      <c r="F302" s="9" t="s">
        <v>1059</v>
      </c>
      <c r="G302" s="9" t="s">
        <v>1622</v>
      </c>
      <c r="H302" s="14">
        <v>3</v>
      </c>
      <c r="I302" s="9" t="s">
        <v>1405</v>
      </c>
      <c r="J302" s="11" t="str">
        <f t="shared" si="4"/>
        <v>Origem</v>
      </c>
    </row>
    <row r="303" spans="1:10" ht="15" customHeight="1" x14ac:dyDescent="0.3">
      <c r="A303" s="9" t="s">
        <v>1366</v>
      </c>
      <c r="B303" s="9" t="s">
        <v>1059</v>
      </c>
      <c r="C303" s="9" t="s">
        <v>1103</v>
      </c>
      <c r="D303" s="14">
        <v>4</v>
      </c>
      <c r="E303" s="9" t="s">
        <v>1404</v>
      </c>
      <c r="F303" s="9" t="s">
        <v>1059</v>
      </c>
      <c r="G303" s="9" t="s">
        <v>1103</v>
      </c>
      <c r="H303" s="14">
        <v>4</v>
      </c>
      <c r="I303" s="9" t="s">
        <v>1405</v>
      </c>
      <c r="J303" s="11" t="str">
        <f t="shared" si="4"/>
        <v>ID_Origem</v>
      </c>
    </row>
    <row r="304" spans="1:10" ht="15" customHeight="1" x14ac:dyDescent="0.3">
      <c r="A304" s="9" t="s">
        <v>1366</v>
      </c>
      <c r="B304" s="9" t="s">
        <v>1059</v>
      </c>
      <c r="C304" s="9" t="s">
        <v>1240</v>
      </c>
      <c r="D304" s="14">
        <v>5</v>
      </c>
      <c r="E304" s="9" t="s">
        <v>1404</v>
      </c>
      <c r="F304" s="9" t="s">
        <v>1059</v>
      </c>
      <c r="G304" s="9" t="s">
        <v>1240</v>
      </c>
      <c r="H304" s="14">
        <v>5</v>
      </c>
      <c r="I304" s="9" t="s">
        <v>1405</v>
      </c>
      <c r="J304" s="11" t="str">
        <f t="shared" si="4"/>
        <v>Processo</v>
      </c>
    </row>
    <row r="305" spans="1:10" ht="15" customHeight="1" x14ac:dyDescent="0.3">
      <c r="A305" s="9" t="s">
        <v>1366</v>
      </c>
      <c r="B305" s="9" t="s">
        <v>1059</v>
      </c>
      <c r="C305" s="9" t="s">
        <v>1495</v>
      </c>
      <c r="D305" s="14">
        <v>6</v>
      </c>
      <c r="E305" s="9" t="s">
        <v>1404</v>
      </c>
      <c r="F305" s="9" t="s">
        <v>1059</v>
      </c>
      <c r="G305" s="9" t="s">
        <v>1495</v>
      </c>
      <c r="H305" s="14">
        <v>10</v>
      </c>
      <c r="I305" s="9" t="s">
        <v>1405</v>
      </c>
      <c r="J305" s="11" t="str">
        <f t="shared" si="4"/>
        <v>Descricao</v>
      </c>
    </row>
    <row r="306" spans="1:10" ht="15" customHeight="1" x14ac:dyDescent="0.3">
      <c r="A306" s="9" t="s">
        <v>1366</v>
      </c>
      <c r="B306" s="9" t="s">
        <v>1059</v>
      </c>
      <c r="C306" s="9" t="s">
        <v>1597</v>
      </c>
      <c r="D306" s="14">
        <v>7</v>
      </c>
      <c r="E306" s="9" t="s">
        <v>1404</v>
      </c>
      <c r="F306" s="9" t="s">
        <v>1059</v>
      </c>
      <c r="G306" s="9" t="s">
        <v>1597</v>
      </c>
      <c r="H306" s="14">
        <v>11</v>
      </c>
      <c r="I306" s="9" t="s">
        <v>1405</v>
      </c>
      <c r="J306" s="11" t="str">
        <f t="shared" si="4"/>
        <v>Evidencia_Objetiva</v>
      </c>
    </row>
    <row r="307" spans="1:10" ht="15" customHeight="1" x14ac:dyDescent="0.3">
      <c r="A307" s="9" t="s">
        <v>1366</v>
      </c>
      <c r="B307" s="9" t="s">
        <v>1059</v>
      </c>
      <c r="C307" s="9" t="s">
        <v>1594</v>
      </c>
      <c r="D307" s="14">
        <v>8</v>
      </c>
      <c r="E307" s="9" t="s">
        <v>1404</v>
      </c>
      <c r="F307" s="9" t="s">
        <v>1059</v>
      </c>
      <c r="G307" s="9" t="s">
        <v>1594</v>
      </c>
      <c r="H307" s="14">
        <v>8</v>
      </c>
      <c r="I307" s="9" t="s">
        <v>1405</v>
      </c>
      <c r="J307" s="11" t="str">
        <f t="shared" si="4"/>
        <v>Classificacao</v>
      </c>
    </row>
    <row r="308" spans="1:10" ht="15" customHeight="1" x14ac:dyDescent="0.3">
      <c r="A308" s="9" t="s">
        <v>1366</v>
      </c>
      <c r="B308" s="9" t="s">
        <v>1059</v>
      </c>
      <c r="C308" s="9" t="s">
        <v>1623</v>
      </c>
      <c r="D308" s="14">
        <v>9</v>
      </c>
      <c r="E308" s="9" t="s">
        <v>1404</v>
      </c>
      <c r="F308" s="9" t="s">
        <v>1059</v>
      </c>
      <c r="G308" s="9" t="s">
        <v>1623</v>
      </c>
      <c r="H308" s="14">
        <v>9</v>
      </c>
      <c r="I308" s="9" t="s">
        <v>1405</v>
      </c>
      <c r="J308" s="11" t="str">
        <f t="shared" si="4"/>
        <v>Requisito_Violado</v>
      </c>
    </row>
    <row r="309" spans="1:10" ht="15" customHeight="1" x14ac:dyDescent="0.3">
      <c r="A309" s="9" t="s">
        <v>1366</v>
      </c>
      <c r="B309" s="9" t="s">
        <v>1059</v>
      </c>
      <c r="C309" s="9" t="s">
        <v>1624</v>
      </c>
      <c r="D309" s="14">
        <v>10</v>
      </c>
      <c r="E309" s="9" t="s">
        <v>1404</v>
      </c>
      <c r="F309" s="9" t="s">
        <v>1059</v>
      </c>
      <c r="G309" s="9" t="s">
        <v>1624</v>
      </c>
      <c r="H309" s="14">
        <v>14</v>
      </c>
      <c r="I309" s="9" t="s">
        <v>1405</v>
      </c>
      <c r="J309" s="11" t="str">
        <f t="shared" si="4"/>
        <v>Correcao_C1</v>
      </c>
    </row>
    <row r="310" spans="1:10" ht="15" customHeight="1" x14ac:dyDescent="0.3">
      <c r="A310" s="9" t="s">
        <v>1366</v>
      </c>
      <c r="B310" s="9" t="s">
        <v>1059</v>
      </c>
      <c r="C310" s="9" t="s">
        <v>1625</v>
      </c>
      <c r="D310" s="14">
        <v>11</v>
      </c>
      <c r="E310" s="9" t="s">
        <v>1404</v>
      </c>
      <c r="F310" s="9" t="s">
        <v>1059</v>
      </c>
      <c r="G310" s="9" t="s">
        <v>1625</v>
      </c>
      <c r="H310" s="14">
        <v>15</v>
      </c>
      <c r="I310" s="9" t="s">
        <v>1405</v>
      </c>
      <c r="J310" s="11" t="str">
        <f t="shared" si="4"/>
        <v>Causa_Raiz</v>
      </c>
    </row>
    <row r="311" spans="1:10" ht="15" customHeight="1" x14ac:dyDescent="0.3">
      <c r="A311" s="9" t="s">
        <v>1366</v>
      </c>
      <c r="B311" s="9" t="s">
        <v>1059</v>
      </c>
      <c r="C311" s="9" t="s">
        <v>1626</v>
      </c>
      <c r="D311" s="14">
        <v>12</v>
      </c>
      <c r="E311" s="9" t="s">
        <v>1404</v>
      </c>
      <c r="F311" s="9" t="s">
        <v>1059</v>
      </c>
      <c r="G311" s="9" t="s">
        <v>1626</v>
      </c>
      <c r="H311" s="14">
        <v>16</v>
      </c>
      <c r="I311" s="9" t="s">
        <v>1405</v>
      </c>
      <c r="J311" s="11" t="str">
        <f t="shared" si="4"/>
        <v>Categoria_6M</v>
      </c>
    </row>
    <row r="312" spans="1:10" ht="15" customHeight="1" x14ac:dyDescent="0.3">
      <c r="A312" s="9" t="s">
        <v>1366</v>
      </c>
      <c r="B312" s="9" t="s">
        <v>1059</v>
      </c>
      <c r="C312" s="9" t="s">
        <v>1627</v>
      </c>
      <c r="D312" s="14">
        <v>13</v>
      </c>
      <c r="E312" s="9" t="s">
        <v>1404</v>
      </c>
      <c r="F312" s="9" t="s">
        <v>1059</v>
      </c>
      <c r="G312" s="9" t="s">
        <v>1627</v>
      </c>
      <c r="H312" s="14">
        <v>17</v>
      </c>
      <c r="I312" s="9" t="s">
        <v>1405</v>
      </c>
      <c r="J312" s="11" t="str">
        <f t="shared" si="4"/>
        <v>Metodo_Analise</v>
      </c>
    </row>
    <row r="313" spans="1:10" ht="15" customHeight="1" x14ac:dyDescent="0.3">
      <c r="A313" s="9" t="s">
        <v>1366</v>
      </c>
      <c r="B313" s="9" t="s">
        <v>1059</v>
      </c>
      <c r="C313" s="9" t="s">
        <v>1628</v>
      </c>
      <c r="D313" s="14">
        <v>14</v>
      </c>
      <c r="E313" s="9" t="s">
        <v>1404</v>
      </c>
      <c r="F313" s="9" t="s">
        <v>1059</v>
      </c>
      <c r="G313" s="9"/>
      <c r="H313" s="14"/>
      <c r="I313" s="9" t="s">
        <v>1420</v>
      </c>
      <c r="J313" s="11" t="str">
        <f t="shared" si="4"/>
        <v>Acao_Corretiva</v>
      </c>
    </row>
    <row r="314" spans="1:10" ht="15" customHeight="1" x14ac:dyDescent="0.3">
      <c r="A314" s="9" t="s">
        <v>1366</v>
      </c>
      <c r="B314" s="9" t="s">
        <v>1059</v>
      </c>
      <c r="C314" s="9" t="s">
        <v>1629</v>
      </c>
      <c r="D314" s="14">
        <v>15</v>
      </c>
      <c r="E314" s="9" t="s">
        <v>1404</v>
      </c>
      <c r="F314" s="9" t="s">
        <v>1059</v>
      </c>
      <c r="G314" s="9"/>
      <c r="H314" s="14"/>
      <c r="I314" s="9" t="s">
        <v>1420</v>
      </c>
      <c r="J314" s="11" t="str">
        <f t="shared" si="4"/>
        <v>NC_Semelhantes</v>
      </c>
    </row>
    <row r="315" spans="1:10" ht="15" customHeight="1" x14ac:dyDescent="0.3">
      <c r="A315" s="9" t="s">
        <v>1366</v>
      </c>
      <c r="B315" s="9" t="s">
        <v>1059</v>
      </c>
      <c r="C315" s="9" t="s">
        <v>1630</v>
      </c>
      <c r="D315" s="14">
        <v>16</v>
      </c>
      <c r="E315" s="9" t="s">
        <v>1404</v>
      </c>
      <c r="F315" s="9" t="s">
        <v>1059</v>
      </c>
      <c r="G315" s="9"/>
      <c r="H315" s="14"/>
      <c r="I315" s="9" t="s">
        <v>1420</v>
      </c>
      <c r="J315" s="11" t="str">
        <f t="shared" si="4"/>
        <v>Alteracao_SGE</v>
      </c>
    </row>
    <row r="316" spans="1:10" ht="15" customHeight="1" x14ac:dyDescent="0.3">
      <c r="A316" s="9" t="s">
        <v>1366</v>
      </c>
      <c r="B316" s="9" t="s">
        <v>1059</v>
      </c>
      <c r="C316" s="9" t="s">
        <v>347</v>
      </c>
      <c r="D316" s="14">
        <v>17</v>
      </c>
      <c r="E316" s="9" t="s">
        <v>1404</v>
      </c>
      <c r="F316" s="9" t="s">
        <v>1059</v>
      </c>
      <c r="G316" s="9" t="s">
        <v>347</v>
      </c>
      <c r="H316" s="14">
        <v>21</v>
      </c>
      <c r="I316" s="9" t="s">
        <v>1405</v>
      </c>
      <c r="J316" s="11" t="str">
        <f t="shared" si="4"/>
        <v>Responsavel</v>
      </c>
    </row>
    <row r="317" spans="1:10" ht="15" customHeight="1" x14ac:dyDescent="0.3">
      <c r="A317" s="9" t="s">
        <v>1366</v>
      </c>
      <c r="B317" s="9" t="s">
        <v>1059</v>
      </c>
      <c r="C317" s="9" t="s">
        <v>1475</v>
      </c>
      <c r="D317" s="14">
        <v>18</v>
      </c>
      <c r="E317" s="9" t="s">
        <v>1404</v>
      </c>
      <c r="F317" s="9" t="s">
        <v>1059</v>
      </c>
      <c r="G317" s="9" t="s">
        <v>1475</v>
      </c>
      <c r="H317" s="14">
        <v>22</v>
      </c>
      <c r="I317" s="9" t="s">
        <v>1405</v>
      </c>
      <c r="J317" s="11" t="str">
        <f t="shared" si="4"/>
        <v>Prazo</v>
      </c>
    </row>
    <row r="318" spans="1:10" ht="15" customHeight="1" x14ac:dyDescent="0.3">
      <c r="A318" s="9" t="s">
        <v>1366</v>
      </c>
      <c r="B318" s="9" t="s">
        <v>1059</v>
      </c>
      <c r="C318" s="9" t="s">
        <v>14</v>
      </c>
      <c r="D318" s="14">
        <v>19</v>
      </c>
      <c r="E318" s="9" t="s">
        <v>1404</v>
      </c>
      <c r="F318" s="9" t="s">
        <v>1059</v>
      </c>
      <c r="G318" s="9" t="s">
        <v>14</v>
      </c>
      <c r="H318" s="14">
        <v>23</v>
      </c>
      <c r="I318" s="9" t="s">
        <v>1405</v>
      </c>
      <c r="J318" s="11" t="str">
        <f t="shared" si="4"/>
        <v>Estado</v>
      </c>
    </row>
    <row r="319" spans="1:10" ht="15" customHeight="1" x14ac:dyDescent="0.3">
      <c r="A319" s="9" t="s">
        <v>1366</v>
      </c>
      <c r="B319" s="9" t="s">
        <v>1059</v>
      </c>
      <c r="C319" s="9" t="s">
        <v>1631</v>
      </c>
      <c r="D319" s="14">
        <v>20</v>
      </c>
      <c r="E319" s="9" t="s">
        <v>1404</v>
      </c>
      <c r="F319" s="9" t="s">
        <v>1059</v>
      </c>
      <c r="G319" s="9" t="s">
        <v>1631</v>
      </c>
      <c r="H319" s="14">
        <v>24</v>
      </c>
      <c r="I319" s="9" t="s">
        <v>1405</v>
      </c>
      <c r="J319" s="11" t="str">
        <f t="shared" si="4"/>
        <v>Data_Fecho</v>
      </c>
    </row>
    <row r="320" spans="1:10" ht="15" customHeight="1" x14ac:dyDescent="0.3">
      <c r="A320" s="9" t="s">
        <v>1366</v>
      </c>
      <c r="B320" s="9" t="s">
        <v>1059</v>
      </c>
      <c r="C320" s="9" t="s">
        <v>1632</v>
      </c>
      <c r="D320" s="14">
        <v>21</v>
      </c>
      <c r="E320" s="9" t="s">
        <v>1404</v>
      </c>
      <c r="F320" s="9" t="s">
        <v>1059</v>
      </c>
      <c r="G320" s="9" t="s">
        <v>1632</v>
      </c>
      <c r="H320" s="14">
        <v>27</v>
      </c>
      <c r="I320" s="9" t="s">
        <v>1405</v>
      </c>
      <c r="J320" s="11" t="str">
        <f t="shared" si="4"/>
        <v>Eficacia</v>
      </c>
    </row>
    <row r="321" spans="1:10" ht="15" customHeight="1" x14ac:dyDescent="0.3">
      <c r="A321" s="9" t="s">
        <v>1366</v>
      </c>
      <c r="B321" s="9" t="s">
        <v>1059</v>
      </c>
      <c r="C321" s="9" t="s">
        <v>1633</v>
      </c>
      <c r="D321" s="14">
        <v>22</v>
      </c>
      <c r="E321" s="9" t="s">
        <v>1404</v>
      </c>
      <c r="F321" s="9" t="s">
        <v>1059</v>
      </c>
      <c r="G321" s="9" t="s">
        <v>1633</v>
      </c>
      <c r="H321" s="14">
        <v>28</v>
      </c>
      <c r="I321" s="9" t="s">
        <v>1405</v>
      </c>
      <c r="J321" s="11" t="str">
        <f t="shared" si="4"/>
        <v>Data_Verif_Eficacia</v>
      </c>
    </row>
    <row r="322" spans="1:10" ht="15" customHeight="1" x14ac:dyDescent="0.3">
      <c r="A322" s="9" t="s">
        <v>1366</v>
      </c>
      <c r="B322" s="9" t="s">
        <v>1059</v>
      </c>
      <c r="C322" s="9" t="s">
        <v>1634</v>
      </c>
      <c r="D322" s="14">
        <v>23</v>
      </c>
      <c r="E322" s="9" t="s">
        <v>1404</v>
      </c>
      <c r="F322" s="9" t="s">
        <v>1059</v>
      </c>
      <c r="G322" s="9" t="s">
        <v>1634</v>
      </c>
      <c r="H322" s="14">
        <v>25</v>
      </c>
      <c r="I322" s="9" t="s">
        <v>1405</v>
      </c>
      <c r="J322" s="11" t="str">
        <f t="shared" si="4"/>
        <v>Dias_Aberta</v>
      </c>
    </row>
    <row r="323" spans="1:10" ht="15" customHeight="1" x14ac:dyDescent="0.3">
      <c r="A323" s="9" t="s">
        <v>1366</v>
      </c>
      <c r="B323" s="9" t="s">
        <v>1059</v>
      </c>
      <c r="C323" s="9" t="s">
        <v>1635</v>
      </c>
      <c r="D323" s="14">
        <v>24</v>
      </c>
      <c r="E323" s="9" t="s">
        <v>1404</v>
      </c>
      <c r="F323" s="9" t="s">
        <v>1059</v>
      </c>
      <c r="G323" s="9" t="s">
        <v>1635</v>
      </c>
      <c r="H323" s="14">
        <v>26</v>
      </c>
      <c r="I323" s="9" t="s">
        <v>1405</v>
      </c>
      <c r="J323" s="11" t="str">
        <f t="shared" si="4"/>
        <v>No_Prazo</v>
      </c>
    </row>
    <row r="324" spans="1:10" ht="15" customHeight="1" x14ac:dyDescent="0.3">
      <c r="A324" s="9" t="s">
        <v>1366</v>
      </c>
      <c r="B324" s="9" t="s">
        <v>1059</v>
      </c>
      <c r="C324" s="9"/>
      <c r="D324" s="14"/>
      <c r="E324" s="9" t="s">
        <v>1404</v>
      </c>
      <c r="F324" s="9" t="s">
        <v>1059</v>
      </c>
      <c r="G324" s="9" t="s">
        <v>1636</v>
      </c>
      <c r="H324" s="14">
        <v>6</v>
      </c>
      <c r="I324" s="9" t="s">
        <v>1424</v>
      </c>
      <c r="J324" s="11" t="str">
        <f t="shared" si="4"/>
        <v>Local</v>
      </c>
    </row>
    <row r="325" spans="1:10" ht="15" customHeight="1" x14ac:dyDescent="0.3">
      <c r="A325" s="9" t="s">
        <v>1366</v>
      </c>
      <c r="B325" s="9" t="s">
        <v>1059</v>
      </c>
      <c r="C325" s="9"/>
      <c r="D325" s="14"/>
      <c r="E325" s="9" t="s">
        <v>1404</v>
      </c>
      <c r="F325" s="9" t="s">
        <v>1059</v>
      </c>
      <c r="G325" s="9" t="s">
        <v>1637</v>
      </c>
      <c r="H325" s="14">
        <v>7</v>
      </c>
      <c r="I325" s="9" t="s">
        <v>1424</v>
      </c>
      <c r="J325" s="11" t="str">
        <f t="shared" ref="J325:J388" si="5">IF(A325="","",IF(G325&lt;&gt;"",G325,C325))</f>
        <v>Tipo_Registo</v>
      </c>
    </row>
    <row r="326" spans="1:10" ht="15" customHeight="1" x14ac:dyDescent="0.3">
      <c r="A326" s="9" t="s">
        <v>1366</v>
      </c>
      <c r="B326" s="9" t="s">
        <v>1059</v>
      </c>
      <c r="C326" s="9"/>
      <c r="D326" s="14"/>
      <c r="E326" s="9" t="s">
        <v>1404</v>
      </c>
      <c r="F326" s="9" t="s">
        <v>1059</v>
      </c>
      <c r="G326" s="9" t="s">
        <v>1638</v>
      </c>
      <c r="H326" s="14">
        <v>12</v>
      </c>
      <c r="I326" s="9" t="s">
        <v>1424</v>
      </c>
      <c r="J326" s="11" t="str">
        <f t="shared" si="5"/>
        <v>Impacte_Potencial</v>
      </c>
    </row>
    <row r="327" spans="1:10" ht="15" customHeight="1" x14ac:dyDescent="0.3">
      <c r="A327" s="9" t="s">
        <v>1366</v>
      </c>
      <c r="B327" s="9" t="s">
        <v>1059</v>
      </c>
      <c r="C327" s="9"/>
      <c r="D327" s="14"/>
      <c r="E327" s="9" t="s">
        <v>1404</v>
      </c>
      <c r="F327" s="9" t="s">
        <v>1059</v>
      </c>
      <c r="G327" s="9" t="s">
        <v>1639</v>
      </c>
      <c r="H327" s="14">
        <v>13</v>
      </c>
      <c r="I327" s="9" t="s">
        <v>1424</v>
      </c>
      <c r="J327" s="11" t="str">
        <f t="shared" si="5"/>
        <v>Severidade</v>
      </c>
    </row>
    <row r="328" spans="1:10" ht="15" customHeight="1" x14ac:dyDescent="0.3">
      <c r="A328" s="9" t="s">
        <v>1366</v>
      </c>
      <c r="B328" s="9" t="s">
        <v>1059</v>
      </c>
      <c r="C328" s="9"/>
      <c r="D328" s="14"/>
      <c r="E328" s="9" t="s">
        <v>1404</v>
      </c>
      <c r="F328" s="9" t="s">
        <v>1059</v>
      </c>
      <c r="G328" s="9" t="s">
        <v>1640</v>
      </c>
      <c r="H328" s="14">
        <v>18</v>
      </c>
      <c r="I328" s="9" t="s">
        <v>1424</v>
      </c>
      <c r="J328" s="11" t="str">
        <f t="shared" si="5"/>
        <v>N_Porques</v>
      </c>
    </row>
    <row r="329" spans="1:10" ht="15" customHeight="1" x14ac:dyDescent="0.3">
      <c r="A329" s="9" t="s">
        <v>1366</v>
      </c>
      <c r="B329" s="9" t="s">
        <v>1059</v>
      </c>
      <c r="C329" s="9"/>
      <c r="D329" s="14"/>
      <c r="E329" s="9" t="s">
        <v>1404</v>
      </c>
      <c r="F329" s="9" t="s">
        <v>1059</v>
      </c>
      <c r="G329" s="9" t="s">
        <v>1641</v>
      </c>
      <c r="H329" s="14">
        <v>19</v>
      </c>
      <c r="I329" s="9" t="s">
        <v>1424</v>
      </c>
      <c r="J329" s="11" t="str">
        <f t="shared" si="5"/>
        <v>ID_PAM_C1</v>
      </c>
    </row>
    <row r="330" spans="1:10" ht="15" customHeight="1" x14ac:dyDescent="0.3">
      <c r="A330" s="9" t="s">
        <v>1366</v>
      </c>
      <c r="B330" s="9" t="s">
        <v>1059</v>
      </c>
      <c r="C330" s="9"/>
      <c r="D330" s="14"/>
      <c r="E330" s="9" t="s">
        <v>1404</v>
      </c>
      <c r="F330" s="9" t="s">
        <v>1059</v>
      </c>
      <c r="G330" s="9" t="s">
        <v>1642</v>
      </c>
      <c r="H330" s="14">
        <v>20</v>
      </c>
      <c r="I330" s="9" t="s">
        <v>1424</v>
      </c>
      <c r="J330" s="11" t="str">
        <f t="shared" si="5"/>
        <v>ID_PAM_C2</v>
      </c>
    </row>
    <row r="331" spans="1:10" ht="15" customHeight="1" x14ac:dyDescent="0.3">
      <c r="A331" s="9" t="s">
        <v>1366</v>
      </c>
      <c r="B331" s="9" t="s">
        <v>1059</v>
      </c>
      <c r="C331" s="9"/>
      <c r="D331" s="14"/>
      <c r="E331" s="9" t="s">
        <v>1404</v>
      </c>
      <c r="F331" s="9" t="s">
        <v>1059</v>
      </c>
      <c r="G331" s="9" t="s">
        <v>1643</v>
      </c>
      <c r="H331" s="14">
        <v>29</v>
      </c>
      <c r="I331" s="9" t="s">
        <v>1424</v>
      </c>
      <c r="J331" s="11" t="str">
        <f t="shared" si="5"/>
        <v>Recorrente</v>
      </c>
    </row>
    <row r="332" spans="1:10" ht="15" customHeight="1" x14ac:dyDescent="0.3">
      <c r="A332" s="9" t="s">
        <v>1366</v>
      </c>
      <c r="B332" s="9" t="s">
        <v>1059</v>
      </c>
      <c r="C332" s="9"/>
      <c r="D332" s="14"/>
      <c r="E332" s="9" t="s">
        <v>1404</v>
      </c>
      <c r="F332" s="9" t="s">
        <v>1059</v>
      </c>
      <c r="G332" s="9" t="s">
        <v>1644</v>
      </c>
      <c r="H332" s="14">
        <v>30</v>
      </c>
      <c r="I332" s="9" t="s">
        <v>1424</v>
      </c>
      <c r="J332" s="11" t="str">
        <f t="shared" si="5"/>
        <v>Custo_EUR</v>
      </c>
    </row>
    <row r="333" spans="1:10" ht="15" customHeight="1" x14ac:dyDescent="0.3">
      <c r="A333" s="9" t="s">
        <v>1366</v>
      </c>
      <c r="B333" s="9" t="s">
        <v>1059</v>
      </c>
      <c r="C333" s="9"/>
      <c r="D333" s="14"/>
      <c r="E333" s="9" t="s">
        <v>1404</v>
      </c>
      <c r="F333" s="9" t="s">
        <v>1059</v>
      </c>
      <c r="G333" s="9" t="s">
        <v>1645</v>
      </c>
      <c r="H333" s="14">
        <v>31</v>
      </c>
      <c r="I333" s="9" t="s">
        <v>1424</v>
      </c>
      <c r="J333" s="11" t="str">
        <f t="shared" si="5"/>
        <v>Reportado_Por</v>
      </c>
    </row>
    <row r="334" spans="1:10" ht="15" customHeight="1" x14ac:dyDescent="0.3">
      <c r="A334" s="9" t="s">
        <v>1366</v>
      </c>
      <c r="B334" s="9" t="s">
        <v>1059</v>
      </c>
      <c r="C334" s="9"/>
      <c r="D334" s="14"/>
      <c r="E334" s="9" t="s">
        <v>1404</v>
      </c>
      <c r="F334" s="9" t="s">
        <v>1059</v>
      </c>
      <c r="G334" s="9" t="s">
        <v>1604</v>
      </c>
      <c r="H334" s="14">
        <v>32</v>
      </c>
      <c r="I334" s="9" t="s">
        <v>1424</v>
      </c>
      <c r="J334" s="11" t="str">
        <f t="shared" si="5"/>
        <v>Controlo_Qualidade</v>
      </c>
    </row>
    <row r="335" spans="1:10" ht="15" customHeight="1" x14ac:dyDescent="0.3">
      <c r="A335" s="9" t="s">
        <v>1369</v>
      </c>
      <c r="B335" s="9" t="s">
        <v>1063</v>
      </c>
      <c r="C335" s="9" t="s">
        <v>1060</v>
      </c>
      <c r="D335" s="14">
        <v>1</v>
      </c>
      <c r="E335" s="9" t="s">
        <v>1404</v>
      </c>
      <c r="F335" s="9" t="s">
        <v>1063</v>
      </c>
      <c r="G335" s="9" t="s">
        <v>1060</v>
      </c>
      <c r="H335" s="14">
        <v>1</v>
      </c>
      <c r="I335" s="9" t="s">
        <v>1405</v>
      </c>
      <c r="J335" s="11" t="str">
        <f t="shared" si="5"/>
        <v>ID_NC</v>
      </c>
    </row>
    <row r="336" spans="1:10" ht="15" customHeight="1" x14ac:dyDescent="0.3">
      <c r="A336" s="9" t="s">
        <v>1369</v>
      </c>
      <c r="B336" s="9" t="s">
        <v>1063</v>
      </c>
      <c r="C336" s="9" t="s">
        <v>1646</v>
      </c>
      <c r="D336" s="14">
        <v>2</v>
      </c>
      <c r="E336" s="9" t="s">
        <v>1404</v>
      </c>
      <c r="F336" s="9" t="s">
        <v>1063</v>
      </c>
      <c r="G336" s="9" t="s">
        <v>1646</v>
      </c>
      <c r="H336" s="14">
        <v>2</v>
      </c>
      <c r="I336" s="9" t="s">
        <v>1405</v>
      </c>
      <c r="J336" s="11" t="str">
        <f t="shared" si="5"/>
        <v>Nivel</v>
      </c>
    </row>
    <row r="337" spans="1:10" ht="15" customHeight="1" x14ac:dyDescent="0.3">
      <c r="A337" s="9" t="s">
        <v>1369</v>
      </c>
      <c r="B337" s="9" t="s">
        <v>1063</v>
      </c>
      <c r="C337" s="9" t="s">
        <v>1647</v>
      </c>
      <c r="D337" s="14">
        <v>3</v>
      </c>
      <c r="E337" s="9" t="s">
        <v>1404</v>
      </c>
      <c r="F337" s="9" t="s">
        <v>1063</v>
      </c>
      <c r="G337" s="9" t="s">
        <v>1647</v>
      </c>
      <c r="H337" s="14">
        <v>3</v>
      </c>
      <c r="I337" s="9" t="s">
        <v>1405</v>
      </c>
      <c r="J337" s="11" t="str">
        <f t="shared" si="5"/>
        <v>Chave</v>
      </c>
    </row>
    <row r="338" spans="1:10" ht="15" customHeight="1" x14ac:dyDescent="0.3">
      <c r="A338" s="9" t="s">
        <v>1369</v>
      </c>
      <c r="B338" s="9" t="s">
        <v>1063</v>
      </c>
      <c r="C338" s="9" t="s">
        <v>1648</v>
      </c>
      <c r="D338" s="14">
        <v>4</v>
      </c>
      <c r="E338" s="9" t="s">
        <v>1404</v>
      </c>
      <c r="F338" s="9" t="s">
        <v>1063</v>
      </c>
      <c r="G338" s="9" t="s">
        <v>1648</v>
      </c>
      <c r="H338" s="14">
        <v>4</v>
      </c>
      <c r="I338" s="9" t="s">
        <v>1405</v>
      </c>
      <c r="J338" s="11" t="str">
        <f t="shared" si="5"/>
        <v>Pergunta_Porque</v>
      </c>
    </row>
    <row r="339" spans="1:10" ht="15" customHeight="1" x14ac:dyDescent="0.3">
      <c r="A339" s="9" t="s">
        <v>1369</v>
      </c>
      <c r="B339" s="9" t="s">
        <v>1063</v>
      </c>
      <c r="C339" s="9" t="s">
        <v>1649</v>
      </c>
      <c r="D339" s="14">
        <v>5</v>
      </c>
      <c r="E339" s="9" t="s">
        <v>1404</v>
      </c>
      <c r="F339" s="9" t="s">
        <v>1063</v>
      </c>
      <c r="G339" s="9" t="s">
        <v>1649</v>
      </c>
      <c r="H339" s="14">
        <v>5</v>
      </c>
      <c r="I339" s="9" t="s">
        <v>1405</v>
      </c>
      <c r="J339" s="11" t="str">
        <f t="shared" si="5"/>
        <v>Resposta</v>
      </c>
    </row>
    <row r="340" spans="1:10" ht="15" customHeight="1" x14ac:dyDescent="0.3">
      <c r="A340" s="9" t="s">
        <v>1369</v>
      </c>
      <c r="B340" s="9" t="s">
        <v>1063</v>
      </c>
      <c r="C340" s="9" t="s">
        <v>431</v>
      </c>
      <c r="D340" s="14">
        <v>6</v>
      </c>
      <c r="E340" s="9" t="s">
        <v>1404</v>
      </c>
      <c r="F340" s="9" t="s">
        <v>1063</v>
      </c>
      <c r="G340" s="9" t="s">
        <v>431</v>
      </c>
      <c r="H340" s="14">
        <v>6</v>
      </c>
      <c r="I340" s="9" t="s">
        <v>1405</v>
      </c>
      <c r="J340" s="11" t="str">
        <f t="shared" si="5"/>
        <v>Evidencia</v>
      </c>
    </row>
    <row r="341" spans="1:10" ht="15" customHeight="1" x14ac:dyDescent="0.3">
      <c r="A341" s="9" t="s">
        <v>1369</v>
      </c>
      <c r="B341" s="9" t="s">
        <v>1063</v>
      </c>
      <c r="C341" s="9" t="s">
        <v>1650</v>
      </c>
      <c r="D341" s="14">
        <v>7</v>
      </c>
      <c r="E341" s="9" t="s">
        <v>1404</v>
      </c>
      <c r="F341" s="9" t="s">
        <v>1063</v>
      </c>
      <c r="G341" s="9" t="s">
        <v>1650</v>
      </c>
      <c r="H341" s="14">
        <v>7</v>
      </c>
      <c r="I341" s="9" t="s">
        <v>1405</v>
      </c>
      <c r="J341" s="11" t="str">
        <f t="shared" si="5"/>
        <v>E_Causa_Raiz</v>
      </c>
    </row>
    <row r="342" spans="1:10" ht="15" customHeight="1" x14ac:dyDescent="0.3">
      <c r="A342" s="9" t="s">
        <v>1371</v>
      </c>
      <c r="B342" s="9" t="s">
        <v>1373</v>
      </c>
      <c r="C342" s="9" t="s">
        <v>153</v>
      </c>
      <c r="D342" s="14">
        <v>1</v>
      </c>
      <c r="E342" s="9" t="s">
        <v>1404</v>
      </c>
      <c r="F342" s="9" t="s">
        <v>1373</v>
      </c>
      <c r="G342" s="9" t="s">
        <v>153</v>
      </c>
      <c r="H342" s="14">
        <v>1</v>
      </c>
      <c r="I342" s="9" t="s">
        <v>1405</v>
      </c>
      <c r="J342" s="11" t="str">
        <f t="shared" si="5"/>
        <v>ID_Requisito</v>
      </c>
    </row>
    <row r="343" spans="1:10" ht="15" customHeight="1" x14ac:dyDescent="0.3">
      <c r="A343" s="9" t="s">
        <v>1371</v>
      </c>
      <c r="B343" s="9" t="s">
        <v>1373</v>
      </c>
      <c r="C343" s="9" t="s">
        <v>154</v>
      </c>
      <c r="D343" s="14">
        <v>2</v>
      </c>
      <c r="E343" s="9" t="s">
        <v>1404</v>
      </c>
      <c r="F343" s="9" t="s">
        <v>1373</v>
      </c>
      <c r="G343" s="9" t="s">
        <v>154</v>
      </c>
      <c r="H343" s="14">
        <v>2</v>
      </c>
      <c r="I343" s="9" t="s">
        <v>1405</v>
      </c>
      <c r="J343" s="11" t="str">
        <f t="shared" si="5"/>
        <v>Clausula</v>
      </c>
    </row>
    <row r="344" spans="1:10" ht="15" customHeight="1" x14ac:dyDescent="0.3">
      <c r="A344" s="9" t="s">
        <v>1371</v>
      </c>
      <c r="B344" s="9" t="s">
        <v>1373</v>
      </c>
      <c r="C344" s="9" t="s">
        <v>155</v>
      </c>
      <c r="D344" s="14">
        <v>3</v>
      </c>
      <c r="E344" s="9" t="s">
        <v>1404</v>
      </c>
      <c r="F344" s="9" t="s">
        <v>1373</v>
      </c>
      <c r="G344" s="9" t="s">
        <v>155</v>
      </c>
      <c r="H344" s="14">
        <v>3</v>
      </c>
      <c r="I344" s="9" t="s">
        <v>1405</v>
      </c>
      <c r="J344" s="11" t="str">
        <f t="shared" si="5"/>
        <v>Grupo</v>
      </c>
    </row>
    <row r="345" spans="1:10" ht="15" customHeight="1" x14ac:dyDescent="0.3">
      <c r="A345" s="9" t="s">
        <v>1371</v>
      </c>
      <c r="B345" s="9" t="s">
        <v>1373</v>
      </c>
      <c r="C345" s="9" t="s">
        <v>156</v>
      </c>
      <c r="D345" s="14">
        <v>4</v>
      </c>
      <c r="E345" s="9" t="s">
        <v>1404</v>
      </c>
      <c r="F345" s="9" t="s">
        <v>1373</v>
      </c>
      <c r="G345" s="9" t="s">
        <v>156</v>
      </c>
      <c r="H345" s="14">
        <v>4</v>
      </c>
      <c r="I345" s="9" t="s">
        <v>1405</v>
      </c>
      <c r="J345" s="11" t="str">
        <f t="shared" si="5"/>
        <v>Requisito</v>
      </c>
    </row>
    <row r="346" spans="1:10" ht="15" customHeight="1" x14ac:dyDescent="0.3">
      <c r="A346" s="9" t="s">
        <v>1371</v>
      </c>
      <c r="B346" s="9" t="s">
        <v>1373</v>
      </c>
      <c r="C346" s="9" t="s">
        <v>157</v>
      </c>
      <c r="D346" s="14">
        <v>5</v>
      </c>
      <c r="E346" s="9" t="s">
        <v>1404</v>
      </c>
      <c r="F346" s="9" t="s">
        <v>1373</v>
      </c>
      <c r="G346" s="9" t="s">
        <v>1651</v>
      </c>
      <c r="H346" s="14">
        <v>5</v>
      </c>
      <c r="I346" s="9" t="s">
        <v>1413</v>
      </c>
      <c r="J346" s="11" t="str">
        <f t="shared" si="5"/>
        <v>Novo_ou_Alterado_2026</v>
      </c>
    </row>
    <row r="347" spans="1:10" ht="15" customHeight="1" x14ac:dyDescent="0.3">
      <c r="A347" s="9" t="s">
        <v>1371</v>
      </c>
      <c r="B347" s="9" t="s">
        <v>1373</v>
      </c>
      <c r="C347" s="9" t="s">
        <v>158</v>
      </c>
      <c r="D347" s="14">
        <v>6</v>
      </c>
      <c r="E347" s="9" t="s">
        <v>1404</v>
      </c>
      <c r="F347" s="9" t="s">
        <v>1373</v>
      </c>
      <c r="G347" s="9" t="s">
        <v>158</v>
      </c>
      <c r="H347" s="14">
        <v>6</v>
      </c>
      <c r="I347" s="9" t="s">
        <v>1405</v>
      </c>
      <c r="J347" s="11" t="str">
        <f t="shared" si="5"/>
        <v>Informacao_Documentada</v>
      </c>
    </row>
    <row r="348" spans="1:10" ht="15" customHeight="1" x14ac:dyDescent="0.3">
      <c r="A348" s="9" t="s">
        <v>1371</v>
      </c>
      <c r="B348" s="9" t="s">
        <v>1373</v>
      </c>
      <c r="C348" s="9" t="s">
        <v>159</v>
      </c>
      <c r="D348" s="14">
        <v>7</v>
      </c>
      <c r="E348" s="9" t="s">
        <v>1404</v>
      </c>
      <c r="F348" s="9" t="s">
        <v>1373</v>
      </c>
      <c r="G348" s="9" t="s">
        <v>159</v>
      </c>
      <c r="H348" s="14">
        <v>7</v>
      </c>
      <c r="I348" s="9" t="s">
        <v>1405</v>
      </c>
      <c r="J348" s="11" t="str">
        <f t="shared" si="5"/>
        <v>Documento</v>
      </c>
    </row>
    <row r="349" spans="1:10" ht="15" customHeight="1" x14ac:dyDescent="0.3">
      <c r="A349" s="9" t="s">
        <v>1371</v>
      </c>
      <c r="B349" s="9" t="s">
        <v>1373</v>
      </c>
      <c r="C349" s="9" t="s">
        <v>160</v>
      </c>
      <c r="D349" s="14">
        <v>8</v>
      </c>
      <c r="E349" s="9" t="s">
        <v>1404</v>
      </c>
      <c r="F349" s="9" t="s">
        <v>1373</v>
      </c>
      <c r="G349" s="9" t="s">
        <v>160</v>
      </c>
      <c r="H349" s="14">
        <v>8</v>
      </c>
      <c r="I349" s="9" t="s">
        <v>1405</v>
      </c>
      <c r="J349" s="11" t="str">
        <f t="shared" si="5"/>
        <v>Evidencia_Registo_Tabelas</v>
      </c>
    </row>
    <row r="350" spans="1:10" ht="15" customHeight="1" x14ac:dyDescent="0.3">
      <c r="A350" s="9" t="s">
        <v>1371</v>
      </c>
      <c r="B350" s="9" t="s">
        <v>1373</v>
      </c>
      <c r="C350" s="9" t="s">
        <v>14</v>
      </c>
      <c r="D350" s="14">
        <v>9</v>
      </c>
      <c r="E350" s="9" t="s">
        <v>1404</v>
      </c>
      <c r="F350" s="9" t="s">
        <v>1373</v>
      </c>
      <c r="G350" s="9" t="s">
        <v>14</v>
      </c>
      <c r="H350" s="14">
        <v>9</v>
      </c>
      <c r="I350" s="9" t="s">
        <v>1405</v>
      </c>
      <c r="J350" s="11" t="str">
        <f t="shared" si="5"/>
        <v>Estado</v>
      </c>
    </row>
    <row r="351" spans="1:10" ht="15" customHeight="1" x14ac:dyDescent="0.3">
      <c r="A351" s="9" t="s">
        <v>1371</v>
      </c>
      <c r="B351" s="9" t="s">
        <v>1373</v>
      </c>
      <c r="C351" s="9" t="s">
        <v>161</v>
      </c>
      <c r="D351" s="14">
        <v>10</v>
      </c>
      <c r="E351" s="9" t="s">
        <v>1404</v>
      </c>
      <c r="F351" s="9" t="s">
        <v>1373</v>
      </c>
      <c r="G351" s="9" t="s">
        <v>161</v>
      </c>
      <c r="H351" s="14">
        <v>10</v>
      </c>
      <c r="I351" s="9" t="s">
        <v>1405</v>
      </c>
      <c r="J351" s="11" t="str">
        <f t="shared" si="5"/>
        <v>Observacao</v>
      </c>
    </row>
    <row r="352" spans="1:10" ht="15" customHeight="1" x14ac:dyDescent="0.3">
      <c r="A352" s="9" t="s">
        <v>1371</v>
      </c>
      <c r="B352" s="9" t="s">
        <v>1373</v>
      </c>
      <c r="C352" s="9" t="s">
        <v>162</v>
      </c>
      <c r="D352" s="14">
        <v>11</v>
      </c>
      <c r="E352" s="9" t="s">
        <v>1404</v>
      </c>
      <c r="F352" s="9" t="s">
        <v>1373</v>
      </c>
      <c r="G352" s="9" t="s">
        <v>162</v>
      </c>
      <c r="H352" s="14">
        <v>11</v>
      </c>
      <c r="I352" s="9" t="s">
        <v>1405</v>
      </c>
      <c r="J352" s="11" t="str">
        <f t="shared" si="5"/>
        <v>Acao</v>
      </c>
    </row>
    <row r="353" spans="1:10" ht="15" customHeight="1" x14ac:dyDescent="0.3">
      <c r="A353" s="9" t="s">
        <v>1371</v>
      </c>
      <c r="B353" s="9" t="s">
        <v>1373</v>
      </c>
      <c r="C353" s="9" t="s">
        <v>163</v>
      </c>
      <c r="D353" s="14">
        <v>12</v>
      </c>
      <c r="E353" s="9" t="s">
        <v>1404</v>
      </c>
      <c r="F353" s="9" t="s">
        <v>1373</v>
      </c>
      <c r="G353" s="9" t="s">
        <v>163</v>
      </c>
      <c r="H353" s="14">
        <v>12</v>
      </c>
      <c r="I353" s="9" t="s">
        <v>1405</v>
      </c>
      <c r="J353" s="11" t="str">
        <f t="shared" si="5"/>
        <v>Pontos</v>
      </c>
    </row>
    <row r="354" spans="1:10" ht="15" customHeight="1" x14ac:dyDescent="0.3">
      <c r="A354" s="9" t="s">
        <v>1371</v>
      </c>
      <c r="B354" s="9" t="s">
        <v>1373</v>
      </c>
      <c r="C354" s="9" t="s">
        <v>164</v>
      </c>
      <c r="D354" s="14">
        <v>13</v>
      </c>
      <c r="E354" s="9" t="s">
        <v>1404</v>
      </c>
      <c r="F354" s="9" t="s">
        <v>1373</v>
      </c>
      <c r="G354" s="9"/>
      <c r="H354" s="14"/>
      <c r="I354" s="9" t="s">
        <v>1420</v>
      </c>
      <c r="J354" s="11" t="str">
        <f t="shared" si="5"/>
        <v>Classe</v>
      </c>
    </row>
    <row r="355" spans="1:10" ht="15" customHeight="1" x14ac:dyDescent="0.3">
      <c r="A355" s="9" t="s">
        <v>1375</v>
      </c>
      <c r="B355" s="9" t="s">
        <v>1377</v>
      </c>
      <c r="C355" s="9" t="s">
        <v>723</v>
      </c>
      <c r="D355" s="14">
        <v>1</v>
      </c>
      <c r="E355" s="9" t="s">
        <v>1404</v>
      </c>
      <c r="F355" s="9" t="s">
        <v>1377</v>
      </c>
      <c r="G355" s="9" t="s">
        <v>723</v>
      </c>
      <c r="H355" s="14">
        <v>1</v>
      </c>
      <c r="I355" s="9" t="s">
        <v>1405</v>
      </c>
      <c r="J355" s="11" t="str">
        <f t="shared" si="5"/>
        <v>Assunto</v>
      </c>
    </row>
    <row r="356" spans="1:10" ht="15" customHeight="1" x14ac:dyDescent="0.3">
      <c r="A356" s="9" t="s">
        <v>1375</v>
      </c>
      <c r="B356" s="9" t="s">
        <v>1377</v>
      </c>
      <c r="C356" s="9" t="s">
        <v>724</v>
      </c>
      <c r="D356" s="14">
        <v>2</v>
      </c>
      <c r="E356" s="9" t="s">
        <v>1404</v>
      </c>
      <c r="F356" s="9" t="s">
        <v>1377</v>
      </c>
      <c r="G356" s="9" t="s">
        <v>724</v>
      </c>
      <c r="H356" s="14">
        <v>2</v>
      </c>
      <c r="I356" s="9" t="s">
        <v>1405</v>
      </c>
      <c r="J356" s="11" t="str">
        <f t="shared" si="5"/>
        <v>Registo_Dono</v>
      </c>
    </row>
    <row r="357" spans="1:10" ht="15" customHeight="1" x14ac:dyDescent="0.3">
      <c r="A357" s="9" t="s">
        <v>1375</v>
      </c>
      <c r="B357" s="9" t="s">
        <v>1377</v>
      </c>
      <c r="C357" s="9" t="s">
        <v>725</v>
      </c>
      <c r="D357" s="14">
        <v>3</v>
      </c>
      <c r="E357" s="9" t="s">
        <v>1404</v>
      </c>
      <c r="F357" s="9" t="s">
        <v>1377</v>
      </c>
      <c r="G357" s="9" t="s">
        <v>725</v>
      </c>
      <c r="H357" s="14">
        <v>3</v>
      </c>
      <c r="I357" s="9" t="s">
        <v>1405</v>
      </c>
      <c r="J357" s="11" t="str">
        <f t="shared" si="5"/>
        <v>Tabelas_Donas</v>
      </c>
    </row>
    <row r="358" spans="1:10" ht="15" customHeight="1" x14ac:dyDescent="0.3">
      <c r="A358" s="9" t="s">
        <v>1375</v>
      </c>
      <c r="B358" s="9" t="s">
        <v>1377</v>
      </c>
      <c r="C358" s="9" t="s">
        <v>726</v>
      </c>
      <c r="D358" s="14">
        <v>4</v>
      </c>
      <c r="E358" s="9" t="s">
        <v>1404</v>
      </c>
      <c r="F358" s="9" t="s">
        <v>1377</v>
      </c>
      <c r="G358" s="9" t="s">
        <v>726</v>
      </c>
      <c r="H358" s="14">
        <v>4</v>
      </c>
      <c r="I358" s="9" t="s">
        <v>1405</v>
      </c>
      <c r="J358" s="11" t="str">
        <f t="shared" si="5"/>
        <v>So_Referenciado_Em</v>
      </c>
    </row>
    <row r="359" spans="1:10" ht="15" customHeight="1" x14ac:dyDescent="0.3">
      <c r="A359" s="9" t="s">
        <v>1375</v>
      </c>
      <c r="B359" s="9" t="s">
        <v>1377</v>
      </c>
      <c r="C359" s="9" t="s">
        <v>727</v>
      </c>
      <c r="D359" s="14">
        <v>5</v>
      </c>
      <c r="E359" s="9" t="s">
        <v>1404</v>
      </c>
      <c r="F359" s="9" t="s">
        <v>1377</v>
      </c>
      <c r="G359" s="9" t="s">
        <v>727</v>
      </c>
      <c r="H359" s="14">
        <v>5</v>
      </c>
      <c r="I359" s="9" t="s">
        <v>1405</v>
      </c>
      <c r="J359" s="11" t="str">
        <f t="shared" si="5"/>
        <v>Regra_Nota</v>
      </c>
    </row>
    <row r="360" spans="1:10" ht="15" customHeight="1" x14ac:dyDescent="0.3">
      <c r="A360" s="9" t="s">
        <v>1378</v>
      </c>
      <c r="B360" s="9" t="s">
        <v>805</v>
      </c>
      <c r="C360" s="9" t="s">
        <v>806</v>
      </c>
      <c r="D360" s="14">
        <v>1</v>
      </c>
      <c r="E360" s="9" t="s">
        <v>1652</v>
      </c>
      <c r="F360" s="9" t="s">
        <v>805</v>
      </c>
      <c r="G360" s="9" t="s">
        <v>806</v>
      </c>
      <c r="H360" s="14">
        <v>1</v>
      </c>
      <c r="I360" s="9" t="s">
        <v>1405</v>
      </c>
      <c r="J360" s="11" t="str">
        <f t="shared" si="5"/>
        <v>ID_Clima</v>
      </c>
    </row>
    <row r="361" spans="1:10" ht="15" customHeight="1" x14ac:dyDescent="0.3">
      <c r="A361" s="9" t="s">
        <v>1378</v>
      </c>
      <c r="B361" s="9" t="s">
        <v>805</v>
      </c>
      <c r="C361" s="9" t="s">
        <v>1653</v>
      </c>
      <c r="D361" s="14">
        <v>2</v>
      </c>
      <c r="E361" s="9" t="s">
        <v>1652</v>
      </c>
      <c r="F361" s="9" t="s">
        <v>805</v>
      </c>
      <c r="G361" s="9" t="s">
        <v>1653</v>
      </c>
      <c r="H361" s="14">
        <v>2</v>
      </c>
      <c r="I361" s="9" t="s">
        <v>1405</v>
      </c>
      <c r="J361" s="11" t="str">
        <f t="shared" si="5"/>
        <v>Pergunta</v>
      </c>
    </row>
    <row r="362" spans="1:10" ht="15" customHeight="1" x14ac:dyDescent="0.3">
      <c r="A362" s="9" t="s">
        <v>1378</v>
      </c>
      <c r="B362" s="9" t="s">
        <v>805</v>
      </c>
      <c r="C362" s="9" t="s">
        <v>1649</v>
      </c>
      <c r="D362" s="14">
        <v>3</v>
      </c>
      <c r="E362" s="9" t="s">
        <v>1652</v>
      </c>
      <c r="F362" s="9" t="s">
        <v>805</v>
      </c>
      <c r="G362" s="9" t="s">
        <v>1649</v>
      </c>
      <c r="H362" s="14">
        <v>3</v>
      </c>
      <c r="I362" s="9" t="s">
        <v>1405</v>
      </c>
      <c r="J362" s="11" t="str">
        <f t="shared" si="5"/>
        <v>Resposta</v>
      </c>
    </row>
    <row r="363" spans="1:10" ht="15" customHeight="1" x14ac:dyDescent="0.3">
      <c r="A363" s="9" t="s">
        <v>1378</v>
      </c>
      <c r="B363" s="9" t="s">
        <v>805</v>
      </c>
      <c r="C363" s="9" t="s">
        <v>1602</v>
      </c>
      <c r="D363" s="14">
        <v>4</v>
      </c>
      <c r="E363" s="9" t="s">
        <v>1652</v>
      </c>
      <c r="F363" s="9" t="s">
        <v>805</v>
      </c>
      <c r="G363" s="9" t="s">
        <v>1602</v>
      </c>
      <c r="H363" s="14">
        <v>4</v>
      </c>
      <c r="I363" s="9" t="s">
        <v>1405</v>
      </c>
      <c r="J363" s="11" t="str">
        <f t="shared" si="5"/>
        <v>Justificacao</v>
      </c>
    </row>
    <row r="364" spans="1:10" ht="15" customHeight="1" x14ac:dyDescent="0.3">
      <c r="A364" s="9" t="s">
        <v>1378</v>
      </c>
      <c r="B364" s="9" t="s">
        <v>805</v>
      </c>
      <c r="C364" s="9" t="s">
        <v>1654</v>
      </c>
      <c r="D364" s="14">
        <v>5</v>
      </c>
      <c r="E364" s="9" t="s">
        <v>1652</v>
      </c>
      <c r="F364" s="9" t="s">
        <v>805</v>
      </c>
      <c r="G364" s="9" t="s">
        <v>1654</v>
      </c>
      <c r="H364" s="14">
        <v>5</v>
      </c>
      <c r="I364" s="9" t="s">
        <v>1405</v>
      </c>
      <c r="J364" s="11" t="str">
        <f t="shared" si="5"/>
        <v>Ligacoes</v>
      </c>
    </row>
    <row r="365" spans="1:10" ht="15" customHeight="1" x14ac:dyDescent="0.3">
      <c r="A365" s="9" t="s">
        <v>1380</v>
      </c>
      <c r="B365" s="9" t="s">
        <v>809</v>
      </c>
      <c r="C365" s="9" t="s">
        <v>810</v>
      </c>
      <c r="D365" s="14">
        <v>1</v>
      </c>
      <c r="E365" s="9" t="s">
        <v>1652</v>
      </c>
      <c r="F365" s="9" t="s">
        <v>809</v>
      </c>
      <c r="G365" s="9" t="s">
        <v>810</v>
      </c>
      <c r="H365" s="14">
        <v>1</v>
      </c>
      <c r="I365" s="9" t="s">
        <v>1405</v>
      </c>
      <c r="J365" s="11" t="str">
        <f t="shared" si="5"/>
        <v>Elemento</v>
      </c>
    </row>
    <row r="366" spans="1:10" ht="15" customHeight="1" x14ac:dyDescent="0.3">
      <c r="A366" s="9" t="s">
        <v>1380</v>
      </c>
      <c r="B366" s="9" t="s">
        <v>809</v>
      </c>
      <c r="C366" s="9" t="s">
        <v>93</v>
      </c>
      <c r="D366" s="14">
        <v>2</v>
      </c>
      <c r="E366" s="9" t="s">
        <v>1652</v>
      </c>
      <c r="F366" s="9" t="s">
        <v>809</v>
      </c>
      <c r="G366" s="9" t="s">
        <v>93</v>
      </c>
      <c r="H366" s="14">
        <v>2</v>
      </c>
      <c r="I366" s="9" t="s">
        <v>1405</v>
      </c>
      <c r="J366" s="11" t="str">
        <f t="shared" si="5"/>
        <v>Conteudo</v>
      </c>
    </row>
    <row r="367" spans="1:10" ht="15" customHeight="1" x14ac:dyDescent="0.3">
      <c r="A367" s="9" t="s">
        <v>1382</v>
      </c>
      <c r="B367" s="9" t="s">
        <v>819</v>
      </c>
      <c r="C367" s="9" t="s">
        <v>633</v>
      </c>
      <c r="D367" s="14">
        <v>1</v>
      </c>
      <c r="E367" s="9" t="s">
        <v>1652</v>
      </c>
      <c r="F367" s="9" t="s">
        <v>819</v>
      </c>
      <c r="G367" s="9" t="s">
        <v>633</v>
      </c>
      <c r="H367" s="14">
        <v>1</v>
      </c>
      <c r="I367" s="9" t="s">
        <v>1405</v>
      </c>
      <c r="J367" s="11" t="str">
        <f t="shared" si="5"/>
        <v>ID</v>
      </c>
    </row>
    <row r="368" spans="1:10" ht="15" customHeight="1" x14ac:dyDescent="0.3">
      <c r="A368" s="9" t="s">
        <v>1382</v>
      </c>
      <c r="B368" s="9" t="s">
        <v>819</v>
      </c>
      <c r="C368" s="9" t="s">
        <v>1655</v>
      </c>
      <c r="D368" s="14">
        <v>2</v>
      </c>
      <c r="E368" s="9" t="s">
        <v>1652</v>
      </c>
      <c r="F368" s="9" t="s">
        <v>819</v>
      </c>
      <c r="G368" s="9" t="s">
        <v>1655</v>
      </c>
      <c r="H368" s="14">
        <v>2</v>
      </c>
      <c r="I368" s="9" t="s">
        <v>1405</v>
      </c>
      <c r="J368" s="11" t="str">
        <f t="shared" si="5"/>
        <v>Alinea</v>
      </c>
    </row>
    <row r="369" spans="1:10" ht="15" customHeight="1" x14ac:dyDescent="0.3">
      <c r="A369" s="9" t="s">
        <v>1382</v>
      </c>
      <c r="B369" s="9" t="s">
        <v>819</v>
      </c>
      <c r="C369" s="9" t="s">
        <v>1428</v>
      </c>
      <c r="D369" s="14">
        <v>3</v>
      </c>
      <c r="E369" s="9" t="s">
        <v>1652</v>
      </c>
      <c r="F369" s="9" t="s">
        <v>819</v>
      </c>
      <c r="G369" s="9" t="s">
        <v>1428</v>
      </c>
      <c r="H369" s="14">
        <v>3</v>
      </c>
      <c r="I369" s="9" t="s">
        <v>1405</v>
      </c>
      <c r="J369" s="11" t="str">
        <f t="shared" si="5"/>
        <v>Compromisso</v>
      </c>
    </row>
    <row r="370" spans="1:10" ht="15" customHeight="1" x14ac:dyDescent="0.3">
      <c r="A370" s="9" t="s">
        <v>1382</v>
      </c>
      <c r="B370" s="9" t="s">
        <v>819</v>
      </c>
      <c r="C370" s="9" t="s">
        <v>1656</v>
      </c>
      <c r="D370" s="14">
        <v>4</v>
      </c>
      <c r="E370" s="9" t="s">
        <v>1652</v>
      </c>
      <c r="F370" s="9" t="s">
        <v>819</v>
      </c>
      <c r="G370" s="9" t="s">
        <v>1656</v>
      </c>
      <c r="H370" s="14">
        <v>4</v>
      </c>
      <c r="I370" s="9" t="s">
        <v>1405</v>
      </c>
      <c r="J370" s="11" t="str">
        <f t="shared" si="5"/>
        <v>Como_Demonstra</v>
      </c>
    </row>
    <row r="371" spans="1:10" ht="15" customHeight="1" x14ac:dyDescent="0.3">
      <c r="A371" s="9" t="s">
        <v>1382</v>
      </c>
      <c r="B371" s="9" t="s">
        <v>819</v>
      </c>
      <c r="C371" s="9" t="s">
        <v>431</v>
      </c>
      <c r="D371" s="14">
        <v>5</v>
      </c>
      <c r="E371" s="9" t="s">
        <v>1652</v>
      </c>
      <c r="F371" s="9" t="s">
        <v>819</v>
      </c>
      <c r="G371" s="9" t="s">
        <v>431</v>
      </c>
      <c r="H371" s="14">
        <v>5</v>
      </c>
      <c r="I371" s="9" t="s">
        <v>1405</v>
      </c>
      <c r="J371" s="11" t="str">
        <f t="shared" si="5"/>
        <v>Evidencia</v>
      </c>
    </row>
    <row r="372" spans="1:10" ht="15" customHeight="1" x14ac:dyDescent="0.3">
      <c r="A372" s="9" t="s">
        <v>1382</v>
      </c>
      <c r="B372" s="9" t="s">
        <v>819</v>
      </c>
      <c r="C372" s="9" t="s">
        <v>347</v>
      </c>
      <c r="D372" s="14">
        <v>6</v>
      </c>
      <c r="E372" s="9" t="s">
        <v>1652</v>
      </c>
      <c r="F372" s="9" t="s">
        <v>819</v>
      </c>
      <c r="G372" s="9" t="s">
        <v>347</v>
      </c>
      <c r="H372" s="14">
        <v>6</v>
      </c>
      <c r="I372" s="9" t="s">
        <v>1405</v>
      </c>
      <c r="J372" s="11" t="str">
        <f t="shared" si="5"/>
        <v>Responsavel</v>
      </c>
    </row>
    <row r="373" spans="1:10" ht="15" customHeight="1" x14ac:dyDescent="0.3">
      <c r="A373" s="9" t="s">
        <v>1382</v>
      </c>
      <c r="B373" s="9" t="s">
        <v>819</v>
      </c>
      <c r="C373" s="9" t="s">
        <v>14</v>
      </c>
      <c r="D373" s="14">
        <v>7</v>
      </c>
      <c r="E373" s="9" t="s">
        <v>1652</v>
      </c>
      <c r="F373" s="9" t="s">
        <v>819</v>
      </c>
      <c r="G373" s="9" t="s">
        <v>14</v>
      </c>
      <c r="H373" s="14">
        <v>7</v>
      </c>
      <c r="I373" s="9" t="s">
        <v>1405</v>
      </c>
      <c r="J373" s="11" t="str">
        <f t="shared" si="5"/>
        <v>Estado</v>
      </c>
    </row>
    <row r="374" spans="1:10" ht="15" customHeight="1" x14ac:dyDescent="0.3">
      <c r="A374" s="9" t="s">
        <v>1382</v>
      </c>
      <c r="B374" s="9" t="s">
        <v>819</v>
      </c>
      <c r="C374" s="9" t="s">
        <v>349</v>
      </c>
      <c r="D374" s="14">
        <v>8</v>
      </c>
      <c r="E374" s="9" t="s">
        <v>1652</v>
      </c>
      <c r="F374" s="9" t="s">
        <v>819</v>
      </c>
      <c r="G374" s="9" t="s">
        <v>349</v>
      </c>
      <c r="H374" s="14">
        <v>8</v>
      </c>
      <c r="I374" s="9" t="s">
        <v>1405</v>
      </c>
      <c r="J374" s="11" t="str">
        <f t="shared" si="5"/>
        <v>Frequencia</v>
      </c>
    </row>
    <row r="375" spans="1:10" ht="15" customHeight="1" x14ac:dyDescent="0.3">
      <c r="A375" s="9" t="s">
        <v>1382</v>
      </c>
      <c r="B375" s="9" t="s">
        <v>819</v>
      </c>
      <c r="C375" s="9"/>
      <c r="D375" s="14"/>
      <c r="E375" s="9" t="s">
        <v>1652</v>
      </c>
      <c r="F375" s="9" t="s">
        <v>819</v>
      </c>
      <c r="G375" s="9" t="s">
        <v>1657</v>
      </c>
      <c r="H375" s="14">
        <v>9</v>
      </c>
      <c r="I375" s="9" t="s">
        <v>1658</v>
      </c>
      <c r="J375" s="11" t="str">
        <f t="shared" si="5"/>
        <v>Novo_2026</v>
      </c>
    </row>
    <row r="376" spans="1:10" ht="15" customHeight="1" x14ac:dyDescent="0.3">
      <c r="A376" s="9" t="s">
        <v>1384</v>
      </c>
      <c r="B376" s="9" t="s">
        <v>952</v>
      </c>
      <c r="C376" s="9" t="s">
        <v>953</v>
      </c>
      <c r="D376" s="14">
        <v>1</v>
      </c>
      <c r="E376" s="9" t="s">
        <v>1652</v>
      </c>
      <c r="F376" s="9" t="s">
        <v>952</v>
      </c>
      <c r="G376" s="9" t="s">
        <v>953</v>
      </c>
      <c r="H376" s="14">
        <v>1</v>
      </c>
      <c r="I376" s="9" t="s">
        <v>1405</v>
      </c>
      <c r="J376" s="11" t="str">
        <f t="shared" si="5"/>
        <v>ID_Sessao</v>
      </c>
    </row>
    <row r="377" spans="1:10" ht="15" customHeight="1" x14ac:dyDescent="0.3">
      <c r="A377" s="9" t="s">
        <v>1384</v>
      </c>
      <c r="B377" s="9" t="s">
        <v>952</v>
      </c>
      <c r="C377" s="9" t="s">
        <v>1659</v>
      </c>
      <c r="D377" s="14">
        <v>2</v>
      </c>
      <c r="E377" s="9" t="s">
        <v>1652</v>
      </c>
      <c r="F377" s="9" t="s">
        <v>952</v>
      </c>
      <c r="G377" s="9" t="s">
        <v>1659</v>
      </c>
      <c r="H377" s="14">
        <v>2</v>
      </c>
      <c r="I377" s="9" t="s">
        <v>1405</v>
      </c>
      <c r="J377" s="11" t="str">
        <f t="shared" si="5"/>
        <v>Data</v>
      </c>
    </row>
    <row r="378" spans="1:10" ht="15" customHeight="1" x14ac:dyDescent="0.3">
      <c r="A378" s="9" t="s">
        <v>1384</v>
      </c>
      <c r="B378" s="9" t="s">
        <v>952</v>
      </c>
      <c r="C378" s="9" t="s">
        <v>325</v>
      </c>
      <c r="D378" s="14">
        <v>3</v>
      </c>
      <c r="E378" s="9" t="s">
        <v>1652</v>
      </c>
      <c r="F378" s="9" t="s">
        <v>952</v>
      </c>
      <c r="G378" s="9" t="s">
        <v>325</v>
      </c>
      <c r="H378" s="14">
        <v>3</v>
      </c>
      <c r="I378" s="9" t="s">
        <v>1405</v>
      </c>
      <c r="J378" s="11" t="str">
        <f t="shared" si="5"/>
        <v>Tema</v>
      </c>
    </row>
    <row r="379" spans="1:10" ht="15" customHeight="1" x14ac:dyDescent="0.3">
      <c r="A379" s="9" t="s">
        <v>1384</v>
      </c>
      <c r="B379" s="9" t="s">
        <v>952</v>
      </c>
      <c r="C379" s="9" t="s">
        <v>1660</v>
      </c>
      <c r="D379" s="14">
        <v>4</v>
      </c>
      <c r="E379" s="9" t="s">
        <v>1652</v>
      </c>
      <c r="F379" s="9" t="s">
        <v>952</v>
      </c>
      <c r="G379" s="9" t="s">
        <v>1660</v>
      </c>
      <c r="H379" s="14">
        <v>4</v>
      </c>
      <c r="I379" s="9" t="s">
        <v>1405</v>
      </c>
      <c r="J379" s="11" t="str">
        <f t="shared" si="5"/>
        <v>Alineas_7_3</v>
      </c>
    </row>
    <row r="380" spans="1:10" ht="15" customHeight="1" x14ac:dyDescent="0.3">
      <c r="A380" s="9" t="s">
        <v>1384</v>
      </c>
      <c r="B380" s="9" t="s">
        <v>952</v>
      </c>
      <c r="C380" s="9" t="s">
        <v>1661</v>
      </c>
      <c r="D380" s="14">
        <v>5</v>
      </c>
      <c r="E380" s="9" t="s">
        <v>1652</v>
      </c>
      <c r="F380" s="9" t="s">
        <v>952</v>
      </c>
      <c r="G380" s="9" t="s">
        <v>1661</v>
      </c>
      <c r="H380" s="14">
        <v>5</v>
      </c>
      <c r="I380" s="9" t="s">
        <v>1405</v>
      </c>
      <c r="J380" s="11" t="str">
        <f t="shared" si="5"/>
        <v>Publico</v>
      </c>
    </row>
    <row r="381" spans="1:10" ht="15" customHeight="1" x14ac:dyDescent="0.3">
      <c r="A381" s="9" t="s">
        <v>1384</v>
      </c>
      <c r="B381" s="9" t="s">
        <v>952</v>
      </c>
      <c r="C381" s="9" t="s">
        <v>1662</v>
      </c>
      <c r="D381" s="14">
        <v>6</v>
      </c>
      <c r="E381" s="9" t="s">
        <v>1652</v>
      </c>
      <c r="F381" s="9" t="s">
        <v>952</v>
      </c>
      <c r="G381" s="9" t="s">
        <v>1662</v>
      </c>
      <c r="H381" s="14">
        <v>6</v>
      </c>
      <c r="I381" s="9" t="s">
        <v>1405</v>
      </c>
      <c r="J381" s="11" t="str">
        <f t="shared" si="5"/>
        <v>Presentes</v>
      </c>
    </row>
    <row r="382" spans="1:10" ht="15" customHeight="1" x14ac:dyDescent="0.3">
      <c r="A382" s="9" t="s">
        <v>1384</v>
      </c>
      <c r="B382" s="9" t="s">
        <v>952</v>
      </c>
      <c r="C382" s="9" t="s">
        <v>1663</v>
      </c>
      <c r="D382" s="14">
        <v>7</v>
      </c>
      <c r="E382" s="9" t="s">
        <v>1652</v>
      </c>
      <c r="F382" s="9" t="s">
        <v>952</v>
      </c>
      <c r="G382" s="9" t="s">
        <v>1663</v>
      </c>
      <c r="H382" s="14">
        <v>7</v>
      </c>
      <c r="I382" s="9" t="s">
        <v>1405</v>
      </c>
      <c r="J382" s="11" t="str">
        <f t="shared" si="5"/>
        <v>Convocados</v>
      </c>
    </row>
    <row r="383" spans="1:10" ht="15" customHeight="1" x14ac:dyDescent="0.3">
      <c r="A383" s="9" t="s">
        <v>1384</v>
      </c>
      <c r="B383" s="9" t="s">
        <v>952</v>
      </c>
      <c r="C383" s="9" t="s">
        <v>1530</v>
      </c>
      <c r="D383" s="14">
        <v>8</v>
      </c>
      <c r="E383" s="9" t="s">
        <v>1652</v>
      </c>
      <c r="F383" s="9" t="s">
        <v>952</v>
      </c>
      <c r="G383" s="9" t="s">
        <v>1530</v>
      </c>
      <c r="H383" s="14">
        <v>8</v>
      </c>
      <c r="I383" s="9" t="s">
        <v>1405</v>
      </c>
      <c r="J383" s="11" t="str">
        <f t="shared" si="5"/>
        <v>Cobertura</v>
      </c>
    </row>
    <row r="384" spans="1:10" ht="15" customHeight="1" x14ac:dyDescent="0.3">
      <c r="A384" s="9" t="s">
        <v>1384</v>
      </c>
      <c r="B384" s="9" t="s">
        <v>952</v>
      </c>
      <c r="C384" s="9" t="s">
        <v>431</v>
      </c>
      <c r="D384" s="14">
        <v>9</v>
      </c>
      <c r="E384" s="9" t="s">
        <v>1652</v>
      </c>
      <c r="F384" s="9" t="s">
        <v>952</v>
      </c>
      <c r="G384" s="9" t="s">
        <v>431</v>
      </c>
      <c r="H384" s="14">
        <v>9</v>
      </c>
      <c r="I384" s="9" t="s">
        <v>1405</v>
      </c>
      <c r="J384" s="11" t="str">
        <f t="shared" si="5"/>
        <v>Evidencia</v>
      </c>
    </row>
    <row r="385" spans="1:10" ht="15" customHeight="1" x14ac:dyDescent="0.3">
      <c r="A385" s="9" t="s">
        <v>1386</v>
      </c>
      <c r="B385" s="9" t="s">
        <v>960</v>
      </c>
      <c r="C385" s="9" t="s">
        <v>961</v>
      </c>
      <c r="D385" s="14">
        <v>1</v>
      </c>
      <c r="E385" s="9" t="s">
        <v>1652</v>
      </c>
      <c r="F385" s="9" t="s">
        <v>960</v>
      </c>
      <c r="G385" s="9" t="s">
        <v>961</v>
      </c>
      <c r="H385" s="14">
        <v>1</v>
      </c>
      <c r="I385" s="9" t="s">
        <v>1405</v>
      </c>
      <c r="J385" s="11" t="str">
        <f t="shared" si="5"/>
        <v>ID_Sugestao</v>
      </c>
    </row>
    <row r="386" spans="1:10" ht="15" customHeight="1" x14ac:dyDescent="0.3">
      <c r="A386" s="9" t="s">
        <v>1386</v>
      </c>
      <c r="B386" s="9" t="s">
        <v>960</v>
      </c>
      <c r="C386" s="9" t="s">
        <v>1659</v>
      </c>
      <c r="D386" s="14">
        <v>2</v>
      </c>
      <c r="E386" s="9" t="s">
        <v>1652</v>
      </c>
      <c r="F386" s="9" t="s">
        <v>960</v>
      </c>
      <c r="G386" s="9" t="s">
        <v>1659</v>
      </c>
      <c r="H386" s="14">
        <v>2</v>
      </c>
      <c r="I386" s="9" t="s">
        <v>1405</v>
      </c>
      <c r="J386" s="11" t="str">
        <f t="shared" si="5"/>
        <v>Data</v>
      </c>
    </row>
    <row r="387" spans="1:10" ht="15" customHeight="1" x14ac:dyDescent="0.3">
      <c r="A387" s="9" t="s">
        <v>1386</v>
      </c>
      <c r="B387" s="9" t="s">
        <v>960</v>
      </c>
      <c r="C387" s="9" t="s">
        <v>1664</v>
      </c>
      <c r="D387" s="14">
        <v>3</v>
      </c>
      <c r="E387" s="9" t="s">
        <v>1652</v>
      </c>
      <c r="F387" s="9" t="s">
        <v>960</v>
      </c>
      <c r="G387" s="9" t="s">
        <v>1664</v>
      </c>
      <c r="H387" s="14">
        <v>3</v>
      </c>
      <c r="I387" s="9" t="s">
        <v>1405</v>
      </c>
      <c r="J387" s="11" t="str">
        <f t="shared" si="5"/>
        <v>Proponente</v>
      </c>
    </row>
    <row r="388" spans="1:10" ht="15" customHeight="1" x14ac:dyDescent="0.3">
      <c r="A388" s="9" t="s">
        <v>1386</v>
      </c>
      <c r="B388" s="9" t="s">
        <v>960</v>
      </c>
      <c r="C388" s="9" t="s">
        <v>1240</v>
      </c>
      <c r="D388" s="14">
        <v>4</v>
      </c>
      <c r="E388" s="9" t="s">
        <v>1652</v>
      </c>
      <c r="F388" s="9" t="s">
        <v>960</v>
      </c>
      <c r="G388" s="9" t="s">
        <v>1240</v>
      </c>
      <c r="H388" s="14">
        <v>4</v>
      </c>
      <c r="I388" s="9" t="s">
        <v>1405</v>
      </c>
      <c r="J388" s="11" t="str">
        <f t="shared" si="5"/>
        <v>Processo</v>
      </c>
    </row>
    <row r="389" spans="1:10" ht="15" customHeight="1" x14ac:dyDescent="0.3">
      <c r="A389" s="9" t="s">
        <v>1386</v>
      </c>
      <c r="B389" s="9" t="s">
        <v>960</v>
      </c>
      <c r="C389" s="9" t="s">
        <v>1665</v>
      </c>
      <c r="D389" s="14">
        <v>5</v>
      </c>
      <c r="E389" s="9" t="s">
        <v>1652</v>
      </c>
      <c r="F389" s="9" t="s">
        <v>960</v>
      </c>
      <c r="G389" s="9" t="s">
        <v>1665</v>
      </c>
      <c r="H389" s="14">
        <v>5</v>
      </c>
      <c r="I389" s="9" t="s">
        <v>1405</v>
      </c>
      <c r="J389" s="11" t="str">
        <f t="shared" ref="J389:J419" si="6">IF(A389="","",IF(G389&lt;&gt;"",G389,C389))</f>
        <v>Sugestao</v>
      </c>
    </row>
    <row r="390" spans="1:10" ht="15" customHeight="1" x14ac:dyDescent="0.3">
      <c r="A390" s="9" t="s">
        <v>1386</v>
      </c>
      <c r="B390" s="9" t="s">
        <v>960</v>
      </c>
      <c r="C390" s="9" t="s">
        <v>14</v>
      </c>
      <c r="D390" s="14">
        <v>6</v>
      </c>
      <c r="E390" s="9" t="s">
        <v>1652</v>
      </c>
      <c r="F390" s="9" t="s">
        <v>960</v>
      </c>
      <c r="G390" s="9" t="s">
        <v>14</v>
      </c>
      <c r="H390" s="14">
        <v>6</v>
      </c>
      <c r="I390" s="9" t="s">
        <v>1405</v>
      </c>
      <c r="J390" s="11" t="str">
        <f t="shared" si="6"/>
        <v>Estado</v>
      </c>
    </row>
    <row r="391" spans="1:10" ht="15" customHeight="1" x14ac:dyDescent="0.3">
      <c r="A391" s="9" t="s">
        <v>1386</v>
      </c>
      <c r="B391" s="9" t="s">
        <v>960</v>
      </c>
      <c r="C391" s="9" t="s">
        <v>1617</v>
      </c>
      <c r="D391" s="14">
        <v>7</v>
      </c>
      <c r="E391" s="9" t="s">
        <v>1652</v>
      </c>
      <c r="F391" s="9" t="s">
        <v>960</v>
      </c>
      <c r="G391" s="9" t="s">
        <v>1617</v>
      </c>
      <c r="H391" s="14">
        <v>7</v>
      </c>
      <c r="I391" s="9" t="s">
        <v>1405</v>
      </c>
      <c r="J391" s="11" t="str">
        <f t="shared" si="6"/>
        <v>Ligacao</v>
      </c>
    </row>
    <row r="392" spans="1:10" ht="15" customHeight="1" x14ac:dyDescent="0.3">
      <c r="A392" s="9" t="s">
        <v>1386</v>
      </c>
      <c r="B392" s="9" t="s">
        <v>960</v>
      </c>
      <c r="C392" s="9" t="s">
        <v>1666</v>
      </c>
      <c r="D392" s="14">
        <v>8</v>
      </c>
      <c r="E392" s="9" t="s">
        <v>1652</v>
      </c>
      <c r="F392" s="9" t="s">
        <v>960</v>
      </c>
      <c r="G392" s="9" t="s">
        <v>1666</v>
      </c>
      <c r="H392" s="14">
        <v>8</v>
      </c>
      <c r="I392" s="9" t="s">
        <v>1405</v>
      </c>
      <c r="J392" s="11" t="str">
        <f t="shared" si="6"/>
        <v>Dias_Resposta</v>
      </c>
    </row>
    <row r="393" spans="1:10" ht="15" customHeight="1" x14ac:dyDescent="0.3">
      <c r="A393" s="9" t="s">
        <v>1386</v>
      </c>
      <c r="B393" s="9" t="s">
        <v>960</v>
      </c>
      <c r="C393" s="9" t="s">
        <v>1667</v>
      </c>
      <c r="D393" s="14">
        <v>9</v>
      </c>
      <c r="E393" s="9" t="s">
        <v>1652</v>
      </c>
      <c r="F393" s="9" t="s">
        <v>960</v>
      </c>
      <c r="G393" s="9"/>
      <c r="H393" s="14"/>
      <c r="I393" s="9" t="s">
        <v>1420</v>
      </c>
      <c r="J393" s="11" t="str">
        <f t="shared" si="6"/>
        <v>Poupanca_Estimada_MWh</v>
      </c>
    </row>
    <row r="394" spans="1:10" ht="15" customHeight="1" x14ac:dyDescent="0.3">
      <c r="A394" s="9" t="s">
        <v>1386</v>
      </c>
      <c r="B394" s="9" t="s">
        <v>960</v>
      </c>
      <c r="C394" s="9" t="s">
        <v>1668</v>
      </c>
      <c r="D394" s="14">
        <v>10</v>
      </c>
      <c r="E394" s="9" t="s">
        <v>1652</v>
      </c>
      <c r="F394" s="9" t="s">
        <v>960</v>
      </c>
      <c r="G394" s="9"/>
      <c r="H394" s="14"/>
      <c r="I394" s="9" t="s">
        <v>1420</v>
      </c>
      <c r="J394" s="11" t="str">
        <f t="shared" si="6"/>
        <v>Resposta_no_Prazo</v>
      </c>
    </row>
    <row r="395" spans="1:10" ht="15" customHeight="1" x14ac:dyDescent="0.3">
      <c r="A395" s="9" t="s">
        <v>1389</v>
      </c>
      <c r="B395" s="9" t="s">
        <v>1030</v>
      </c>
      <c r="C395" s="9" t="s">
        <v>1031</v>
      </c>
      <c r="D395" s="14">
        <v>1</v>
      </c>
      <c r="E395" s="9" t="s">
        <v>1652</v>
      </c>
      <c r="F395" s="9" t="s">
        <v>1030</v>
      </c>
      <c r="G395" s="9" t="s">
        <v>1031</v>
      </c>
      <c r="H395" s="14">
        <v>1</v>
      </c>
      <c r="I395" s="9" t="s">
        <v>1405</v>
      </c>
      <c r="J395" s="11" t="str">
        <f t="shared" si="6"/>
        <v>ID_Auditor</v>
      </c>
    </row>
    <row r="396" spans="1:10" ht="15" customHeight="1" x14ac:dyDescent="0.3">
      <c r="A396" s="9" t="s">
        <v>1389</v>
      </c>
      <c r="B396" s="9" t="s">
        <v>1030</v>
      </c>
      <c r="C396" s="9" t="s">
        <v>1449</v>
      </c>
      <c r="D396" s="14">
        <v>2</v>
      </c>
      <c r="E396" s="9" t="s">
        <v>1652</v>
      </c>
      <c r="F396" s="9" t="s">
        <v>1030</v>
      </c>
      <c r="G396" s="9" t="s">
        <v>1449</v>
      </c>
      <c r="H396" s="14">
        <v>2</v>
      </c>
      <c r="I396" s="9" t="s">
        <v>1405</v>
      </c>
      <c r="J396" s="11" t="str">
        <f t="shared" si="6"/>
        <v>Nome</v>
      </c>
    </row>
    <row r="397" spans="1:10" ht="15" customHeight="1" x14ac:dyDescent="0.3">
      <c r="A397" s="9" t="s">
        <v>1389</v>
      </c>
      <c r="B397" s="9" t="s">
        <v>1030</v>
      </c>
      <c r="C397" s="9" t="s">
        <v>1669</v>
      </c>
      <c r="D397" s="14">
        <v>3</v>
      </c>
      <c r="E397" s="9" t="s">
        <v>1652</v>
      </c>
      <c r="F397" s="9" t="s">
        <v>1030</v>
      </c>
      <c r="G397" s="9" t="s">
        <v>1669</v>
      </c>
      <c r="H397" s="14">
        <v>4</v>
      </c>
      <c r="I397" s="9" t="s">
        <v>1405</v>
      </c>
      <c r="J397" s="11" t="str">
        <f t="shared" si="6"/>
        <v>Qualificacao</v>
      </c>
    </row>
    <row r="398" spans="1:10" ht="15" customHeight="1" x14ac:dyDescent="0.3">
      <c r="A398" s="9" t="s">
        <v>1389</v>
      </c>
      <c r="B398" s="9" t="s">
        <v>1030</v>
      </c>
      <c r="C398" s="9" t="s">
        <v>1670</v>
      </c>
      <c r="D398" s="14">
        <v>4</v>
      </c>
      <c r="E398" s="9" t="s">
        <v>1652</v>
      </c>
      <c r="F398" s="9" t="s">
        <v>1030</v>
      </c>
      <c r="G398" s="9" t="s">
        <v>1670</v>
      </c>
      <c r="H398" s="14">
        <v>5</v>
      </c>
      <c r="I398" s="9" t="s">
        <v>1405</v>
      </c>
      <c r="J398" s="11" t="str">
        <f t="shared" si="6"/>
        <v>Conhecimento_Tecnico</v>
      </c>
    </row>
    <row r="399" spans="1:10" ht="15" customHeight="1" x14ac:dyDescent="0.3">
      <c r="A399" s="9" t="s">
        <v>1389</v>
      </c>
      <c r="B399" s="9" t="s">
        <v>1030</v>
      </c>
      <c r="C399" s="9" t="s">
        <v>1671</v>
      </c>
      <c r="D399" s="14">
        <v>5</v>
      </c>
      <c r="E399" s="9" t="s">
        <v>1652</v>
      </c>
      <c r="F399" s="9" t="s">
        <v>1030</v>
      </c>
      <c r="G399" s="9" t="s">
        <v>1671</v>
      </c>
      <c r="H399" s="14">
        <v>6</v>
      </c>
      <c r="I399" s="9" t="s">
        <v>1405</v>
      </c>
      <c r="J399" s="11" t="str">
        <f t="shared" si="6"/>
        <v>Pode_Auditar</v>
      </c>
    </row>
    <row r="400" spans="1:10" ht="15" customHeight="1" x14ac:dyDescent="0.3">
      <c r="A400" s="9" t="s">
        <v>1389</v>
      </c>
      <c r="B400" s="9" t="s">
        <v>1030</v>
      </c>
      <c r="C400" s="9" t="s">
        <v>1672</v>
      </c>
      <c r="D400" s="14">
        <v>6</v>
      </c>
      <c r="E400" s="9" t="s">
        <v>1652</v>
      </c>
      <c r="F400" s="9" t="s">
        <v>1030</v>
      </c>
      <c r="G400" s="9" t="s">
        <v>1672</v>
      </c>
      <c r="H400" s="14">
        <v>7</v>
      </c>
      <c r="I400" s="9" t="s">
        <v>1405</v>
      </c>
      <c r="J400" s="11" t="str">
        <f t="shared" si="6"/>
        <v>Horas_Auditoria</v>
      </c>
    </row>
    <row r="401" spans="1:10" ht="15" customHeight="1" x14ac:dyDescent="0.3">
      <c r="A401" s="9" t="s">
        <v>1389</v>
      </c>
      <c r="B401" s="9" t="s">
        <v>1030</v>
      </c>
      <c r="C401" s="9" t="s">
        <v>1673</v>
      </c>
      <c r="D401" s="14">
        <v>7</v>
      </c>
      <c r="E401" s="9" t="s">
        <v>1652</v>
      </c>
      <c r="F401" s="9" t="s">
        <v>1030</v>
      </c>
      <c r="G401" s="9" t="s">
        <v>1673</v>
      </c>
      <c r="H401" s="14">
        <v>8</v>
      </c>
      <c r="I401" s="9" t="s">
        <v>1405</v>
      </c>
      <c r="J401" s="11" t="str">
        <f t="shared" si="6"/>
        <v>Avaliacao_Desempenho</v>
      </c>
    </row>
    <row r="402" spans="1:10" ht="15" customHeight="1" x14ac:dyDescent="0.3">
      <c r="A402" s="9" t="s">
        <v>1389</v>
      </c>
      <c r="B402" s="9" t="s">
        <v>1030</v>
      </c>
      <c r="C402" s="9" t="s">
        <v>1674</v>
      </c>
      <c r="D402" s="14">
        <v>8</v>
      </c>
      <c r="E402" s="9" t="s">
        <v>1652</v>
      </c>
      <c r="F402" s="9" t="s">
        <v>1030</v>
      </c>
      <c r="G402" s="9" t="s">
        <v>1674</v>
      </c>
      <c r="H402" s="14">
        <v>9</v>
      </c>
      <c r="I402" s="9" t="s">
        <v>1405</v>
      </c>
      <c r="J402" s="11" t="str">
        <f t="shared" si="6"/>
        <v>Nao_Pode_Auditar</v>
      </c>
    </row>
    <row r="403" spans="1:10" ht="15" customHeight="1" x14ac:dyDescent="0.3">
      <c r="A403" s="9" t="s">
        <v>1389</v>
      </c>
      <c r="B403" s="9" t="s">
        <v>1030</v>
      </c>
      <c r="C403" s="9" t="s">
        <v>1675</v>
      </c>
      <c r="D403" s="14">
        <v>9</v>
      </c>
      <c r="E403" s="9" t="s">
        <v>1652</v>
      </c>
      <c r="F403" s="9" t="s">
        <v>1030</v>
      </c>
      <c r="G403" s="9" t="s">
        <v>1675</v>
      </c>
      <c r="H403" s="14">
        <v>10</v>
      </c>
      <c r="I403" s="9" t="s">
        <v>1405</v>
      </c>
      <c r="J403" s="11" t="str">
        <f t="shared" si="6"/>
        <v>Competencia_Remota</v>
      </c>
    </row>
    <row r="404" spans="1:10" ht="15" customHeight="1" x14ac:dyDescent="0.3">
      <c r="A404" s="9" t="s">
        <v>1389</v>
      </c>
      <c r="B404" s="9" t="s">
        <v>1030</v>
      </c>
      <c r="C404" s="9" t="s">
        <v>1676</v>
      </c>
      <c r="D404" s="14">
        <v>10</v>
      </c>
      <c r="E404" s="9" t="s">
        <v>1652</v>
      </c>
      <c r="F404" s="9" t="s">
        <v>1030</v>
      </c>
      <c r="G404" s="9" t="s">
        <v>1676</v>
      </c>
      <c r="H404" s="14">
        <v>11</v>
      </c>
      <c r="I404" s="9" t="s">
        <v>1405</v>
      </c>
      <c r="J404" s="11" t="str">
        <f t="shared" si="6"/>
        <v>Ultima_Formacao</v>
      </c>
    </row>
    <row r="405" spans="1:10" ht="15" customHeight="1" x14ac:dyDescent="0.3">
      <c r="A405" s="9" t="s">
        <v>1389</v>
      </c>
      <c r="B405" s="9" t="s">
        <v>1030</v>
      </c>
      <c r="C405" s="9" t="s">
        <v>1677</v>
      </c>
      <c r="D405" s="14">
        <v>11</v>
      </c>
      <c r="E405" s="9" t="s">
        <v>1652</v>
      </c>
      <c r="F405" s="9" t="s">
        <v>1030</v>
      </c>
      <c r="G405" s="9" t="s">
        <v>1677</v>
      </c>
      <c r="H405" s="14">
        <v>12</v>
      </c>
      <c r="I405" s="9" t="s">
        <v>1405</v>
      </c>
      <c r="J405" s="11" t="str">
        <f t="shared" si="6"/>
        <v>Qualificado</v>
      </c>
    </row>
    <row r="406" spans="1:10" ht="15" customHeight="1" x14ac:dyDescent="0.3">
      <c r="A406" s="9" t="s">
        <v>1389</v>
      </c>
      <c r="B406" s="9" t="s">
        <v>1030</v>
      </c>
      <c r="C406" s="9"/>
      <c r="D406" s="14"/>
      <c r="E406" s="9" t="s">
        <v>1652</v>
      </c>
      <c r="F406" s="9" t="s">
        <v>1030</v>
      </c>
      <c r="G406" s="9" t="s">
        <v>1148</v>
      </c>
      <c r="H406" s="14">
        <v>3</v>
      </c>
      <c r="I406" s="9" t="s">
        <v>1658</v>
      </c>
      <c r="J406" s="11" t="str">
        <f t="shared" si="6"/>
        <v>Funcao</v>
      </c>
    </row>
    <row r="407" spans="1:10" ht="15" customHeight="1" x14ac:dyDescent="0.3">
      <c r="A407" s="9" t="s">
        <v>1391</v>
      </c>
      <c r="B407" s="9" t="s">
        <v>1038</v>
      </c>
      <c r="C407" s="9" t="s">
        <v>1039</v>
      </c>
      <c r="D407" s="14">
        <v>1</v>
      </c>
      <c r="E407" s="9" t="s">
        <v>1652</v>
      </c>
      <c r="F407" s="9" t="s">
        <v>1038</v>
      </c>
      <c r="G407" s="9" t="s">
        <v>1039</v>
      </c>
      <c r="H407" s="14">
        <v>1</v>
      </c>
      <c r="I407" s="9" t="s">
        <v>1405</v>
      </c>
      <c r="J407" s="11" t="str">
        <f t="shared" si="6"/>
        <v>ID_Pergunta</v>
      </c>
    </row>
    <row r="408" spans="1:10" ht="15" customHeight="1" x14ac:dyDescent="0.3">
      <c r="A408" s="9" t="s">
        <v>1391</v>
      </c>
      <c r="B408" s="9" t="s">
        <v>1038</v>
      </c>
      <c r="C408" s="9" t="s">
        <v>1035</v>
      </c>
      <c r="D408" s="14">
        <v>2</v>
      </c>
      <c r="E408" s="9" t="s">
        <v>1652</v>
      </c>
      <c r="F408" s="9" t="s">
        <v>1038</v>
      </c>
      <c r="G408" s="9" t="s">
        <v>1035</v>
      </c>
      <c r="H408" s="14">
        <v>2</v>
      </c>
      <c r="I408" s="9" t="s">
        <v>1405</v>
      </c>
      <c r="J408" s="11" t="str">
        <f t="shared" si="6"/>
        <v>ID_Auditoria</v>
      </c>
    </row>
    <row r="409" spans="1:10" ht="15" customHeight="1" x14ac:dyDescent="0.3">
      <c r="A409" s="9" t="s">
        <v>1391</v>
      </c>
      <c r="B409" s="9" t="s">
        <v>1038</v>
      </c>
      <c r="C409" s="9" t="s">
        <v>154</v>
      </c>
      <c r="D409" s="14">
        <v>3</v>
      </c>
      <c r="E409" s="9" t="s">
        <v>1652</v>
      </c>
      <c r="F409" s="9" t="s">
        <v>1038</v>
      </c>
      <c r="G409" s="9" t="s">
        <v>154</v>
      </c>
      <c r="H409" s="14">
        <v>3</v>
      </c>
      <c r="I409" s="9" t="s">
        <v>1405</v>
      </c>
      <c r="J409" s="11" t="str">
        <f t="shared" si="6"/>
        <v>Clausula</v>
      </c>
    </row>
    <row r="410" spans="1:10" ht="15" customHeight="1" x14ac:dyDescent="0.3">
      <c r="A410" s="9" t="s">
        <v>1391</v>
      </c>
      <c r="B410" s="9" t="s">
        <v>1038</v>
      </c>
      <c r="C410" s="9" t="s">
        <v>1598</v>
      </c>
      <c r="D410" s="14">
        <v>4</v>
      </c>
      <c r="E410" s="9" t="s">
        <v>1652</v>
      </c>
      <c r="F410" s="9" t="s">
        <v>1038</v>
      </c>
      <c r="G410" s="9" t="s">
        <v>1598</v>
      </c>
      <c r="H410" s="14">
        <v>5</v>
      </c>
      <c r="I410" s="9" t="s">
        <v>1405</v>
      </c>
      <c r="J410" s="11" t="str">
        <f t="shared" si="6"/>
        <v>Questao_Auditoria</v>
      </c>
    </row>
    <row r="411" spans="1:10" ht="15" customHeight="1" x14ac:dyDescent="0.3">
      <c r="A411" s="9" t="s">
        <v>1391</v>
      </c>
      <c r="B411" s="9" t="s">
        <v>1038</v>
      </c>
      <c r="C411" s="9" t="s">
        <v>1597</v>
      </c>
      <c r="D411" s="14">
        <v>5</v>
      </c>
      <c r="E411" s="9" t="s">
        <v>1652</v>
      </c>
      <c r="F411" s="9" t="s">
        <v>1038</v>
      </c>
      <c r="G411" s="9" t="s">
        <v>1597</v>
      </c>
      <c r="H411" s="14">
        <v>6</v>
      </c>
      <c r="I411" s="9" t="s">
        <v>1405</v>
      </c>
      <c r="J411" s="11" t="str">
        <f t="shared" si="6"/>
        <v>Evidencia_Objetiva</v>
      </c>
    </row>
    <row r="412" spans="1:10" ht="15" customHeight="1" x14ac:dyDescent="0.3">
      <c r="A412" s="9" t="s">
        <v>1391</v>
      </c>
      <c r="B412" s="9" t="s">
        <v>1038</v>
      </c>
      <c r="C412" s="9" t="s">
        <v>1076</v>
      </c>
      <c r="D412" s="14">
        <v>6</v>
      </c>
      <c r="E412" s="9" t="s">
        <v>1652</v>
      </c>
      <c r="F412" s="9" t="s">
        <v>1038</v>
      </c>
      <c r="G412" s="9" t="s">
        <v>1076</v>
      </c>
      <c r="H412" s="14">
        <v>7</v>
      </c>
      <c r="I412" s="9" t="s">
        <v>1405</v>
      </c>
      <c r="J412" s="11" t="str">
        <f t="shared" si="6"/>
        <v>Resultado</v>
      </c>
    </row>
    <row r="413" spans="1:10" ht="15" customHeight="1" x14ac:dyDescent="0.3">
      <c r="A413" s="9" t="s">
        <v>1391</v>
      </c>
      <c r="B413" s="9" t="s">
        <v>1038</v>
      </c>
      <c r="C413" s="9"/>
      <c r="D413" s="14"/>
      <c r="E413" s="9" t="s">
        <v>1652</v>
      </c>
      <c r="F413" s="9" t="s">
        <v>1038</v>
      </c>
      <c r="G413" s="9" t="s">
        <v>1595</v>
      </c>
      <c r="H413" s="14">
        <v>4</v>
      </c>
      <c r="I413" s="9" t="s">
        <v>1658</v>
      </c>
      <c r="J413" s="11" t="str">
        <f t="shared" si="6"/>
        <v>Processo_Auditado</v>
      </c>
    </row>
    <row r="414" spans="1:10" ht="15" customHeight="1" x14ac:dyDescent="0.3">
      <c r="A414" s="9" t="s">
        <v>1393</v>
      </c>
      <c r="B414" s="9" t="s">
        <v>1055</v>
      </c>
      <c r="C414" s="9" t="s">
        <v>1052</v>
      </c>
      <c r="D414" s="14">
        <v>1</v>
      </c>
      <c r="E414" s="9" t="s">
        <v>1652</v>
      </c>
      <c r="F414" s="9" t="s">
        <v>1055</v>
      </c>
      <c r="G414" s="9" t="s">
        <v>1052</v>
      </c>
      <c r="H414" s="14">
        <v>1</v>
      </c>
      <c r="I414" s="9" t="s">
        <v>1405</v>
      </c>
      <c r="J414" s="11" t="str">
        <f t="shared" si="6"/>
        <v>ID_Decisao</v>
      </c>
    </row>
    <row r="415" spans="1:10" ht="15" customHeight="1" x14ac:dyDescent="0.3">
      <c r="A415" s="9" t="s">
        <v>1393</v>
      </c>
      <c r="B415" s="9" t="s">
        <v>1055</v>
      </c>
      <c r="C415" s="9" t="s">
        <v>1678</v>
      </c>
      <c r="D415" s="14">
        <v>2</v>
      </c>
      <c r="E415" s="9" t="s">
        <v>1652</v>
      </c>
      <c r="F415" s="9" t="s">
        <v>1055</v>
      </c>
      <c r="G415" s="9" t="s">
        <v>1678</v>
      </c>
      <c r="H415" s="14">
        <v>2</v>
      </c>
      <c r="I415" s="9" t="s">
        <v>1405</v>
      </c>
      <c r="J415" s="11" t="str">
        <f t="shared" si="6"/>
        <v>Decisao</v>
      </c>
    </row>
    <row r="416" spans="1:10" ht="15" customHeight="1" x14ac:dyDescent="0.3">
      <c r="A416" s="9" t="s">
        <v>1393</v>
      </c>
      <c r="B416" s="9" t="s">
        <v>1055</v>
      </c>
      <c r="C416" s="9" t="s">
        <v>347</v>
      </c>
      <c r="D416" s="14">
        <v>3</v>
      </c>
      <c r="E416" s="9" t="s">
        <v>1652</v>
      </c>
      <c r="F416" s="9" t="s">
        <v>1055</v>
      </c>
      <c r="G416" s="9" t="s">
        <v>347</v>
      </c>
      <c r="H416" s="14">
        <v>3</v>
      </c>
      <c r="I416" s="9" t="s">
        <v>1405</v>
      </c>
      <c r="J416" s="11" t="str">
        <f t="shared" si="6"/>
        <v>Responsavel</v>
      </c>
    </row>
    <row r="417" spans="1:10" ht="15" customHeight="1" x14ac:dyDescent="0.3">
      <c r="A417" s="9" t="s">
        <v>1393</v>
      </c>
      <c r="B417" s="9" t="s">
        <v>1055</v>
      </c>
      <c r="C417" s="9" t="s">
        <v>1475</v>
      </c>
      <c r="D417" s="14">
        <v>4</v>
      </c>
      <c r="E417" s="9" t="s">
        <v>1652</v>
      </c>
      <c r="F417" s="9" t="s">
        <v>1055</v>
      </c>
      <c r="G417" s="9" t="s">
        <v>1475</v>
      </c>
      <c r="H417" s="14">
        <v>4</v>
      </c>
      <c r="I417" s="9" t="s">
        <v>1405</v>
      </c>
      <c r="J417" s="11" t="str">
        <f t="shared" si="6"/>
        <v>Prazo</v>
      </c>
    </row>
    <row r="418" spans="1:10" ht="15" customHeight="1" x14ac:dyDescent="0.3">
      <c r="A418" s="9" t="s">
        <v>1393</v>
      </c>
      <c r="B418" s="9" t="s">
        <v>1055</v>
      </c>
      <c r="C418" s="9" t="s">
        <v>14</v>
      </c>
      <c r="D418" s="14">
        <v>5</v>
      </c>
      <c r="E418" s="9" t="s">
        <v>1652</v>
      </c>
      <c r="F418" s="9" t="s">
        <v>1055</v>
      </c>
      <c r="G418" s="9" t="s">
        <v>14</v>
      </c>
      <c r="H418" s="14">
        <v>5</v>
      </c>
      <c r="I418" s="9" t="s">
        <v>1405</v>
      </c>
      <c r="J418" s="11" t="str">
        <f t="shared" si="6"/>
        <v>Estado</v>
      </c>
    </row>
    <row r="419" spans="1:10" ht="15" customHeight="1" x14ac:dyDescent="0.3">
      <c r="A419" s="9" t="s">
        <v>1393</v>
      </c>
      <c r="B419" s="9" t="s">
        <v>1055</v>
      </c>
      <c r="C419" s="9" t="s">
        <v>431</v>
      </c>
      <c r="D419" s="14">
        <v>6</v>
      </c>
      <c r="E419" s="9" t="s">
        <v>1652</v>
      </c>
      <c r="F419" s="9" t="s">
        <v>1055</v>
      </c>
      <c r="G419" s="9" t="s">
        <v>431</v>
      </c>
      <c r="H419" s="14">
        <v>6</v>
      </c>
      <c r="I419" s="9" t="s">
        <v>1405</v>
      </c>
      <c r="J419" s="11" t="str">
        <f t="shared" si="6"/>
        <v>Evidencia</v>
      </c>
    </row>
  </sheetData>
  <conditionalFormatting sqref="I5:I619">
    <cfRule type="expression" dxfId="4" priority="1">
      <formula>ISNUMBER(SEARCH("Igual",I5))</formula>
    </cfRule>
    <cfRule type="expression" dxfId="3" priority="2">
      <formula>ISNUMBER(SEARCH("Equivalente",I5))</formula>
    </cfRule>
    <cfRule type="expression" dxfId="2" priority="3">
      <formula>ISNUMBER(SEARCH("Só SGE",I5))</formula>
    </cfRule>
    <cfRule type="expression" dxfId="1" priority="4">
      <formula>ISNUMBER(SEARCH("Só SGA",I5))</formula>
    </cfRule>
    <cfRule type="expression" dxfId="0" priority="5">
      <formula>ISNUMBER(SEARCH("Só SGQ",I5))</formula>
    </cfRule>
  </conditionalFormatting>
  <dataValidations count="1">
    <dataValidation type="list" allowBlank="1" showErrorMessage="1" errorTitle="Valor inválido" error="Valor fora da lista controlada (ver folha Listas)." sqref="I5:I619" xr:uid="{00000000-0002-0000-1000-000000000000}">
      <formula1>lst_Correspondencia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8"/>
  <sheetViews>
    <sheetView showGridLines="0" workbookViewId="0"/>
  </sheetViews>
  <sheetFormatPr defaultRowHeight="14.4" x14ac:dyDescent="0.3"/>
  <cols>
    <col min="1" max="1" width="26" customWidth="1"/>
  </cols>
  <sheetData>
    <row r="1" spans="1:10" ht="17.399999999999999" x14ac:dyDescent="0.3">
      <c r="A1" s="1" t="s">
        <v>1679</v>
      </c>
    </row>
    <row r="3" spans="1:10" ht="30" customHeight="1" x14ac:dyDescent="0.3">
      <c r="A3" s="5" t="s">
        <v>1680</v>
      </c>
      <c r="B3" s="25" t="s">
        <v>1681</v>
      </c>
      <c r="C3" s="26"/>
      <c r="D3" s="26"/>
      <c r="E3" s="26"/>
      <c r="F3" s="26"/>
      <c r="G3" s="26"/>
      <c r="H3" s="26"/>
      <c r="I3" s="26"/>
      <c r="J3" s="26"/>
    </row>
    <row r="4" spans="1:10" ht="60" customHeight="1" x14ac:dyDescent="0.3">
      <c r="A4" s="5" t="s">
        <v>1682</v>
      </c>
      <c r="B4" s="25" t="s">
        <v>1683</v>
      </c>
      <c r="C4" s="26"/>
      <c r="D4" s="26"/>
      <c r="E4" s="26"/>
      <c r="F4" s="26"/>
      <c r="G4" s="26"/>
      <c r="H4" s="26"/>
      <c r="I4" s="26"/>
      <c r="J4" s="26"/>
    </row>
    <row r="5" spans="1:10" ht="30" customHeight="1" x14ac:dyDescent="0.3">
      <c r="A5" s="5" t="s">
        <v>1684</v>
      </c>
      <c r="B5" s="25" t="s">
        <v>1685</v>
      </c>
      <c r="C5" s="26"/>
      <c r="D5" s="26"/>
      <c r="E5" s="26"/>
      <c r="F5" s="26"/>
      <c r="G5" s="26"/>
      <c r="H5" s="26"/>
      <c r="I5" s="26"/>
      <c r="J5" s="26"/>
    </row>
    <row r="6" spans="1:10" ht="30" customHeight="1" x14ac:dyDescent="0.3">
      <c r="A6" s="5" t="s">
        <v>1686</v>
      </c>
      <c r="B6" s="25" t="s">
        <v>1687</v>
      </c>
      <c r="C6" s="26"/>
      <c r="D6" s="26"/>
      <c r="E6" s="26"/>
      <c r="F6" s="26"/>
      <c r="G6" s="26"/>
      <c r="H6" s="26"/>
      <c r="I6" s="26"/>
      <c r="J6" s="26"/>
    </row>
    <row r="7" spans="1:10" ht="15" customHeight="1" x14ac:dyDescent="0.3">
      <c r="A7" s="5" t="s">
        <v>1688</v>
      </c>
      <c r="B7" s="25" t="s">
        <v>1689</v>
      </c>
      <c r="C7" s="26"/>
      <c r="D7" s="26"/>
      <c r="E7" s="26"/>
      <c r="F7" s="26"/>
      <c r="G7" s="26"/>
      <c r="H7" s="26"/>
      <c r="I7" s="26"/>
      <c r="J7" s="26"/>
    </row>
    <row r="8" spans="1:10" ht="15" customHeight="1" x14ac:dyDescent="0.3">
      <c r="A8" s="5" t="s">
        <v>1690</v>
      </c>
      <c r="B8" s="25" t="s">
        <v>1691</v>
      </c>
      <c r="C8" s="26"/>
      <c r="D8" s="26"/>
      <c r="E8" s="26"/>
      <c r="F8" s="26"/>
      <c r="G8" s="26"/>
      <c r="H8" s="26"/>
      <c r="I8" s="26"/>
      <c r="J8" s="26"/>
    </row>
  </sheetData>
  <mergeCells count="6">
    <mergeCell ref="B7:J7"/>
    <mergeCell ref="B3:J3"/>
    <mergeCell ref="B5:J5"/>
    <mergeCell ref="B8:J8"/>
    <mergeCell ref="B4:J4"/>
    <mergeCell ref="B6:J6"/>
  </mergeCells>
  <pageMargins left="0.75" right="0.75" top="1" bottom="1" header="0.5" footer="0.5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5" width="16" customWidth="1"/>
    <col min="6" max="6" width="40" customWidth="1"/>
  </cols>
  <sheetData>
    <row r="1" spans="1:6" x14ac:dyDescent="0.3">
      <c r="A1" s="22" t="s">
        <v>1692</v>
      </c>
    </row>
    <row r="2" spans="1:6" x14ac:dyDescent="0.3">
      <c r="A2" s="23" t="s">
        <v>1693</v>
      </c>
      <c r="B2" s="23" t="s">
        <v>14</v>
      </c>
      <c r="C2" s="23" t="s">
        <v>164</v>
      </c>
      <c r="D2" s="23" t="s">
        <v>1694</v>
      </c>
      <c r="E2" s="23" t="s">
        <v>1646</v>
      </c>
      <c r="F2" s="23" t="s">
        <v>1402</v>
      </c>
    </row>
    <row r="3" spans="1:6" x14ac:dyDescent="0.3">
      <c r="A3" s="24">
        <v>46387</v>
      </c>
      <c r="B3" s="6" t="s">
        <v>171</v>
      </c>
      <c r="C3" s="6" t="s">
        <v>186</v>
      </c>
      <c r="D3" s="6" t="s">
        <v>1199</v>
      </c>
      <c r="E3" s="6">
        <v>1</v>
      </c>
      <c r="F3" s="6" t="s">
        <v>1405</v>
      </c>
    </row>
    <row r="4" spans="1:6" x14ac:dyDescent="0.3">
      <c r="B4" s="6" t="s">
        <v>195</v>
      </c>
      <c r="C4" s="6" t="s">
        <v>227</v>
      </c>
      <c r="D4" s="6" t="s">
        <v>1203</v>
      </c>
      <c r="E4" s="6">
        <v>2</v>
      </c>
      <c r="F4" s="6" t="s">
        <v>1413</v>
      </c>
    </row>
    <row r="5" spans="1:6" x14ac:dyDescent="0.3">
      <c r="B5" s="6" t="s">
        <v>284</v>
      </c>
      <c r="C5" s="6" t="s">
        <v>173</v>
      </c>
      <c r="E5" s="6">
        <v>3</v>
      </c>
      <c r="F5" s="6" t="s">
        <v>1420</v>
      </c>
    </row>
    <row r="6" spans="1:6" x14ac:dyDescent="0.3">
      <c r="E6" s="6">
        <v>4</v>
      </c>
      <c r="F6" s="6" t="s">
        <v>1424</v>
      </c>
    </row>
    <row r="7" spans="1:6" x14ac:dyDescent="0.3">
      <c r="F7" s="6" t="s">
        <v>1658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06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789</v>
      </c>
      <c r="B1" s="8" t="s">
        <v>790</v>
      </c>
      <c r="C1" s="8" t="s">
        <v>1071</v>
      </c>
      <c r="D1" s="8" t="s">
        <v>345</v>
      </c>
      <c r="E1" s="8" t="s">
        <v>1622</v>
      </c>
      <c r="F1" s="8" t="s">
        <v>1495</v>
      </c>
      <c r="G1" s="8" t="s">
        <v>1695</v>
      </c>
      <c r="H1" s="8" t="s">
        <v>1696</v>
      </c>
      <c r="I1" s="8" t="s">
        <v>1647</v>
      </c>
    </row>
    <row r="2" spans="1:9" x14ac:dyDescent="0.3">
      <c r="A2" s="13" t="s">
        <v>38</v>
      </c>
      <c r="B2" s="13" t="s">
        <v>1697</v>
      </c>
      <c r="C2" s="13" t="s">
        <v>91</v>
      </c>
      <c r="D2" s="13" t="s">
        <v>1698</v>
      </c>
      <c r="E2" s="13" t="s">
        <v>1699</v>
      </c>
      <c r="F2" s="13" t="s">
        <v>1700</v>
      </c>
      <c r="G2" s="13"/>
      <c r="H2" s="13" t="s">
        <v>1199</v>
      </c>
      <c r="I2" s="13"/>
    </row>
    <row r="3" spans="1:9" x14ac:dyDescent="0.3">
      <c r="A3" s="13" t="s">
        <v>38</v>
      </c>
      <c r="B3" s="13" t="s">
        <v>1697</v>
      </c>
      <c r="C3" s="13" t="s">
        <v>92</v>
      </c>
      <c r="D3" s="13" t="s">
        <v>1698</v>
      </c>
      <c r="E3" s="13" t="s">
        <v>1699</v>
      </c>
      <c r="F3" s="13" t="s">
        <v>1701</v>
      </c>
      <c r="G3" s="13"/>
      <c r="H3" s="13" t="s">
        <v>1199</v>
      </c>
      <c r="I3" s="13" t="s">
        <v>1702</v>
      </c>
    </row>
    <row r="4" spans="1:9" x14ac:dyDescent="0.3">
      <c r="A4" s="13" t="s">
        <v>38</v>
      </c>
      <c r="B4" s="13" t="s">
        <v>1697</v>
      </c>
      <c r="C4" s="13" t="s">
        <v>93</v>
      </c>
      <c r="D4" s="13" t="s">
        <v>1698</v>
      </c>
      <c r="E4" s="13" t="s">
        <v>1699</v>
      </c>
      <c r="F4" s="13" t="s">
        <v>1703</v>
      </c>
      <c r="G4" s="13"/>
      <c r="H4" s="13" t="s">
        <v>1199</v>
      </c>
      <c r="I4" s="13"/>
    </row>
    <row r="5" spans="1:9" x14ac:dyDescent="0.3">
      <c r="A5" s="13" t="s">
        <v>38</v>
      </c>
      <c r="B5" s="13" t="s">
        <v>1697</v>
      </c>
      <c r="C5" s="13" t="s">
        <v>94</v>
      </c>
      <c r="D5" s="13" t="s">
        <v>1698</v>
      </c>
      <c r="E5" s="13" t="s">
        <v>1699</v>
      </c>
      <c r="F5" s="13" t="s">
        <v>1704</v>
      </c>
      <c r="G5" s="13"/>
      <c r="H5" s="13" t="s">
        <v>1199</v>
      </c>
      <c r="I5" s="13"/>
    </row>
    <row r="6" spans="1:9" x14ac:dyDescent="0.3">
      <c r="A6" s="13" t="s">
        <v>40</v>
      </c>
      <c r="B6" s="13" t="s">
        <v>1373</v>
      </c>
      <c r="C6" s="13" t="s">
        <v>153</v>
      </c>
      <c r="D6" s="13" t="s">
        <v>1698</v>
      </c>
      <c r="E6" s="13" t="s">
        <v>1699</v>
      </c>
      <c r="F6" s="13" t="s">
        <v>1705</v>
      </c>
      <c r="G6" s="13"/>
      <c r="H6" s="13" t="s">
        <v>1199</v>
      </c>
      <c r="I6" s="13" t="s">
        <v>1702</v>
      </c>
    </row>
    <row r="7" spans="1:9" x14ac:dyDescent="0.3">
      <c r="A7" s="13" t="s">
        <v>40</v>
      </c>
      <c r="B7" s="13" t="s">
        <v>1373</v>
      </c>
      <c r="C7" s="13" t="s">
        <v>154</v>
      </c>
      <c r="D7" s="13" t="s">
        <v>1698</v>
      </c>
      <c r="E7" s="13" t="s">
        <v>1699</v>
      </c>
      <c r="F7" s="13" t="s">
        <v>1706</v>
      </c>
      <c r="G7" s="13"/>
      <c r="H7" s="13" t="s">
        <v>1199</v>
      </c>
      <c r="I7" s="13"/>
    </row>
    <row r="8" spans="1:9" x14ac:dyDescent="0.3">
      <c r="A8" s="13" t="s">
        <v>40</v>
      </c>
      <c r="B8" s="13" t="s">
        <v>1373</v>
      </c>
      <c r="C8" s="13" t="s">
        <v>155</v>
      </c>
      <c r="D8" s="13" t="s">
        <v>1698</v>
      </c>
      <c r="E8" s="13" t="s">
        <v>1707</v>
      </c>
      <c r="F8" s="13" t="s">
        <v>1708</v>
      </c>
      <c r="G8" s="13"/>
      <c r="H8" s="13" t="s">
        <v>1199</v>
      </c>
      <c r="I8" s="13"/>
    </row>
    <row r="9" spans="1:9" x14ac:dyDescent="0.3">
      <c r="A9" s="13" t="s">
        <v>40</v>
      </c>
      <c r="B9" s="13" t="s">
        <v>1373</v>
      </c>
      <c r="C9" s="13" t="s">
        <v>156</v>
      </c>
      <c r="D9" s="13" t="s">
        <v>1698</v>
      </c>
      <c r="E9" s="13" t="s">
        <v>1699</v>
      </c>
      <c r="F9" s="13" t="s">
        <v>1709</v>
      </c>
      <c r="G9" s="13"/>
      <c r="H9" s="13" t="s">
        <v>1199</v>
      </c>
      <c r="I9" s="13"/>
    </row>
    <row r="10" spans="1:9" x14ac:dyDescent="0.3">
      <c r="A10" s="13" t="s">
        <v>40</v>
      </c>
      <c r="B10" s="13" t="s">
        <v>1373</v>
      </c>
      <c r="C10" s="13" t="s">
        <v>157</v>
      </c>
      <c r="D10" s="13" t="s">
        <v>1698</v>
      </c>
      <c r="E10" s="13" t="s">
        <v>1707</v>
      </c>
      <c r="F10" s="13" t="s">
        <v>1710</v>
      </c>
      <c r="G10" s="13"/>
      <c r="H10" s="13" t="s">
        <v>1199</v>
      </c>
      <c r="I10" s="13"/>
    </row>
    <row r="11" spans="1:9" x14ac:dyDescent="0.3">
      <c r="A11" s="13" t="s">
        <v>40</v>
      </c>
      <c r="B11" s="13" t="s">
        <v>1373</v>
      </c>
      <c r="C11" s="13" t="s">
        <v>158</v>
      </c>
      <c r="D11" s="13" t="s">
        <v>1698</v>
      </c>
      <c r="E11" s="13" t="s">
        <v>1699</v>
      </c>
      <c r="F11" s="13" t="s">
        <v>1711</v>
      </c>
      <c r="G11" s="13"/>
      <c r="H11" s="13" t="s">
        <v>1199</v>
      </c>
      <c r="I11" s="13"/>
    </row>
    <row r="12" spans="1:9" x14ac:dyDescent="0.3">
      <c r="A12" s="13" t="s">
        <v>40</v>
      </c>
      <c r="B12" s="13" t="s">
        <v>1373</v>
      </c>
      <c r="C12" s="13" t="s">
        <v>159</v>
      </c>
      <c r="D12" s="13" t="s">
        <v>1698</v>
      </c>
      <c r="E12" s="13" t="s">
        <v>1699</v>
      </c>
      <c r="F12" s="13" t="s">
        <v>1712</v>
      </c>
      <c r="G12" s="13"/>
      <c r="H12" s="13" t="s">
        <v>1199</v>
      </c>
      <c r="I12" s="13"/>
    </row>
    <row r="13" spans="1:9" x14ac:dyDescent="0.3">
      <c r="A13" s="13" t="s">
        <v>40</v>
      </c>
      <c r="B13" s="13" t="s">
        <v>1373</v>
      </c>
      <c r="C13" s="13" t="s">
        <v>160</v>
      </c>
      <c r="D13" s="13" t="s">
        <v>1698</v>
      </c>
      <c r="E13" s="13" t="s">
        <v>1699</v>
      </c>
      <c r="F13" s="13" t="s">
        <v>1713</v>
      </c>
      <c r="G13" s="13"/>
      <c r="H13" s="13" t="s">
        <v>1199</v>
      </c>
      <c r="I13" s="13"/>
    </row>
    <row r="14" spans="1:9" x14ac:dyDescent="0.3">
      <c r="A14" s="13" t="s">
        <v>40</v>
      </c>
      <c r="B14" s="13" t="s">
        <v>1373</v>
      </c>
      <c r="C14" s="13" t="s">
        <v>14</v>
      </c>
      <c r="D14" s="13" t="s">
        <v>1698</v>
      </c>
      <c r="E14" s="13" t="s">
        <v>1699</v>
      </c>
      <c r="F14" s="13" t="s">
        <v>1714</v>
      </c>
      <c r="G14" s="13" t="s">
        <v>1715</v>
      </c>
      <c r="H14" s="13" t="s">
        <v>1199</v>
      </c>
      <c r="I14" s="13"/>
    </row>
    <row r="15" spans="1:9" x14ac:dyDescent="0.3">
      <c r="A15" s="13" t="s">
        <v>40</v>
      </c>
      <c r="B15" s="13" t="s">
        <v>1373</v>
      </c>
      <c r="C15" s="13" t="s">
        <v>161</v>
      </c>
      <c r="D15" s="13" t="s">
        <v>1698</v>
      </c>
      <c r="E15" s="13" t="s">
        <v>1699</v>
      </c>
      <c r="F15" s="13" t="s">
        <v>1716</v>
      </c>
      <c r="G15" s="13"/>
      <c r="H15" s="13" t="s">
        <v>1203</v>
      </c>
      <c r="I15" s="13"/>
    </row>
    <row r="16" spans="1:9" x14ac:dyDescent="0.3">
      <c r="A16" s="13" t="s">
        <v>40</v>
      </c>
      <c r="B16" s="13" t="s">
        <v>1373</v>
      </c>
      <c r="C16" s="13" t="s">
        <v>162</v>
      </c>
      <c r="D16" s="13" t="s">
        <v>1698</v>
      </c>
      <c r="E16" s="13" t="s">
        <v>1699</v>
      </c>
      <c r="F16" s="13" t="s">
        <v>1717</v>
      </c>
      <c r="G16" s="13"/>
      <c r="H16" s="13" t="s">
        <v>1203</v>
      </c>
      <c r="I16" s="13"/>
    </row>
    <row r="17" spans="1:9" x14ac:dyDescent="0.3">
      <c r="A17" s="13" t="s">
        <v>40</v>
      </c>
      <c r="B17" s="13" t="s">
        <v>1373</v>
      </c>
      <c r="C17" s="13" t="s">
        <v>163</v>
      </c>
      <c r="D17" s="13" t="s">
        <v>1718</v>
      </c>
      <c r="E17" s="13" t="s">
        <v>1707</v>
      </c>
      <c r="F17" s="13" t="s">
        <v>1719</v>
      </c>
      <c r="G17" s="13"/>
      <c r="H17" s="13" t="s">
        <v>1199</v>
      </c>
      <c r="I17" s="13"/>
    </row>
    <row r="18" spans="1:9" x14ac:dyDescent="0.3">
      <c r="A18" s="13" t="s">
        <v>40</v>
      </c>
      <c r="B18" s="13" t="s">
        <v>1373</v>
      </c>
      <c r="C18" s="13" t="s">
        <v>164</v>
      </c>
      <c r="D18" s="13" t="s">
        <v>1698</v>
      </c>
      <c r="E18" s="13" t="s">
        <v>1699</v>
      </c>
      <c r="F18" s="13" t="s">
        <v>1720</v>
      </c>
      <c r="G18" s="13" t="s">
        <v>1721</v>
      </c>
      <c r="H18" s="13" t="s">
        <v>1199</v>
      </c>
      <c r="I18" s="13"/>
    </row>
    <row r="19" spans="1:9" x14ac:dyDescent="0.3">
      <c r="A19" s="13" t="s">
        <v>44</v>
      </c>
      <c r="B19" s="13" t="s">
        <v>1722</v>
      </c>
      <c r="C19" s="13" t="s">
        <v>92</v>
      </c>
      <c r="D19" s="13" t="s">
        <v>1698</v>
      </c>
      <c r="E19" s="13" t="s">
        <v>1699</v>
      </c>
      <c r="F19" s="13" t="s">
        <v>1723</v>
      </c>
      <c r="G19" s="13"/>
      <c r="H19" s="13" t="s">
        <v>1199</v>
      </c>
      <c r="I19" s="13" t="s">
        <v>1702</v>
      </c>
    </row>
    <row r="20" spans="1:9" x14ac:dyDescent="0.3">
      <c r="A20" s="13" t="s">
        <v>44</v>
      </c>
      <c r="B20" s="13" t="s">
        <v>1722</v>
      </c>
      <c r="C20" s="13" t="s">
        <v>344</v>
      </c>
      <c r="D20" s="13" t="s">
        <v>1698</v>
      </c>
      <c r="E20" s="13" t="s">
        <v>1699</v>
      </c>
      <c r="F20" s="13" t="s">
        <v>1724</v>
      </c>
      <c r="G20" s="13"/>
      <c r="H20" s="13" t="s">
        <v>1199</v>
      </c>
      <c r="I20" s="13"/>
    </row>
    <row r="21" spans="1:9" x14ac:dyDescent="0.3">
      <c r="A21" s="13" t="s">
        <v>44</v>
      </c>
      <c r="B21" s="13" t="s">
        <v>1722</v>
      </c>
      <c r="C21" s="13" t="s">
        <v>345</v>
      </c>
      <c r="D21" s="13" t="s">
        <v>1698</v>
      </c>
      <c r="E21" s="13" t="s">
        <v>1699</v>
      </c>
      <c r="F21" s="13" t="s">
        <v>1725</v>
      </c>
      <c r="G21" s="13"/>
      <c r="H21" s="13" t="s">
        <v>1199</v>
      </c>
      <c r="I21" s="13"/>
    </row>
    <row r="22" spans="1:9" x14ac:dyDescent="0.3">
      <c r="A22" s="13" t="s">
        <v>44</v>
      </c>
      <c r="B22" s="13" t="s">
        <v>1722</v>
      </c>
      <c r="C22" s="13" t="s">
        <v>156</v>
      </c>
      <c r="D22" s="13" t="s">
        <v>1698</v>
      </c>
      <c r="E22" s="13" t="s">
        <v>1699</v>
      </c>
      <c r="F22" s="13" t="s">
        <v>1706</v>
      </c>
      <c r="G22" s="13"/>
      <c r="H22" s="13" t="s">
        <v>1199</v>
      </c>
      <c r="I22" s="13"/>
    </row>
    <row r="23" spans="1:9" x14ac:dyDescent="0.3">
      <c r="A23" s="13" t="s">
        <v>44</v>
      </c>
      <c r="B23" s="13" t="s">
        <v>1722</v>
      </c>
      <c r="C23" s="13" t="s">
        <v>346</v>
      </c>
      <c r="D23" s="13" t="s">
        <v>1698</v>
      </c>
      <c r="E23" s="13" t="s">
        <v>1699</v>
      </c>
      <c r="F23" s="13" t="s">
        <v>1726</v>
      </c>
      <c r="G23" s="13"/>
      <c r="H23" s="13" t="s">
        <v>1199</v>
      </c>
      <c r="I23" s="13"/>
    </row>
    <row r="24" spans="1:9" x14ac:dyDescent="0.3">
      <c r="A24" s="13" t="s">
        <v>44</v>
      </c>
      <c r="B24" s="13" t="s">
        <v>1722</v>
      </c>
      <c r="C24" s="13" t="s">
        <v>347</v>
      </c>
      <c r="D24" s="13" t="s">
        <v>1698</v>
      </c>
      <c r="E24" s="13" t="s">
        <v>1699</v>
      </c>
      <c r="F24" s="13" t="s">
        <v>1727</v>
      </c>
      <c r="G24" s="13"/>
      <c r="H24" s="13" t="s">
        <v>1199</v>
      </c>
      <c r="I24" s="13"/>
    </row>
    <row r="25" spans="1:9" x14ac:dyDescent="0.3">
      <c r="A25" s="13" t="s">
        <v>44</v>
      </c>
      <c r="B25" s="13" t="s">
        <v>1722</v>
      </c>
      <c r="C25" s="13" t="s">
        <v>348</v>
      </c>
      <c r="D25" s="13" t="s">
        <v>1698</v>
      </c>
      <c r="E25" s="13" t="s">
        <v>1699</v>
      </c>
      <c r="F25" s="13" t="s">
        <v>1728</v>
      </c>
      <c r="G25" s="13"/>
      <c r="H25" s="13" t="s">
        <v>1199</v>
      </c>
      <c r="I25" s="13"/>
    </row>
    <row r="26" spans="1:9" x14ac:dyDescent="0.3">
      <c r="A26" s="13" t="s">
        <v>44</v>
      </c>
      <c r="B26" s="13" t="s">
        <v>1722</v>
      </c>
      <c r="C26" s="13" t="s">
        <v>349</v>
      </c>
      <c r="D26" s="13" t="s">
        <v>1698</v>
      </c>
      <c r="E26" s="13" t="s">
        <v>1699</v>
      </c>
      <c r="F26" s="13" t="s">
        <v>1729</v>
      </c>
      <c r="G26" s="13"/>
      <c r="H26" s="13" t="s">
        <v>1199</v>
      </c>
      <c r="I26" s="13"/>
    </row>
    <row r="27" spans="1:9" x14ac:dyDescent="0.3">
      <c r="A27" s="13" t="s">
        <v>44</v>
      </c>
      <c r="B27" s="13" t="s">
        <v>1722</v>
      </c>
      <c r="C27" s="13" t="s">
        <v>350</v>
      </c>
      <c r="D27" s="13" t="s">
        <v>1698</v>
      </c>
      <c r="E27" s="13" t="s">
        <v>1699</v>
      </c>
      <c r="F27" s="13" t="s">
        <v>1730</v>
      </c>
      <c r="G27" s="13"/>
      <c r="H27" s="13" t="s">
        <v>1199</v>
      </c>
      <c r="I27" s="13"/>
    </row>
    <row r="28" spans="1:9" x14ac:dyDescent="0.3">
      <c r="A28" s="13" t="s">
        <v>44</v>
      </c>
      <c r="B28" s="13" t="s">
        <v>1722</v>
      </c>
      <c r="C28" s="13" t="s">
        <v>351</v>
      </c>
      <c r="D28" s="13" t="s">
        <v>1698</v>
      </c>
      <c r="E28" s="13" t="s">
        <v>1699</v>
      </c>
      <c r="F28" s="13" t="s">
        <v>1731</v>
      </c>
      <c r="G28" s="13"/>
      <c r="H28" s="13" t="s">
        <v>1199</v>
      </c>
      <c r="I28" s="13"/>
    </row>
    <row r="29" spans="1:9" x14ac:dyDescent="0.3">
      <c r="A29" s="13" t="s">
        <v>46</v>
      </c>
      <c r="B29" s="13" t="s">
        <v>1732</v>
      </c>
      <c r="C29" s="13" t="s">
        <v>426</v>
      </c>
      <c r="D29" s="13" t="s">
        <v>1698</v>
      </c>
      <c r="E29" s="13" t="s">
        <v>1699</v>
      </c>
      <c r="F29" s="13" t="s">
        <v>1733</v>
      </c>
      <c r="G29" s="13"/>
      <c r="H29" s="13" t="s">
        <v>1199</v>
      </c>
      <c r="I29" s="13" t="s">
        <v>1702</v>
      </c>
    </row>
    <row r="30" spans="1:9" x14ac:dyDescent="0.3">
      <c r="A30" s="13" t="s">
        <v>46</v>
      </c>
      <c r="B30" s="13" t="s">
        <v>1732</v>
      </c>
      <c r="C30" s="13" t="s">
        <v>427</v>
      </c>
      <c r="D30" s="13" t="s">
        <v>1698</v>
      </c>
      <c r="E30" s="13" t="s">
        <v>1699</v>
      </c>
      <c r="F30" s="13" t="s">
        <v>1734</v>
      </c>
      <c r="G30" s="13"/>
      <c r="H30" s="13" t="s">
        <v>1199</v>
      </c>
      <c r="I30" s="13"/>
    </row>
    <row r="31" spans="1:9" x14ac:dyDescent="0.3">
      <c r="A31" s="13" t="s">
        <v>46</v>
      </c>
      <c r="B31" s="13" t="s">
        <v>1732</v>
      </c>
      <c r="C31" s="13" t="s">
        <v>428</v>
      </c>
      <c r="D31" s="13" t="s">
        <v>1698</v>
      </c>
      <c r="E31" s="13" t="s">
        <v>1699</v>
      </c>
      <c r="F31" s="13" t="s">
        <v>1735</v>
      </c>
      <c r="G31" s="13"/>
      <c r="H31" s="13" t="s">
        <v>1199</v>
      </c>
      <c r="I31" s="13"/>
    </row>
    <row r="32" spans="1:9" x14ac:dyDescent="0.3">
      <c r="A32" s="13" t="s">
        <v>46</v>
      </c>
      <c r="B32" s="13" t="s">
        <v>1732</v>
      </c>
      <c r="C32" s="13" t="s">
        <v>429</v>
      </c>
      <c r="D32" s="13" t="s">
        <v>1698</v>
      </c>
      <c r="E32" s="13" t="s">
        <v>1699</v>
      </c>
      <c r="F32" s="13" t="s">
        <v>1736</v>
      </c>
      <c r="G32" s="13"/>
      <c r="H32" s="13" t="s">
        <v>1199</v>
      </c>
      <c r="I32" s="13"/>
    </row>
    <row r="33" spans="1:9" x14ac:dyDescent="0.3">
      <c r="A33" s="13" t="s">
        <v>46</v>
      </c>
      <c r="B33" s="13" t="s">
        <v>1732</v>
      </c>
      <c r="C33" s="13" t="s">
        <v>430</v>
      </c>
      <c r="D33" s="13" t="s">
        <v>1698</v>
      </c>
      <c r="E33" s="13" t="s">
        <v>1699</v>
      </c>
      <c r="F33" s="13" t="s">
        <v>1737</v>
      </c>
      <c r="G33" s="13"/>
      <c r="H33" s="13" t="s">
        <v>1199</v>
      </c>
      <c r="I33" s="13"/>
    </row>
    <row r="34" spans="1:9" x14ac:dyDescent="0.3">
      <c r="A34" s="13" t="s">
        <v>46</v>
      </c>
      <c r="B34" s="13" t="s">
        <v>1732</v>
      </c>
      <c r="C34" s="13" t="s">
        <v>431</v>
      </c>
      <c r="D34" s="13" t="s">
        <v>1698</v>
      </c>
      <c r="E34" s="13" t="s">
        <v>1699</v>
      </c>
      <c r="F34" s="13" t="s">
        <v>1738</v>
      </c>
      <c r="G34" s="13"/>
      <c r="H34" s="13" t="s">
        <v>1199</v>
      </c>
      <c r="I34" s="13"/>
    </row>
    <row r="35" spans="1:9" x14ac:dyDescent="0.3">
      <c r="A35" s="13" t="s">
        <v>46</v>
      </c>
      <c r="B35" s="13" t="s">
        <v>1732</v>
      </c>
      <c r="C35" s="13" t="s">
        <v>432</v>
      </c>
      <c r="D35" s="13" t="s">
        <v>1698</v>
      </c>
      <c r="E35" s="13" t="s">
        <v>1699</v>
      </c>
      <c r="F35" s="13" t="s">
        <v>1739</v>
      </c>
      <c r="G35" s="13"/>
      <c r="H35" s="13" t="s">
        <v>1199</v>
      </c>
      <c r="I35" s="13"/>
    </row>
    <row r="36" spans="1:9" x14ac:dyDescent="0.3">
      <c r="A36" s="13" t="s">
        <v>46</v>
      </c>
      <c r="B36" s="13" t="s">
        <v>1732</v>
      </c>
      <c r="C36" s="13" t="s">
        <v>433</v>
      </c>
      <c r="D36" s="13" t="s">
        <v>1698</v>
      </c>
      <c r="E36" s="13" t="s">
        <v>1699</v>
      </c>
      <c r="F36" s="13" t="s">
        <v>1740</v>
      </c>
      <c r="G36" s="13"/>
      <c r="H36" s="13" t="s">
        <v>1199</v>
      </c>
      <c r="I36" s="13"/>
    </row>
    <row r="37" spans="1:9" x14ac:dyDescent="0.3">
      <c r="A37" s="13" t="s">
        <v>46</v>
      </c>
      <c r="B37" s="13" t="s">
        <v>1732</v>
      </c>
      <c r="C37" s="13" t="s">
        <v>434</v>
      </c>
      <c r="D37" s="13" t="s">
        <v>1698</v>
      </c>
      <c r="E37" s="13" t="s">
        <v>1699</v>
      </c>
      <c r="F37" s="13" t="s">
        <v>1741</v>
      </c>
      <c r="G37" s="13"/>
      <c r="H37" s="13" t="s">
        <v>1203</v>
      </c>
      <c r="I37" s="13"/>
    </row>
    <row r="38" spans="1:9" x14ac:dyDescent="0.3">
      <c r="A38" s="13" t="s">
        <v>48</v>
      </c>
      <c r="B38" s="13" t="s">
        <v>1742</v>
      </c>
      <c r="C38" s="13" t="s">
        <v>633</v>
      </c>
      <c r="D38" s="13" t="s">
        <v>1698</v>
      </c>
      <c r="E38" s="13" t="s">
        <v>1699</v>
      </c>
      <c r="F38" s="13"/>
      <c r="G38" s="13"/>
      <c r="H38" s="13" t="s">
        <v>1199</v>
      </c>
      <c r="I38" s="13" t="s">
        <v>1702</v>
      </c>
    </row>
    <row r="39" spans="1:9" x14ac:dyDescent="0.3">
      <c r="A39" s="13" t="s">
        <v>48</v>
      </c>
      <c r="B39" s="13" t="s">
        <v>1742</v>
      </c>
      <c r="C39" s="13" t="s">
        <v>634</v>
      </c>
      <c r="D39" s="13" t="s">
        <v>1698</v>
      </c>
      <c r="E39" s="13" t="s">
        <v>1699</v>
      </c>
      <c r="F39" s="13" t="s">
        <v>1743</v>
      </c>
      <c r="G39" s="13"/>
      <c r="H39" s="13" t="s">
        <v>1199</v>
      </c>
      <c r="I39" s="13"/>
    </row>
    <row r="40" spans="1:9" x14ac:dyDescent="0.3">
      <c r="A40" s="13" t="s">
        <v>48</v>
      </c>
      <c r="B40" s="13" t="s">
        <v>1742</v>
      </c>
      <c r="C40" s="13" t="s">
        <v>635</v>
      </c>
      <c r="D40" s="13" t="s">
        <v>1698</v>
      </c>
      <c r="E40" s="13" t="s">
        <v>1699</v>
      </c>
      <c r="F40" s="13" t="s">
        <v>1744</v>
      </c>
      <c r="G40" s="13"/>
      <c r="H40" s="13" t="s">
        <v>1199</v>
      </c>
      <c r="I40" s="13"/>
    </row>
    <row r="41" spans="1:9" x14ac:dyDescent="0.3">
      <c r="A41" s="13" t="s">
        <v>48</v>
      </c>
      <c r="B41" s="13" t="s">
        <v>1742</v>
      </c>
      <c r="C41" s="13" t="s">
        <v>636</v>
      </c>
      <c r="D41" s="13" t="s">
        <v>1698</v>
      </c>
      <c r="E41" s="13" t="s">
        <v>1699</v>
      </c>
      <c r="F41" s="13" t="s">
        <v>1745</v>
      </c>
      <c r="G41" s="13"/>
      <c r="H41" s="13" t="s">
        <v>1199</v>
      </c>
      <c r="I41" s="13"/>
    </row>
    <row r="42" spans="1:9" x14ac:dyDescent="0.3">
      <c r="A42" s="13" t="s">
        <v>48</v>
      </c>
      <c r="B42" s="13" t="s">
        <v>1742</v>
      </c>
      <c r="C42" s="13" t="s">
        <v>345</v>
      </c>
      <c r="D42" s="13" t="s">
        <v>1698</v>
      </c>
      <c r="E42" s="13" t="s">
        <v>1699</v>
      </c>
      <c r="F42" s="13" t="s">
        <v>1746</v>
      </c>
      <c r="G42" s="13"/>
      <c r="H42" s="13" t="s">
        <v>1199</v>
      </c>
      <c r="I42" s="13"/>
    </row>
    <row r="43" spans="1:9" x14ac:dyDescent="0.3">
      <c r="A43" s="13" t="s">
        <v>50</v>
      </c>
      <c r="B43" s="13" t="s">
        <v>1377</v>
      </c>
      <c r="C43" s="13" t="s">
        <v>723</v>
      </c>
      <c r="D43" s="13" t="s">
        <v>1698</v>
      </c>
      <c r="E43" s="13" t="s">
        <v>1699</v>
      </c>
      <c r="F43" s="13"/>
      <c r="G43" s="13"/>
      <c r="H43" s="13" t="s">
        <v>1199</v>
      </c>
      <c r="I43" s="13" t="s">
        <v>1702</v>
      </c>
    </row>
    <row r="44" spans="1:9" x14ac:dyDescent="0.3">
      <c r="A44" s="13" t="s">
        <v>50</v>
      </c>
      <c r="B44" s="13" t="s">
        <v>1377</v>
      </c>
      <c r="C44" s="13" t="s">
        <v>724</v>
      </c>
      <c r="D44" s="13" t="s">
        <v>1698</v>
      </c>
      <c r="E44" s="13" t="s">
        <v>1699</v>
      </c>
      <c r="F44" s="13"/>
      <c r="G44" s="13"/>
      <c r="H44" s="13" t="s">
        <v>1199</v>
      </c>
      <c r="I44" s="13"/>
    </row>
    <row r="45" spans="1:9" x14ac:dyDescent="0.3">
      <c r="A45" s="13" t="s">
        <v>50</v>
      </c>
      <c r="B45" s="13" t="s">
        <v>1377</v>
      </c>
      <c r="C45" s="13" t="s">
        <v>725</v>
      </c>
      <c r="D45" s="13" t="s">
        <v>1698</v>
      </c>
      <c r="E45" s="13" t="s">
        <v>1699</v>
      </c>
      <c r="F45" s="13"/>
      <c r="G45" s="13"/>
      <c r="H45" s="13" t="s">
        <v>1199</v>
      </c>
      <c r="I45" s="13"/>
    </row>
    <row r="46" spans="1:9" x14ac:dyDescent="0.3">
      <c r="A46" s="13" t="s">
        <v>50</v>
      </c>
      <c r="B46" s="13" t="s">
        <v>1377</v>
      </c>
      <c r="C46" s="13" t="s">
        <v>726</v>
      </c>
      <c r="D46" s="13" t="s">
        <v>1698</v>
      </c>
      <c r="E46" s="13" t="s">
        <v>1699</v>
      </c>
      <c r="F46" s="13"/>
      <c r="G46" s="13"/>
      <c r="H46" s="13" t="s">
        <v>1199</v>
      </c>
      <c r="I46" s="13"/>
    </row>
    <row r="47" spans="1:9" x14ac:dyDescent="0.3">
      <c r="A47" s="13" t="s">
        <v>50</v>
      </c>
      <c r="B47" s="13" t="s">
        <v>1377</v>
      </c>
      <c r="C47" s="13" t="s">
        <v>727</v>
      </c>
      <c r="D47" s="13" t="s">
        <v>1698</v>
      </c>
      <c r="E47" s="13" t="s">
        <v>1699</v>
      </c>
      <c r="F47" s="13"/>
      <c r="G47" s="13"/>
      <c r="H47" s="13" t="s">
        <v>1203</v>
      </c>
      <c r="I47" s="13"/>
    </row>
    <row r="48" spans="1:9" x14ac:dyDescent="0.3">
      <c r="A48" s="13" t="s">
        <v>52</v>
      </c>
      <c r="B48" s="13" t="s">
        <v>1747</v>
      </c>
      <c r="C48" s="13" t="s">
        <v>91</v>
      </c>
      <c r="D48" s="13" t="s">
        <v>1698</v>
      </c>
      <c r="E48" s="13" t="s">
        <v>1699</v>
      </c>
      <c r="F48" s="13"/>
      <c r="G48" s="13"/>
      <c r="H48" s="13" t="s">
        <v>1199</v>
      </c>
      <c r="I48" s="13"/>
    </row>
    <row r="49" spans="1:9" x14ac:dyDescent="0.3">
      <c r="A49" s="13" t="s">
        <v>52</v>
      </c>
      <c r="B49" s="13" t="s">
        <v>1747</v>
      </c>
      <c r="C49" s="13" t="s">
        <v>789</v>
      </c>
      <c r="D49" s="13" t="s">
        <v>1698</v>
      </c>
      <c r="E49" s="13" t="s">
        <v>1699</v>
      </c>
      <c r="F49" s="13"/>
      <c r="G49" s="13"/>
      <c r="H49" s="13" t="s">
        <v>1199</v>
      </c>
      <c r="I49" s="13"/>
    </row>
    <row r="50" spans="1:9" x14ac:dyDescent="0.3">
      <c r="A50" s="13" t="s">
        <v>52</v>
      </c>
      <c r="B50" s="13" t="s">
        <v>1747</v>
      </c>
      <c r="C50" s="13" t="s">
        <v>790</v>
      </c>
      <c r="D50" s="13" t="s">
        <v>1698</v>
      </c>
      <c r="E50" s="13" t="s">
        <v>1699</v>
      </c>
      <c r="F50" s="13"/>
      <c r="G50" s="13"/>
      <c r="H50" s="13" t="s">
        <v>1199</v>
      </c>
      <c r="I50" s="13" t="s">
        <v>1702</v>
      </c>
    </row>
    <row r="51" spans="1:9" x14ac:dyDescent="0.3">
      <c r="A51" s="13" t="s">
        <v>52</v>
      </c>
      <c r="B51" s="13" t="s">
        <v>1747</v>
      </c>
      <c r="C51" s="13" t="s">
        <v>791</v>
      </c>
      <c r="D51" s="13" t="s">
        <v>1748</v>
      </c>
      <c r="E51" s="13" t="s">
        <v>1699</v>
      </c>
      <c r="F51" s="13"/>
      <c r="G51" s="13"/>
      <c r="H51" s="13" t="s">
        <v>1199</v>
      </c>
      <c r="I51" s="13"/>
    </row>
    <row r="52" spans="1:9" x14ac:dyDescent="0.3">
      <c r="A52" s="13" t="s">
        <v>52</v>
      </c>
      <c r="B52" s="13" t="s">
        <v>1747</v>
      </c>
      <c r="C52" s="13" t="s">
        <v>792</v>
      </c>
      <c r="D52" s="13" t="s">
        <v>1748</v>
      </c>
      <c r="E52" s="13" t="s">
        <v>1699</v>
      </c>
      <c r="F52" s="13"/>
      <c r="G52" s="13"/>
      <c r="H52" s="13" t="s">
        <v>1199</v>
      </c>
      <c r="I52" s="13"/>
    </row>
    <row r="53" spans="1:9" x14ac:dyDescent="0.3">
      <c r="A53" s="13" t="s">
        <v>52</v>
      </c>
      <c r="B53" s="13" t="s">
        <v>1747</v>
      </c>
      <c r="C53" s="13" t="s">
        <v>793</v>
      </c>
      <c r="D53" s="13" t="s">
        <v>1748</v>
      </c>
      <c r="E53" s="13" t="s">
        <v>1699</v>
      </c>
      <c r="F53" s="13"/>
      <c r="G53" s="13"/>
      <c r="H53" s="13" t="s">
        <v>1199</v>
      </c>
      <c r="I53" s="13"/>
    </row>
    <row r="54" spans="1:9" x14ac:dyDescent="0.3">
      <c r="A54" s="13" t="s">
        <v>52</v>
      </c>
      <c r="B54" s="13" t="s">
        <v>1747</v>
      </c>
      <c r="C54" s="13" t="s">
        <v>794</v>
      </c>
      <c r="D54" s="13" t="s">
        <v>1698</v>
      </c>
      <c r="E54" s="13" t="s">
        <v>1699</v>
      </c>
      <c r="F54" s="13"/>
      <c r="G54" s="13"/>
      <c r="H54" s="13" t="s">
        <v>1199</v>
      </c>
      <c r="I54" s="13"/>
    </row>
    <row r="55" spans="1:9" x14ac:dyDescent="0.3">
      <c r="A55" s="13" t="s">
        <v>52</v>
      </c>
      <c r="B55" s="13" t="s">
        <v>1747</v>
      </c>
      <c r="C55" s="13" t="s">
        <v>795</v>
      </c>
      <c r="D55" s="13" t="s">
        <v>1698</v>
      </c>
      <c r="E55" s="13" t="s">
        <v>1699</v>
      </c>
      <c r="F55" s="13"/>
      <c r="G55" s="13"/>
      <c r="H55" s="13" t="s">
        <v>1199</v>
      </c>
      <c r="I55" s="13"/>
    </row>
    <row r="56" spans="1:9" x14ac:dyDescent="0.3">
      <c r="A56" s="13" t="s">
        <v>54</v>
      </c>
      <c r="B56" s="13" t="s">
        <v>1749</v>
      </c>
      <c r="C56" s="13" t="s">
        <v>1070</v>
      </c>
      <c r="D56" s="13" t="s">
        <v>1698</v>
      </c>
      <c r="E56" s="13" t="s">
        <v>1699</v>
      </c>
      <c r="F56" s="13"/>
      <c r="G56" s="13"/>
      <c r="H56" s="13" t="s">
        <v>1199</v>
      </c>
      <c r="I56" s="13"/>
    </row>
    <row r="57" spans="1:9" x14ac:dyDescent="0.3">
      <c r="A57" s="13" t="s">
        <v>54</v>
      </c>
      <c r="B57" s="13" t="s">
        <v>1749</v>
      </c>
      <c r="C57" s="13" t="s">
        <v>1071</v>
      </c>
      <c r="D57" s="13" t="s">
        <v>1698</v>
      </c>
      <c r="E57" s="13" t="s">
        <v>1699</v>
      </c>
      <c r="F57" s="13"/>
      <c r="G57" s="13"/>
      <c r="H57" s="13" t="s">
        <v>1199</v>
      </c>
      <c r="I57" s="13"/>
    </row>
    <row r="58" spans="1:9" x14ac:dyDescent="0.3">
      <c r="A58" s="13" t="s">
        <v>54</v>
      </c>
      <c r="B58" s="13" t="s">
        <v>1749</v>
      </c>
      <c r="C58" s="13" t="s">
        <v>1072</v>
      </c>
      <c r="D58" s="13" t="s">
        <v>1698</v>
      </c>
      <c r="E58" s="13" t="s">
        <v>1699</v>
      </c>
      <c r="F58" s="13"/>
      <c r="G58" s="13"/>
      <c r="H58" s="13" t="s">
        <v>1199</v>
      </c>
      <c r="I58" s="13"/>
    </row>
    <row r="59" spans="1:9" x14ac:dyDescent="0.3">
      <c r="A59" s="13" t="s">
        <v>54</v>
      </c>
      <c r="B59" s="13" t="s">
        <v>1749</v>
      </c>
      <c r="C59" s="13" t="s">
        <v>1073</v>
      </c>
      <c r="D59" s="13" t="s">
        <v>1748</v>
      </c>
      <c r="E59" s="13" t="s">
        <v>1699</v>
      </c>
      <c r="F59" s="13"/>
      <c r="G59" s="13"/>
      <c r="H59" s="13" t="s">
        <v>1199</v>
      </c>
      <c r="I59" s="13"/>
    </row>
    <row r="60" spans="1:9" x14ac:dyDescent="0.3">
      <c r="A60" s="13" t="s">
        <v>54</v>
      </c>
      <c r="B60" s="13" t="s">
        <v>1749</v>
      </c>
      <c r="C60" s="13" t="s">
        <v>1074</v>
      </c>
      <c r="D60" s="13" t="s">
        <v>1748</v>
      </c>
      <c r="E60" s="13" t="s">
        <v>1699</v>
      </c>
      <c r="F60" s="13"/>
      <c r="G60" s="13"/>
      <c r="H60" s="13" t="s">
        <v>1199</v>
      </c>
      <c r="I60" s="13"/>
    </row>
    <row r="61" spans="1:9" x14ac:dyDescent="0.3">
      <c r="A61" s="13" t="s">
        <v>54</v>
      </c>
      <c r="B61" s="13" t="s">
        <v>1749</v>
      </c>
      <c r="C61" s="13" t="s">
        <v>1075</v>
      </c>
      <c r="D61" s="13" t="s">
        <v>1698</v>
      </c>
      <c r="E61" s="13" t="s">
        <v>1699</v>
      </c>
      <c r="F61" s="13"/>
      <c r="G61" s="13"/>
      <c r="H61" s="13" t="s">
        <v>1203</v>
      </c>
      <c r="I61" s="13"/>
    </row>
    <row r="62" spans="1:9" x14ac:dyDescent="0.3">
      <c r="A62" s="13" t="s">
        <v>54</v>
      </c>
      <c r="B62" s="13" t="s">
        <v>1749</v>
      </c>
      <c r="C62" s="13" t="s">
        <v>1076</v>
      </c>
      <c r="D62" s="13" t="s">
        <v>1698</v>
      </c>
      <c r="E62" s="13" t="s">
        <v>1699</v>
      </c>
      <c r="F62" s="13"/>
      <c r="G62" s="13"/>
      <c r="H62" s="13" t="s">
        <v>1199</v>
      </c>
      <c r="I62" s="13"/>
    </row>
    <row r="63" spans="1:9" x14ac:dyDescent="0.3">
      <c r="A63" s="13" t="s">
        <v>56</v>
      </c>
      <c r="B63" s="13" t="s">
        <v>1750</v>
      </c>
      <c r="C63" s="13" t="s">
        <v>92</v>
      </c>
      <c r="D63" s="13" t="s">
        <v>1698</v>
      </c>
      <c r="E63" s="13" t="s">
        <v>1699</v>
      </c>
      <c r="F63" s="13"/>
      <c r="G63" s="13"/>
      <c r="H63" s="13" t="s">
        <v>1199</v>
      </c>
      <c r="I63" s="13" t="s">
        <v>1702</v>
      </c>
    </row>
    <row r="64" spans="1:9" x14ac:dyDescent="0.3">
      <c r="A64" s="13" t="s">
        <v>56</v>
      </c>
      <c r="B64" s="13" t="s">
        <v>1750</v>
      </c>
      <c r="C64" s="13" t="s">
        <v>1105</v>
      </c>
      <c r="D64" s="13" t="s">
        <v>1698</v>
      </c>
      <c r="E64" s="13" t="s">
        <v>1699</v>
      </c>
      <c r="F64" s="13"/>
      <c r="G64" s="13"/>
      <c r="H64" s="13" t="s">
        <v>1199</v>
      </c>
      <c r="I64" s="13"/>
    </row>
    <row r="65" spans="1:9" x14ac:dyDescent="0.3">
      <c r="A65" s="13" t="s">
        <v>56</v>
      </c>
      <c r="B65" s="13" t="s">
        <v>1750</v>
      </c>
      <c r="C65" s="13" t="s">
        <v>1106</v>
      </c>
      <c r="D65" s="13" t="s">
        <v>1698</v>
      </c>
      <c r="E65" s="13" t="s">
        <v>1699</v>
      </c>
      <c r="F65" s="13"/>
      <c r="G65" s="13"/>
      <c r="H65" s="13" t="s">
        <v>1199</v>
      </c>
      <c r="I65" s="13"/>
    </row>
    <row r="66" spans="1:9" x14ac:dyDescent="0.3">
      <c r="A66" s="13" t="s">
        <v>56</v>
      </c>
      <c r="B66" s="13" t="s">
        <v>1750</v>
      </c>
      <c r="C66" s="13" t="s">
        <v>1107</v>
      </c>
      <c r="D66" s="13" t="s">
        <v>1698</v>
      </c>
      <c r="E66" s="13" t="s">
        <v>1699</v>
      </c>
      <c r="F66" s="13"/>
      <c r="G66" s="13"/>
      <c r="H66" s="13" t="s">
        <v>1199</v>
      </c>
      <c r="I66" s="13"/>
    </row>
    <row r="67" spans="1:9" x14ac:dyDescent="0.3">
      <c r="A67" s="13" t="s">
        <v>56</v>
      </c>
      <c r="B67" s="13" t="s">
        <v>1750</v>
      </c>
      <c r="C67" s="13" t="s">
        <v>1096</v>
      </c>
      <c r="D67" s="13" t="s">
        <v>1698</v>
      </c>
      <c r="E67" s="13" t="s">
        <v>1699</v>
      </c>
      <c r="F67" s="13"/>
      <c r="G67" s="13"/>
      <c r="H67" s="13" t="s">
        <v>1199</v>
      </c>
      <c r="I67" s="13"/>
    </row>
    <row r="68" spans="1:9" x14ac:dyDescent="0.3">
      <c r="A68" s="13" t="s">
        <v>56</v>
      </c>
      <c r="B68" s="13" t="s">
        <v>1750</v>
      </c>
      <c r="C68" s="13" t="s">
        <v>1108</v>
      </c>
      <c r="D68" s="13" t="s">
        <v>1698</v>
      </c>
      <c r="E68" s="13" t="s">
        <v>1699</v>
      </c>
      <c r="F68" s="13"/>
      <c r="G68" s="13"/>
      <c r="H68" s="13" t="s">
        <v>1199</v>
      </c>
      <c r="I68" s="13"/>
    </row>
    <row r="69" spans="1:9" x14ac:dyDescent="0.3">
      <c r="A69" s="13" t="s">
        <v>58</v>
      </c>
      <c r="B69" s="13" t="s">
        <v>1751</v>
      </c>
      <c r="C69" s="13" t="s">
        <v>1147</v>
      </c>
      <c r="D69" s="13" t="s">
        <v>1698</v>
      </c>
      <c r="E69" s="13" t="s">
        <v>1699</v>
      </c>
      <c r="F69" s="13"/>
      <c r="G69" s="13"/>
      <c r="H69" s="13" t="s">
        <v>1199</v>
      </c>
      <c r="I69" s="13" t="s">
        <v>1702</v>
      </c>
    </row>
    <row r="70" spans="1:9" x14ac:dyDescent="0.3">
      <c r="A70" s="13" t="s">
        <v>58</v>
      </c>
      <c r="B70" s="13" t="s">
        <v>1751</v>
      </c>
      <c r="C70" s="13" t="s">
        <v>1148</v>
      </c>
      <c r="D70" s="13" t="s">
        <v>1698</v>
      </c>
      <c r="E70" s="13" t="s">
        <v>1699</v>
      </c>
      <c r="F70" s="13"/>
      <c r="G70" s="13"/>
      <c r="H70" s="13" t="s">
        <v>1199</v>
      </c>
      <c r="I70" s="13"/>
    </row>
    <row r="71" spans="1:9" x14ac:dyDescent="0.3">
      <c r="A71" s="13" t="s">
        <v>58</v>
      </c>
      <c r="B71" s="13" t="s">
        <v>1751</v>
      </c>
      <c r="C71" s="13" t="s">
        <v>1149</v>
      </c>
      <c r="D71" s="13" t="s">
        <v>1698</v>
      </c>
      <c r="E71" s="13" t="s">
        <v>1699</v>
      </c>
      <c r="F71" s="13"/>
      <c r="G71" s="13"/>
      <c r="H71" s="13" t="s">
        <v>1199</v>
      </c>
      <c r="I71" s="13"/>
    </row>
    <row r="72" spans="1:9" x14ac:dyDescent="0.3">
      <c r="A72" s="13" t="s">
        <v>60</v>
      </c>
      <c r="B72" s="13" t="s">
        <v>1752</v>
      </c>
      <c r="C72" s="13" t="s">
        <v>154</v>
      </c>
      <c r="D72" s="13" t="s">
        <v>1698</v>
      </c>
      <c r="E72" s="13" t="s">
        <v>1699</v>
      </c>
      <c r="F72" s="13"/>
      <c r="G72" s="13"/>
      <c r="H72" s="13" t="s">
        <v>1199</v>
      </c>
      <c r="I72" s="13" t="s">
        <v>1702</v>
      </c>
    </row>
    <row r="73" spans="1:9" x14ac:dyDescent="0.3">
      <c r="A73" s="13" t="s">
        <v>60</v>
      </c>
      <c r="B73" s="13" t="s">
        <v>1752</v>
      </c>
      <c r="C73" s="13" t="s">
        <v>427</v>
      </c>
      <c r="D73" s="13" t="s">
        <v>1698</v>
      </c>
      <c r="E73" s="13" t="s">
        <v>1699</v>
      </c>
      <c r="F73" s="13"/>
      <c r="G73" s="13"/>
      <c r="H73" s="13" t="s">
        <v>1199</v>
      </c>
      <c r="I73" s="13"/>
    </row>
    <row r="74" spans="1:9" x14ac:dyDescent="0.3">
      <c r="A74" s="13" t="s">
        <v>60</v>
      </c>
      <c r="B74" s="13" t="s">
        <v>1752</v>
      </c>
      <c r="C74" s="13" t="s">
        <v>158</v>
      </c>
      <c r="D74" s="13" t="s">
        <v>1698</v>
      </c>
      <c r="E74" s="13" t="s">
        <v>1699</v>
      </c>
      <c r="F74" s="13"/>
      <c r="G74" s="13"/>
      <c r="H74" s="13" t="s">
        <v>1199</v>
      </c>
      <c r="I74" s="13"/>
    </row>
    <row r="75" spans="1:9" x14ac:dyDescent="0.3">
      <c r="A75" s="13" t="s">
        <v>60</v>
      </c>
      <c r="B75" s="13" t="s">
        <v>1752</v>
      </c>
      <c r="C75" s="13" t="s">
        <v>157</v>
      </c>
      <c r="D75" s="13" t="s">
        <v>1698</v>
      </c>
      <c r="E75" s="13" t="s">
        <v>1699</v>
      </c>
      <c r="F75" s="13"/>
      <c r="G75" s="13"/>
      <c r="H75" s="13" t="s">
        <v>1199</v>
      </c>
      <c r="I75" s="13"/>
    </row>
    <row r="76" spans="1:9" x14ac:dyDescent="0.3">
      <c r="A76" s="13" t="s">
        <v>62</v>
      </c>
      <c r="B76" s="13" t="s">
        <v>1753</v>
      </c>
      <c r="C76" s="13" t="s">
        <v>867</v>
      </c>
      <c r="D76" s="13" t="s">
        <v>1698</v>
      </c>
      <c r="E76" s="13" t="s">
        <v>1699</v>
      </c>
      <c r="F76" s="13"/>
      <c r="G76" s="13"/>
      <c r="H76" s="13" t="s">
        <v>1199</v>
      </c>
      <c r="I76" s="13" t="s">
        <v>1702</v>
      </c>
    </row>
    <row r="77" spans="1:9" x14ac:dyDescent="0.3">
      <c r="A77" s="13" t="s">
        <v>62</v>
      </c>
      <c r="B77" s="13" t="s">
        <v>1753</v>
      </c>
      <c r="C77" s="13" t="s">
        <v>1240</v>
      </c>
      <c r="D77" s="13" t="s">
        <v>1698</v>
      </c>
      <c r="E77" s="13" t="s">
        <v>1699</v>
      </c>
      <c r="F77" s="13"/>
      <c r="G77" s="13"/>
      <c r="H77" s="13" t="s">
        <v>1199</v>
      </c>
      <c r="I77" s="13"/>
    </row>
    <row r="78" spans="1:9" x14ac:dyDescent="0.3">
      <c r="A78" s="13" t="s">
        <v>62</v>
      </c>
      <c r="B78" s="13" t="s">
        <v>1753</v>
      </c>
      <c r="C78" s="13" t="s">
        <v>1241</v>
      </c>
      <c r="D78" s="13" t="s">
        <v>1748</v>
      </c>
      <c r="E78" s="13" t="s">
        <v>1699</v>
      </c>
      <c r="F78" s="13"/>
      <c r="G78" s="13"/>
      <c r="H78" s="13" t="s">
        <v>1199</v>
      </c>
      <c r="I78" s="13"/>
    </row>
    <row r="79" spans="1:9" x14ac:dyDescent="0.3">
      <c r="A79" s="13" t="s">
        <v>62</v>
      </c>
      <c r="B79" s="13" t="s">
        <v>1753</v>
      </c>
      <c r="C79" s="13" t="s">
        <v>1242</v>
      </c>
      <c r="D79" s="13" t="s">
        <v>1698</v>
      </c>
      <c r="E79" s="13" t="s">
        <v>1699</v>
      </c>
      <c r="F79" s="13"/>
      <c r="G79" s="13"/>
      <c r="H79" s="13" t="s">
        <v>1199</v>
      </c>
      <c r="I79" s="13"/>
    </row>
    <row r="80" spans="1:9" ht="26.4" x14ac:dyDescent="0.3">
      <c r="A80" s="13" t="s">
        <v>64</v>
      </c>
      <c r="B80" s="13" t="s">
        <v>1754</v>
      </c>
      <c r="C80" s="13" t="s">
        <v>633</v>
      </c>
      <c r="D80" s="13" t="s">
        <v>1698</v>
      </c>
      <c r="E80" s="13" t="s">
        <v>1699</v>
      </c>
      <c r="F80" s="13"/>
      <c r="G80" s="13"/>
      <c r="H80" s="13" t="s">
        <v>1199</v>
      </c>
      <c r="I80" s="13" t="s">
        <v>1702</v>
      </c>
    </row>
    <row r="81" spans="1:9" ht="26.4" x14ac:dyDescent="0.3">
      <c r="A81" s="13" t="s">
        <v>64</v>
      </c>
      <c r="B81" s="13" t="s">
        <v>1754</v>
      </c>
      <c r="C81" s="13" t="s">
        <v>810</v>
      </c>
      <c r="D81" s="13" t="s">
        <v>1698</v>
      </c>
      <c r="E81" s="13" t="s">
        <v>1699</v>
      </c>
      <c r="F81" s="13"/>
      <c r="G81" s="13"/>
      <c r="H81" s="13" t="s">
        <v>1199</v>
      </c>
      <c r="I81" s="13"/>
    </row>
    <row r="82" spans="1:9" ht="26.4" x14ac:dyDescent="0.3">
      <c r="A82" s="13" t="s">
        <v>64</v>
      </c>
      <c r="B82" s="13" t="s">
        <v>1754</v>
      </c>
      <c r="C82" s="13" t="s">
        <v>1277</v>
      </c>
      <c r="D82" s="13" t="s">
        <v>1748</v>
      </c>
      <c r="E82" s="13" t="s">
        <v>1699</v>
      </c>
      <c r="F82" s="13" t="s">
        <v>1755</v>
      </c>
      <c r="G82" s="13" t="s">
        <v>1756</v>
      </c>
      <c r="H82" s="13" t="s">
        <v>1199</v>
      </c>
      <c r="I82" s="13"/>
    </row>
    <row r="83" spans="1:9" ht="26.4" x14ac:dyDescent="0.3">
      <c r="A83" s="13" t="s">
        <v>64</v>
      </c>
      <c r="B83" s="13" t="s">
        <v>1754</v>
      </c>
      <c r="C83" s="13" t="s">
        <v>431</v>
      </c>
      <c r="D83" s="13" t="s">
        <v>1698</v>
      </c>
      <c r="E83" s="13" t="s">
        <v>1699</v>
      </c>
      <c r="F83" s="13"/>
      <c r="G83" s="13"/>
      <c r="H83" s="13" t="s">
        <v>1199</v>
      </c>
      <c r="I83" s="13"/>
    </row>
    <row r="84" spans="1:9" ht="26.4" x14ac:dyDescent="0.3">
      <c r="A84" s="13" t="s">
        <v>64</v>
      </c>
      <c r="B84" s="13" t="s">
        <v>1754</v>
      </c>
      <c r="C84" s="13" t="s">
        <v>1278</v>
      </c>
      <c r="D84" s="13" t="s">
        <v>1698</v>
      </c>
      <c r="E84" s="13" t="s">
        <v>1699</v>
      </c>
      <c r="F84" s="13"/>
      <c r="G84" s="13"/>
      <c r="H84" s="13" t="s">
        <v>1199</v>
      </c>
      <c r="I84" s="13"/>
    </row>
    <row r="85" spans="1:9" x14ac:dyDescent="0.3">
      <c r="A85" s="13" t="s">
        <v>66</v>
      </c>
      <c r="B85" s="13" t="s">
        <v>1757</v>
      </c>
      <c r="C85" s="13" t="s">
        <v>1317</v>
      </c>
      <c r="D85" s="13" t="s">
        <v>1698</v>
      </c>
      <c r="E85" s="13" t="s">
        <v>1699</v>
      </c>
      <c r="F85" s="13"/>
      <c r="G85" s="13"/>
      <c r="H85" s="13" t="s">
        <v>1199</v>
      </c>
      <c r="I85" s="13" t="s">
        <v>1702</v>
      </c>
    </row>
    <row r="86" spans="1:9" x14ac:dyDescent="0.3">
      <c r="A86" s="13" t="s">
        <v>66</v>
      </c>
      <c r="B86" s="13" t="s">
        <v>1757</v>
      </c>
      <c r="C86" s="13" t="s">
        <v>723</v>
      </c>
      <c r="D86" s="13" t="s">
        <v>1698</v>
      </c>
      <c r="E86" s="13" t="s">
        <v>1699</v>
      </c>
      <c r="F86" s="13"/>
      <c r="G86" s="13"/>
      <c r="H86" s="13" t="s">
        <v>1199</v>
      </c>
      <c r="I86" s="13"/>
    </row>
    <row r="87" spans="1:9" x14ac:dyDescent="0.3">
      <c r="A87" s="13" t="s">
        <v>66</v>
      </c>
      <c r="B87" s="13" t="s">
        <v>1757</v>
      </c>
      <c r="C87" s="13" t="s">
        <v>1318</v>
      </c>
      <c r="D87" s="13" t="s">
        <v>1698</v>
      </c>
      <c r="E87" s="13" t="s">
        <v>1699</v>
      </c>
      <c r="F87" s="13"/>
      <c r="G87" s="13"/>
      <c r="H87" s="13" t="s">
        <v>1199</v>
      </c>
      <c r="I87" s="13"/>
    </row>
    <row r="88" spans="1:9" x14ac:dyDescent="0.3">
      <c r="A88" s="13" t="s">
        <v>66</v>
      </c>
      <c r="B88" s="13" t="s">
        <v>1757</v>
      </c>
      <c r="C88" s="13" t="s">
        <v>1319</v>
      </c>
      <c r="D88" s="13" t="s">
        <v>1698</v>
      </c>
      <c r="E88" s="13" t="s">
        <v>1699</v>
      </c>
      <c r="F88" s="13"/>
      <c r="G88" s="13"/>
      <c r="H88" s="13" t="s">
        <v>1199</v>
      </c>
      <c r="I88" s="13"/>
    </row>
    <row r="89" spans="1:9" x14ac:dyDescent="0.3">
      <c r="A89" s="13" t="s">
        <v>66</v>
      </c>
      <c r="B89" s="13" t="s">
        <v>1757</v>
      </c>
      <c r="C89" s="13" t="s">
        <v>1320</v>
      </c>
      <c r="D89" s="13" t="s">
        <v>1698</v>
      </c>
      <c r="E89" s="13" t="s">
        <v>1699</v>
      </c>
      <c r="F89" s="13" t="s">
        <v>1758</v>
      </c>
      <c r="G89" s="13"/>
      <c r="H89" s="13" t="s">
        <v>1199</v>
      </c>
      <c r="I89" s="13"/>
    </row>
    <row r="90" spans="1:9" x14ac:dyDescent="0.3">
      <c r="A90" s="13" t="s">
        <v>66</v>
      </c>
      <c r="B90" s="13" t="s">
        <v>1757</v>
      </c>
      <c r="C90" s="13" t="s">
        <v>1321</v>
      </c>
      <c r="D90" s="13" t="s">
        <v>1698</v>
      </c>
      <c r="E90" s="13" t="s">
        <v>1699</v>
      </c>
      <c r="F90" s="13"/>
      <c r="G90" s="13"/>
      <c r="H90" s="13" t="s">
        <v>1199</v>
      </c>
      <c r="I90" s="13"/>
    </row>
    <row r="91" spans="1:9" x14ac:dyDescent="0.3">
      <c r="A91" s="13" t="s">
        <v>66</v>
      </c>
      <c r="B91" s="13" t="s">
        <v>1757</v>
      </c>
      <c r="C91" s="13" t="s">
        <v>1322</v>
      </c>
      <c r="D91" s="13" t="s">
        <v>1698</v>
      </c>
      <c r="E91" s="13" t="s">
        <v>1707</v>
      </c>
      <c r="F91" s="13"/>
      <c r="G91" s="13"/>
      <c r="H91" s="13" t="s">
        <v>1199</v>
      </c>
      <c r="I91" s="13"/>
    </row>
    <row r="92" spans="1:9" x14ac:dyDescent="0.3">
      <c r="A92" s="13" t="s">
        <v>66</v>
      </c>
      <c r="B92" s="13" t="s">
        <v>1757</v>
      </c>
      <c r="C92" s="13" t="s">
        <v>1323</v>
      </c>
      <c r="D92" s="13" t="s">
        <v>1748</v>
      </c>
      <c r="E92" s="13" t="s">
        <v>1699</v>
      </c>
      <c r="F92" s="13"/>
      <c r="G92" s="13"/>
      <c r="H92" s="13" t="s">
        <v>1199</v>
      </c>
      <c r="I92" s="13"/>
    </row>
    <row r="93" spans="1:9" x14ac:dyDescent="0.3">
      <c r="A93" s="13" t="s">
        <v>66</v>
      </c>
      <c r="B93" s="13" t="s">
        <v>1757</v>
      </c>
      <c r="C93" s="13" t="s">
        <v>1324</v>
      </c>
      <c r="D93" s="13" t="s">
        <v>1748</v>
      </c>
      <c r="E93" s="13" t="s">
        <v>1699</v>
      </c>
      <c r="F93" s="13"/>
      <c r="G93" s="13"/>
      <c r="H93" s="13" t="s">
        <v>1199</v>
      </c>
      <c r="I93" s="13"/>
    </row>
    <row r="94" spans="1:9" x14ac:dyDescent="0.3">
      <c r="A94" s="13" t="s">
        <v>66</v>
      </c>
      <c r="B94" s="13" t="s">
        <v>1757</v>
      </c>
      <c r="C94" s="13" t="s">
        <v>1325</v>
      </c>
      <c r="D94" s="13" t="s">
        <v>1748</v>
      </c>
      <c r="E94" s="13" t="s">
        <v>1707</v>
      </c>
      <c r="F94" s="13"/>
      <c r="G94" s="13"/>
      <c r="H94" s="13" t="s">
        <v>1199</v>
      </c>
      <c r="I94" s="13"/>
    </row>
    <row r="95" spans="1:9" x14ac:dyDescent="0.3">
      <c r="A95" s="13" t="s">
        <v>66</v>
      </c>
      <c r="B95" s="13" t="s">
        <v>1757</v>
      </c>
      <c r="C95" s="13" t="s">
        <v>1326</v>
      </c>
      <c r="D95" s="13" t="s">
        <v>1748</v>
      </c>
      <c r="E95" s="13" t="s">
        <v>1707</v>
      </c>
      <c r="F95" s="13"/>
      <c r="G95" s="13"/>
      <c r="H95" s="13" t="s">
        <v>1199</v>
      </c>
      <c r="I95" s="13"/>
    </row>
    <row r="96" spans="1:9" ht="26.4" x14ac:dyDescent="0.3">
      <c r="A96" s="13" t="s">
        <v>66</v>
      </c>
      <c r="B96" s="13" t="s">
        <v>1757</v>
      </c>
      <c r="C96" s="13" t="s">
        <v>1327</v>
      </c>
      <c r="D96" s="13" t="s">
        <v>1759</v>
      </c>
      <c r="E96" s="13" t="s">
        <v>1707</v>
      </c>
      <c r="F96" s="13" t="s">
        <v>1760</v>
      </c>
      <c r="G96" s="13"/>
      <c r="H96" s="13" t="s">
        <v>1199</v>
      </c>
      <c r="I96" s="13"/>
    </row>
    <row r="97" spans="1:9" ht="26.4" x14ac:dyDescent="0.3">
      <c r="A97" s="13" t="s">
        <v>68</v>
      </c>
      <c r="B97" s="13" t="s">
        <v>1761</v>
      </c>
      <c r="C97" s="13" t="s">
        <v>1317</v>
      </c>
      <c r="D97" s="13" t="s">
        <v>1698</v>
      </c>
      <c r="E97" s="13" t="s">
        <v>1699</v>
      </c>
      <c r="F97" s="13"/>
      <c r="G97" s="13"/>
      <c r="H97" s="13" t="s">
        <v>1199</v>
      </c>
      <c r="I97" s="13"/>
    </row>
    <row r="98" spans="1:9" ht="26.4" x14ac:dyDescent="0.3">
      <c r="A98" s="13" t="s">
        <v>68</v>
      </c>
      <c r="B98" s="13" t="s">
        <v>1761</v>
      </c>
      <c r="C98" s="13" t="s">
        <v>1319</v>
      </c>
      <c r="D98" s="13" t="s">
        <v>1698</v>
      </c>
      <c r="E98" s="13" t="s">
        <v>1699</v>
      </c>
      <c r="F98" s="13"/>
      <c r="G98" s="13"/>
      <c r="H98" s="13" t="s">
        <v>1199</v>
      </c>
      <c r="I98" s="13"/>
    </row>
    <row r="99" spans="1:9" ht="26.4" x14ac:dyDescent="0.3">
      <c r="A99" s="13" t="s">
        <v>68</v>
      </c>
      <c r="B99" s="13" t="s">
        <v>1761</v>
      </c>
      <c r="C99" s="13" t="s">
        <v>1397</v>
      </c>
      <c r="D99" s="13" t="s">
        <v>1698</v>
      </c>
      <c r="E99" s="13" t="s">
        <v>1699</v>
      </c>
      <c r="F99" s="13"/>
      <c r="G99" s="13"/>
      <c r="H99" s="13" t="s">
        <v>1203</v>
      </c>
      <c r="I99" s="13"/>
    </row>
    <row r="100" spans="1:9" ht="26.4" x14ac:dyDescent="0.3">
      <c r="A100" s="13" t="s">
        <v>68</v>
      </c>
      <c r="B100" s="13" t="s">
        <v>1761</v>
      </c>
      <c r="C100" s="13" t="s">
        <v>1398</v>
      </c>
      <c r="D100" s="13" t="s">
        <v>1748</v>
      </c>
      <c r="E100" s="13" t="s">
        <v>1699</v>
      </c>
      <c r="F100" s="13"/>
      <c r="G100" s="13"/>
      <c r="H100" s="13" t="s">
        <v>1203</v>
      </c>
      <c r="I100" s="13"/>
    </row>
    <row r="101" spans="1:9" ht="26.4" x14ac:dyDescent="0.3">
      <c r="A101" s="13" t="s">
        <v>68</v>
      </c>
      <c r="B101" s="13" t="s">
        <v>1761</v>
      </c>
      <c r="C101" s="13" t="s">
        <v>1399</v>
      </c>
      <c r="D101" s="13" t="s">
        <v>1698</v>
      </c>
      <c r="E101" s="13" t="s">
        <v>1699</v>
      </c>
      <c r="F101" s="13"/>
      <c r="G101" s="13"/>
      <c r="H101" s="13" t="s">
        <v>1199</v>
      </c>
      <c r="I101" s="13"/>
    </row>
    <row r="102" spans="1:9" ht="26.4" x14ac:dyDescent="0.3">
      <c r="A102" s="13" t="s">
        <v>68</v>
      </c>
      <c r="B102" s="13" t="s">
        <v>1761</v>
      </c>
      <c r="C102" s="13" t="s">
        <v>1321</v>
      </c>
      <c r="D102" s="13" t="s">
        <v>1698</v>
      </c>
      <c r="E102" s="13" t="s">
        <v>1699</v>
      </c>
      <c r="F102" s="13"/>
      <c r="G102" s="13"/>
      <c r="H102" s="13" t="s">
        <v>1199</v>
      </c>
      <c r="I102" s="13"/>
    </row>
    <row r="103" spans="1:9" ht="26.4" x14ac:dyDescent="0.3">
      <c r="A103" s="13" t="s">
        <v>68</v>
      </c>
      <c r="B103" s="13" t="s">
        <v>1761</v>
      </c>
      <c r="C103" s="13" t="s">
        <v>1400</v>
      </c>
      <c r="D103" s="13" t="s">
        <v>1698</v>
      </c>
      <c r="E103" s="13" t="s">
        <v>1699</v>
      </c>
      <c r="F103" s="13"/>
      <c r="G103" s="13"/>
      <c r="H103" s="13" t="s">
        <v>1203</v>
      </c>
      <c r="I103" s="13"/>
    </row>
    <row r="104" spans="1:9" ht="26.4" x14ac:dyDescent="0.3">
      <c r="A104" s="13" t="s">
        <v>68</v>
      </c>
      <c r="B104" s="13" t="s">
        <v>1761</v>
      </c>
      <c r="C104" s="13" t="s">
        <v>1401</v>
      </c>
      <c r="D104" s="13" t="s">
        <v>1748</v>
      </c>
      <c r="E104" s="13" t="s">
        <v>1699</v>
      </c>
      <c r="F104" s="13"/>
      <c r="G104" s="13"/>
      <c r="H104" s="13" t="s">
        <v>1203</v>
      </c>
      <c r="I104" s="13"/>
    </row>
    <row r="105" spans="1:9" ht="26.4" x14ac:dyDescent="0.3">
      <c r="A105" s="13" t="s">
        <v>68</v>
      </c>
      <c r="B105" s="13" t="s">
        <v>1761</v>
      </c>
      <c r="C105" s="13" t="s">
        <v>1402</v>
      </c>
      <c r="D105" s="13" t="s">
        <v>1698</v>
      </c>
      <c r="E105" s="13" t="s">
        <v>1699</v>
      </c>
      <c r="F105" s="13"/>
      <c r="G105" s="13" t="s">
        <v>1762</v>
      </c>
      <c r="H105" s="13" t="s">
        <v>1199</v>
      </c>
      <c r="I105" s="13"/>
    </row>
    <row r="106" spans="1:9" ht="26.4" x14ac:dyDescent="0.3">
      <c r="A106" s="13" t="s">
        <v>68</v>
      </c>
      <c r="B106" s="13" t="s">
        <v>1761</v>
      </c>
      <c r="C106" s="13" t="s">
        <v>1403</v>
      </c>
      <c r="D106" s="13" t="s">
        <v>1698</v>
      </c>
      <c r="E106" s="13" t="s">
        <v>1707</v>
      </c>
      <c r="F106" s="13"/>
      <c r="G106" s="13"/>
      <c r="H106" s="13" t="s">
        <v>1199</v>
      </c>
      <c r="I106" s="1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20</vt:i4>
      </vt:variant>
      <vt:variant>
        <vt:lpstr>Intervalos com Nome</vt:lpstr>
      </vt:variant>
      <vt:variant>
        <vt:i4>22</vt:i4>
      </vt:variant>
    </vt:vector>
  </HeadingPairs>
  <TitlesOfParts>
    <vt:vector size="42" baseType="lpstr">
      <vt:lpstr>00_LEIA-ME</vt:lpstr>
      <vt:lpstr>Ficheiros</vt:lpstr>
      <vt:lpstr>Matriz_ISO50001</vt:lpstr>
      <vt:lpstr>Resumo_Prontidao</vt:lpstr>
      <vt:lpstr>Matriz_Mestra_Info_Doc</vt:lpstr>
      <vt:lpstr>Matriz_Normativa</vt:lpstr>
      <vt:lpstr>Normas_Fontes</vt:lpstr>
      <vt:lpstr>Matriz_Fonte_Unica</vt:lpstr>
      <vt:lpstr>Catalogo_Tabelas</vt:lpstr>
      <vt:lpstr>Integridade_Referencial</vt:lpstr>
      <vt:lpstr>Dim_Uso</vt:lpstr>
      <vt:lpstr>Dim_Funcao</vt:lpstr>
      <vt:lpstr>Dim_Clausula_ISO50001</vt:lpstr>
      <vt:lpstr>Dim_Maquina</vt:lpstr>
      <vt:lpstr>Autoavaliacao_Maturidade</vt:lpstr>
      <vt:lpstr>Harmonizacao_Resumo</vt:lpstr>
      <vt:lpstr>Matriz_Harmonizacao_SGI</vt:lpstr>
      <vt:lpstr>Modelo_Dados</vt:lpstr>
      <vt:lpstr>Listas</vt:lpstr>
      <vt:lpstr>Dicionario_Dados</vt:lpstr>
      <vt:lpstr>DataRef</vt:lpstr>
      <vt:lpstr>lst_Classe</vt:lpstr>
      <vt:lpstr>lst_Correspondencia</vt:lpstr>
      <vt:lpstr>lst_DataReferencia</vt:lpstr>
      <vt:lpstr>lst_Estado</vt:lpstr>
      <vt:lpstr>lst_Nivel</vt:lpstr>
      <vt:lpstr>lst_SimNao</vt:lpstr>
      <vt:lpstr>Autoavaliacao_Maturidade!Títulos_de_Impressão</vt:lpstr>
      <vt:lpstr>Catalogo_Tabelas!Títulos_de_Impressão</vt:lpstr>
      <vt:lpstr>Dim_Clausula_ISO50001!Títulos_de_Impressão</vt:lpstr>
      <vt:lpstr>Dim_Funcao!Títulos_de_Impressão</vt:lpstr>
      <vt:lpstr>Dim_Maquina!Títulos_de_Impressão</vt:lpstr>
      <vt:lpstr>Dim_Uso!Títulos_de_Impressão</vt:lpstr>
      <vt:lpstr>Ficheiros!Títulos_de_Impressão</vt:lpstr>
      <vt:lpstr>Harmonizacao_Resumo!Títulos_de_Impressão</vt:lpstr>
      <vt:lpstr>Integridade_Referencial!Títulos_de_Impressão</vt:lpstr>
      <vt:lpstr>Matriz_Fonte_Unica!Títulos_de_Impressão</vt:lpstr>
      <vt:lpstr>Matriz_Harmonizacao_SGI!Títulos_de_Impressão</vt:lpstr>
      <vt:lpstr>Matriz_ISO50001!Títulos_de_Impressão</vt:lpstr>
      <vt:lpstr>Matriz_Mestra_Info_Doc!Títulos_de_Impressão</vt:lpstr>
      <vt:lpstr>Matriz_Normativa!Títulos_de_Impressão</vt:lpstr>
      <vt:lpstr>Normas_Fontes!Títulos_de_Impressão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RG-SGE-00 Índice do SGE, Matriz ISO 50001, Matriz Normativa e Modelo de Dados</dc:title>
  <dc:subject>SGE NP EN ISO 50001:2019 (ISO 50001:2018 + Amd 1:2024) — Plasticom</dc:subject>
  <dc:creator>Gestor(a) de Energia</dc:creator>
  <cp:lastModifiedBy>Aline Meireles</cp:lastModifiedBy>
  <dcterms:created xsi:type="dcterms:W3CDTF">2026-09-30T16:50:32Z</dcterms:created>
  <dcterms:modified xsi:type="dcterms:W3CDTF">2026-09-30T16:50:35Z</dcterms:modified>
</cp:coreProperties>
</file>