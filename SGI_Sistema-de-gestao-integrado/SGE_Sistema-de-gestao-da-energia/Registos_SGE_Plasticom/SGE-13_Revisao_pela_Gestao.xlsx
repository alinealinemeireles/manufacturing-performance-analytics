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5229FB77-FD3C-424A-91E2-C069B42FE8D4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Agenda" sheetId="2" r:id="rId2"/>
    <sheet name="Decisoes" sheetId="3" r:id="rId3"/>
    <sheet name="Acoes_Anteriores" sheetId="4" r:id="rId4"/>
    <sheet name="Ata" sheetId="5" r:id="rId5"/>
    <sheet name="Listas" sheetId="6" r:id="rId6"/>
    <sheet name="Dicionario_Dados" sheetId="7" r:id="rId7"/>
  </sheets>
  <definedNames>
    <definedName name="DataRef">Listas!$A$3</definedName>
    <definedName name="lst_DataReferencia">Listas!$A$3:$A$3</definedName>
    <definedName name="lst_Funcao">Listas!$B$3:$B$24</definedName>
    <definedName name="_xlnm.Print_Titles" localSheetId="3">Acoes_Anteriores!$1:$1</definedName>
    <definedName name="_xlnm.Print_Titles" localSheetId="1">Agenda!$4:$4</definedName>
    <definedName name="_xlnm.Print_Titles" localSheetId="2">Decisoes!$4:$4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3" l="1"/>
  <c r="J11" i="3"/>
  <c r="J10" i="3"/>
  <c r="J9" i="3"/>
  <c r="J8" i="3"/>
  <c r="J7" i="3"/>
  <c r="J6" i="3"/>
  <c r="J5" i="3"/>
  <c r="H13" i="2"/>
  <c r="H12" i="2"/>
  <c r="H11" i="2"/>
  <c r="H10" i="2"/>
  <c r="H9" i="2"/>
  <c r="H8" i="2"/>
  <c r="H7" i="2"/>
  <c r="H6" i="2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Reunião.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Ponto.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Entrada da norma (9.3.2 / 9.3.3).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Tópico.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Registo.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Quem apresenta.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Minutos.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Decisões associadas.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Decisão.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Ponto da agenda.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Resultado da norma (9.3.4 a–g) — posição de Tipo_Saida_9_3_3 no SGA.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Decisão.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Recursos.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Ligação.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Dias até ao prazo.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Decisão anterior.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Decisão.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</commentList>
</comments>
</file>

<file path=xl/sharedStrings.xml><?xml version="1.0" encoding="utf-8"?>
<sst xmlns="http://schemas.openxmlformats.org/spreadsheetml/2006/main" count="420" uniqueCount="238">
  <si>
    <t>RG-SGE-13 — Revisão pela Gestão do SGE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</si>
  <si>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</si>
  <si>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</si>
  <si>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</si>
  <si>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RG-SGE-13</t>
  </si>
  <si>
    <t>Título</t>
  </si>
  <si>
    <t>Revisão pela Gestão do SGE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</si>
  <si>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</si>
  <si>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</si>
  <si>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</si>
  <si>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</si>
  <si>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</si>
  <si>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</si>
  <si>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</si>
  <si>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</si>
  <si>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</si>
  <si>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</si>
  <si>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</si>
  <si>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</si>
  <si>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</si>
  <si>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</si>
  <si>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</si>
  <si>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1.ª revisão pela gestão do SGE (RD-E-2026-01, 18/12/2026, integrada na revisão do SGI): agenda com a entrada da norma de cada ponto, ações anteriores, 8 decisões classificadas por 9.3.4 a)–g) e ata.</t>
  </si>
  <si>
    <t>Utilização / atividades</t>
  </si>
  <si>
    <t>A gestão de topo revê o SGE a intervalos planeados quanto à adequação, suficiência, eficácia e alinhamento com a orientação estratégica, e decide sobre melhoria e recursos.</t>
  </si>
  <si>
    <t>Requisitos ISO 50001:2018</t>
  </si>
  <si>
    <t>9.3.1; 9.3.2 a)–e); 9.3.3 (objetivos e metas atingidos; desempenho energético e melhoria com base na monitorização, incluindo os IDE; estado dos planos de ação); 9.3.4 a)–g) (reter como evidência); 5.1 g) e l).</t>
  </si>
  <si>
    <t>NORMAS DE ORIENTAÇÃO E REFERÊNCIAS APLICADAS (orientação — não são requisitos auditáveis da ISO 50001)</t>
  </si>
  <si>
    <t>ISO 50004:2020 §9.3</t>
  </si>
  <si>
    <t>Conteúdo típico das entradas e saídas da revisão pela gestão do SGE.</t>
  </si>
  <si>
    <t>M-9 Avaliação de desempenho (curso Bureau Veritas)</t>
  </si>
  <si>
    <t>Entradas específicas de desempenho energético (9.3.3).</t>
  </si>
  <si>
    <t>REQUISITOS LEGAIS E OUTROS REQUISITOS APLICADOS (4.2, 9.1.2 — lista completa no RG-SGE-11)</t>
  </si>
  <si>
    <t>DL 71/2008 (SGCIE)</t>
  </si>
  <si>
    <t>Estado do PREn e do REP apresentado (ponto 6).</t>
  </si>
  <si>
    <t>ESTRUTURA DO FICHEIRO</t>
  </si>
  <si>
    <t>Agenda</t>
  </si>
  <si>
    <t>Agenda com as entradas 9.3.2 e 9.3.3 — mesma estrutura do RG-SGA-15.</t>
  </si>
  <si>
    <t>Decisoes</t>
  </si>
  <si>
    <t>Decisões da revisão (9.3.4 a–g — reter).</t>
  </si>
  <si>
    <t>Acoes_Anteriores</t>
  </si>
  <si>
    <t>Estado das ações de revisões anteriores (9.3.2 a).</t>
  </si>
  <si>
    <t>Ata</t>
  </si>
  <si>
    <t>Ata da revisão pela gestão (resumo para assinatura).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</si>
  <si>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</si>
  <si>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</si>
  <si>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</si>
  <si>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</si>
  <si>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</si>
  <si>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</si>
  <si>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</si>
  <si>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</si>
  <si>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</si>
  <si>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</si>
  <si>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</si>
  <si>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</si>
  <si>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</si>
  <si>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</si>
  <si>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</si>
  <si>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</si>
  <si>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</si>
  <si>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</si>
  <si>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RG-SGE-05</t>
  </si>
  <si>
    <t>IDE, LBE e objetivos (9.3.3).</t>
  </si>
  <si>
    <t>RG-SGE-12</t>
  </si>
  <si>
    <t>Resultados da auditoria.</t>
  </si>
  <si>
    <t>RG-SGA-15 / RG-SGQ-17</t>
  </si>
  <si>
    <t>Revisões do SGA e do SGQ (mesmas tabelas).</t>
  </si>
  <si>
    <t>REVISÃO PELA GESTÃO RD-E-2026-01 — 18/12/2026 — AGENDA</t>
  </si>
  <si>
    <t>ID_Reuniao</t>
  </si>
  <si>
    <t>Ponto</t>
  </si>
  <si>
    <t>Entrada_9_3_2</t>
  </si>
  <si>
    <t>Topico</t>
  </si>
  <si>
    <t>Fonte_Dados</t>
  </si>
  <si>
    <t>Apresentador</t>
  </si>
  <si>
    <t>Duracao_min</t>
  </si>
  <si>
    <t>N_Decisoes</t>
  </si>
  <si>
    <t>RD-E-2026-01</t>
  </si>
  <si>
    <t>9.3.2 a)</t>
  </si>
  <si>
    <t>Estado das ações de revisões anteriores (1.ª revisão do SGE; decisões do SGA RG-26-D03/D04 sobre energia)</t>
  </si>
  <si>
    <t>RG-SGA-15; tbl_acoes_anteriores</t>
  </si>
  <si>
    <t>Gestor(a) de Energia (líder da equipa de gestão de energia)</t>
  </si>
  <si>
    <t>9.3.2 b)</t>
  </si>
  <si>
    <t>Alterações em questões externas e internas, riscos e oportunidades: DL 130/2026 (autoconsumo), transposição da Diretiva 2023/1791, linhas novas, calor de agosto, preço</t>
  </si>
  <si>
    <t>RG-SGE-01; RG-SGE-03</t>
  </si>
  <si>
    <t>9.3.2 c) 1)</t>
  </si>
  <si>
    <t>Não conformidades e ações corretivas (NCE-26-01 a 04)</t>
  </si>
  <si>
    <t>RG-SGE-14</t>
  </si>
  <si>
    <t>9.3.2 c) 2) / 9.3.3</t>
  </si>
  <si>
    <t>Resultados de monitorização e medição: IDE vs LBE; melhoria de 5,4% demonstrada em out–dez/2026; +1,9% (não significativa) em mar–dez/2026</t>
  </si>
  <si>
    <t>RG-SGE-05 LBE_Modelo; RG-SGE-11</t>
  </si>
  <si>
    <t>9.3.2 c) 3)</t>
  </si>
  <si>
    <t>Resultados da auditoria AUD-E-2026-01 (2 NC menores, 2 observações, 4 oportunidades)</t>
  </si>
  <si>
    <t>Auditor(a) Interno(a) do SGE</t>
  </si>
  <si>
    <t>9.3.2 c) 4)</t>
  </si>
  <si>
    <t>Avaliação da conformidade legal: REP 2026 entregue; trajetória do PREn na meta por margem estreita</t>
  </si>
  <si>
    <t>RG-SGE-10</t>
  </si>
  <si>
    <t>9.3.3</t>
  </si>
  <si>
    <t>Grau de cumprimento dos objetivos e metas energéticas; estado dos planos de ação</t>
  </si>
  <si>
    <t>RG-SGE-05 tbl_objetivos, tbl_planos_acao</t>
  </si>
  <si>
    <t>Diretor Industrial</t>
  </si>
  <si>
    <t>9.3.2 d)</t>
  </si>
  <si>
    <t>Oportunidades de melhoria (16 OPE, 1,2 GWh/ano) incluindo competência</t>
  </si>
  <si>
    <t>RG-SGE-04; RG-SGE-07</t>
  </si>
  <si>
    <t>9.3.2 e)</t>
  </si>
  <si>
    <t>Política energética (adequação)</t>
  </si>
  <si>
    <t>RG-SGE-02</t>
  </si>
  <si>
    <t>Diretor Geral (Gestão de Topo)</t>
  </si>
  <si>
    <t>DECISÕES (9.3.4)</t>
  </si>
  <si>
    <t>ID_Decisao</t>
  </si>
  <si>
    <t>Ponto_Agenda</t>
  </si>
  <si>
    <t>Tipo_Saida_9_3_4</t>
  </si>
  <si>
    <t>Decisao_Tomada</t>
  </si>
  <si>
    <t>Responsavel</t>
  </si>
  <si>
    <t>Prazo</t>
  </si>
  <si>
    <t>Recursos_EUR</t>
  </si>
  <si>
    <t>Ligacao</t>
  </si>
  <si>
    <t>Dias_ate_Prazo</t>
  </si>
  <si>
    <t>RD-E-26-D01</t>
  </si>
  <si>
    <t>9.3.4 a) Oportunidades de melhoria do desempenho energético</t>
  </si>
  <si>
    <t>Aprovar PA-E-04 (servo-bombas IM-002/004 + isolamento de canhões, € 63 200) com base no LCC (RG-SGE-09) para o 1.º semestre de 2027.</t>
  </si>
  <si>
    <t>PA-E-04</t>
  </si>
  <si>
    <t>Aprovada</t>
  </si>
  <si>
    <t>RD-E-26-D02</t>
  </si>
  <si>
    <t>9.3.4 b) Política energética</t>
  </si>
  <si>
    <t>Manter a POL-SGE-01; reforçar a comunicação no turno 3 (CONE-A-26-06).</t>
  </si>
  <si>
    <t>COME-01</t>
  </si>
  <si>
    <t>RD-E-26-D03</t>
  </si>
  <si>
    <t>9.3.4 c) IDE ou LBE</t>
  </si>
  <si>
    <t>Manter a LBE-01 'válida com reserva' até haver 12 meses medidos; criar a LBE-01b (com as máquinas novas) em 07/2027 e as LBE por USE em 01/2028.</t>
  </si>
  <si>
    <t>ALE-01; ALE-03</t>
  </si>
  <si>
    <t>RD-E-26-D04</t>
  </si>
  <si>
    <t>9.3.4 d) Objetivos, metas e planos</t>
  </si>
  <si>
    <t>Manter OBJ-E-01 (+5% até 12/2027) e antecipar o free-cooling (PA-E-06) para 06/2027; meta de 2026 (+2%) atingida no 4.º trimestre.</t>
  </si>
  <si>
    <t>PA-E-06</t>
  </si>
  <si>
    <t>RD-E-26-D05</t>
  </si>
  <si>
    <t>9.3.4 e) Integração nos processos de negócio</t>
  </si>
  <si>
    <t>Incluir a secção de energia (critérios de projeto e LCC) na checklist de alterações do SGI (PR-SGA-06) e no processo de investimentos.</t>
  </si>
  <si>
    <t>NCE-26-01</t>
  </si>
  <si>
    <t>RD-E-26-D06</t>
  </si>
  <si>
    <t>9.3.4 f) Recursos</t>
  </si>
  <si>
    <t>Aumentar a potência contratada para 1 550 kW (efetivo 01/2027) e orçamentar o estudo da UPAC (PRJ-E-02) e a candidatura Portugal 2030.</t>
  </si>
  <si>
    <t>Diretor Financeiro</t>
  </si>
  <si>
    <t>RE-03; PA-E-07</t>
  </si>
  <si>
    <t>RD-E-26-D07</t>
  </si>
  <si>
    <t>9.3.4 g) Competência, consciencialização e comunicação</t>
  </si>
  <si>
    <t>Formar o substituto do Gestor de Energia (Técnico de Utilidades) em M&amp;V e IDE (FOR-E-03/05) — risco RE-05.</t>
  </si>
  <si>
    <t>Responsável de Recursos Humanos</t>
  </si>
  <si>
    <t>RE-05</t>
  </si>
  <si>
    <t>RD-E-26-D08</t>
  </si>
  <si>
    <t>Conclusão sobre a eficácia (9.3.1)</t>
  </si>
  <si>
    <t>O SGE é adequado e suficiente; a eficácia é parcial: melhoria demonstrada só após as ações de out–dez/2026. Decidido avançar para a certificação em 09/2027.</t>
  </si>
  <si>
    <t>AUD-E-2027-02</t>
  </si>
  <si>
    <t>Decisao</t>
  </si>
  <si>
    <t>Evidencia</t>
  </si>
  <si>
    <t>RG-26-D03</t>
  </si>
  <si>
    <t>SGA: aprovar o CAPEX de submedição (6 analisadores + 3 contadores de água) e o VSD do compressor</t>
  </si>
  <si>
    <t>Gerente de Manutenção</t>
  </si>
  <si>
    <t>Concluída</t>
  </si>
  <si>
    <t>Analisadores em serviço desde 15/12/2026 (M01–M06)</t>
  </si>
  <si>
    <t>RG-26-D04</t>
  </si>
  <si>
    <t>SGA: estudo de viabilidade da UPAC ≈ 1 MWp e diagnóstico EMAS</t>
  </si>
  <si>
    <t>Em curso</t>
  </si>
  <si>
    <t>Estudo da UPAC entregue a 30/11/2026; EMAS em 2027</t>
  </si>
  <si>
    <t>ATA DA REVISÃO PELA GESTÃO DO SGE — RD-E-2026-01</t>
  </si>
  <si>
    <t>Plasticom — Unidade 1 (Marinha Grande, Portugal) · 18/12/2026, 14h00–16h00 · Integrada na revisão do SGI</t>
  </si>
  <si>
    <t>Presentes</t>
  </si>
  <si>
    <t>Diretor Geral (preside); Diretor Industrial; Gestor(a) de Energia; Gerente de Manutenção; Gerente de Produção; Técnico de Utilidades; Diretor Financeiro; Gestor do SGA; Auditor(a) interno(a).</t>
  </si>
  <si>
    <t>Desempenho energético</t>
  </si>
  <si>
    <t>Melhoria normalizada de 5,4% em out–dez/2026 (92 MWh), estatisticamente significativa (incerteza 61 MWh) e coerente com as poupanças verificadas por ação (71 MWh; diferença de 21 MWh dentro da incerteza). No período mar–dez/2026: +1,9% (100 MWh), dentro da incerteza (106 MWh) — não demonstrada.</t>
  </si>
  <si>
    <t>Objetivos</t>
  </si>
  <si>
    <t>OBJ-E-06 atingido (submedição); OBJ-E-02 com potência específica de 0,106 kWh/Nm³ (meta 0,105) e fugas de 14%; restantes em curso.</t>
  </si>
  <si>
    <t>Conformidade</t>
  </si>
  <si>
    <t>REP 2026 do SGCIE entregue; trajetória do PREn cumprida por margem de 0,3%; ultrapassagem da potência contratada em agosto tratada (NCE-26-04).</t>
  </si>
  <si>
    <t>Conclusão (9.3.1)</t>
  </si>
  <si>
    <t>O SGE é adequado, suficiente e alinhado com a estratégia de descarbonização; eficácia parcial. Decidido avançar para a certificação ISO 50001 em 09/2027.</t>
  </si>
  <si>
    <t>Assinaturas</t>
  </si>
  <si>
    <t>Diretor Geral ______________________    Gestor(a) de Energia ______________________</t>
  </si>
  <si>
    <t>LISTAS CONTROLADAS (domínios de validação de dados) — editar aqui para alterar opções</t>
  </si>
  <si>
    <t>DataReferencia</t>
  </si>
  <si>
    <t>Funcao</t>
  </si>
  <si>
    <t>Gerente de Produção</t>
  </si>
  <si>
    <t>Técnico de Utilidades</t>
  </si>
  <si>
    <t>Gestor do SGA / EHS (Responsável Ambiental)</t>
  </si>
  <si>
    <t>Gerente da Qualidade</t>
  </si>
  <si>
    <t>Responsável de Compras</t>
  </si>
  <si>
    <t>Responsável de R&amp;D</t>
  </si>
  <si>
    <t>Gerente de Dados / TI</t>
  </si>
  <si>
    <t>Engenheiro(a) de Processo</t>
  </si>
  <si>
    <t>Chefe de Turno</t>
  </si>
  <si>
    <t>Operador de Injeção</t>
  </si>
  <si>
    <t>Operador de Sopro (ISBM)</t>
  </si>
  <si>
    <t>Operador de Serigrafia</t>
  </si>
  <si>
    <t>Operador de Hot Foil</t>
  </si>
  <si>
    <t>Técnico de Manutenção</t>
  </si>
  <si>
    <t>Responsável de Armazém e Logística</t>
  </si>
  <si>
    <t>Folha</t>
  </si>
  <si>
    <t>Tabela</t>
  </si>
  <si>
    <t>Coluna</t>
  </si>
  <si>
    <t>Tipo</t>
  </si>
  <si>
    <t>Origem</t>
  </si>
  <si>
    <t>Descricao</t>
  </si>
  <si>
    <t>Dominio_Unidade</t>
  </si>
  <si>
    <t>Obrigatorio</t>
  </si>
  <si>
    <t>Chave</t>
  </si>
  <si>
    <t>tbl_agenda</t>
  </si>
  <si>
    <t>Texto</t>
  </si>
  <si>
    <t>Entrada</t>
  </si>
  <si>
    <t>Reunião.</t>
  </si>
  <si>
    <t>Sim</t>
  </si>
  <si>
    <t>PK (com Ponto)</t>
  </si>
  <si>
    <t>Inteiro</t>
  </si>
  <si>
    <t>Ponto.</t>
  </si>
  <si>
    <t>Entrada da norma (9.3.2 / 9.3.3).</t>
  </si>
  <si>
    <t>Tópico.</t>
  </si>
  <si>
    <t>Registo.</t>
  </si>
  <si>
    <t>Quem apresenta.</t>
  </si>
  <si>
    <t>Lista lst_Funcao</t>
  </si>
  <si>
    <t>Minutos.</t>
  </si>
  <si>
    <t>Calculado (fórmula)</t>
  </si>
  <si>
    <t>Decisões associadas.</t>
  </si>
  <si>
    <t>tbl_decisoes</t>
  </si>
  <si>
    <t>Decisão.</t>
  </si>
  <si>
    <t>PK</t>
  </si>
  <si>
    <t>Ponto da agenda.</t>
  </si>
  <si>
    <t>FK → tbl_agenda</t>
  </si>
  <si>
    <t>Resultado da norma (9.3.4 a–g) — posição de Tipo_Saida_9_3_3 no SGA.</t>
  </si>
  <si>
    <t>Responsável.</t>
  </si>
  <si>
    <t>Data (aaaa-mm-dd)</t>
  </si>
  <si>
    <t>Prazo.</t>
  </si>
  <si>
    <t>Moeda (EUR)</t>
  </si>
  <si>
    <t>Recursos.</t>
  </si>
  <si>
    <t>Ligação.</t>
  </si>
  <si>
    <t>Estado.</t>
  </si>
  <si>
    <t>Dias até ao prazo.</t>
  </si>
  <si>
    <t>tbl_acoes_anteriores</t>
  </si>
  <si>
    <t>Decisão anterior.</t>
  </si>
  <si>
    <t>Evidência.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</si>
</sst>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\ \€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0" fontId="5" fillId="0" borderId="0" xfId="0" applyFont="1"/>
    <xf numFmtId="0" fontId="2" fillId="2" borderId="0" xfId="0" applyFont="1" applyFill="1" applyAlignment="1">
      <alignment horizontal="center" vertical="top" wrapText="1"/>
    </xf>
    <xf numFmtId="164" fontId="3" fillId="0" borderId="0" xfId="0" applyNumberFormat="1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genda" displayName="tbl_agenda" ref="A4:H13">
  <autoFilter ref="A4:H13" xr:uid="{00000000-0009-0000-0100-000001000000}"/>
  <tableColumns count="8">
    <tableColumn id="1" xr3:uid="{00000000-0010-0000-0000-000001000000}" name="ID_Reuniao"/>
    <tableColumn id="2" xr3:uid="{00000000-0010-0000-0000-000002000000}" name="Ponto"/>
    <tableColumn id="3" xr3:uid="{00000000-0010-0000-0000-000003000000}" name="Entrada_9_3_2"/>
    <tableColumn id="4" xr3:uid="{00000000-0010-0000-0000-000004000000}" name="Topico"/>
    <tableColumn id="5" xr3:uid="{00000000-0010-0000-0000-000005000000}" name="Fonte_Dados"/>
    <tableColumn id="6" xr3:uid="{00000000-0010-0000-0000-000006000000}" name="Apresentador"/>
    <tableColumn id="7" xr3:uid="{00000000-0010-0000-0000-000007000000}" name="Duracao_min"/>
    <tableColumn id="8" xr3:uid="{00000000-0010-0000-0000-000008000000}" name="N_Deciso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ecisoes" displayName="tbl_decisoes" ref="A4:J12">
  <autoFilter ref="A4:J12" xr:uid="{00000000-0009-0000-0100-000002000000}"/>
  <tableColumns count="10">
    <tableColumn id="1" xr3:uid="{00000000-0010-0000-0100-000001000000}" name="ID_Decisao"/>
    <tableColumn id="2" xr3:uid="{00000000-0010-0000-0100-000002000000}" name="Ponto_Agenda"/>
    <tableColumn id="3" xr3:uid="{00000000-0010-0000-0100-000003000000}" name="Tipo_Saida_9_3_4"/>
    <tableColumn id="4" xr3:uid="{00000000-0010-0000-0100-000004000000}" name="Decisao_Tomada"/>
    <tableColumn id="5" xr3:uid="{00000000-0010-0000-0100-000005000000}" name="Responsavel"/>
    <tableColumn id="6" xr3:uid="{00000000-0010-0000-0100-000006000000}" name="Prazo"/>
    <tableColumn id="7" xr3:uid="{00000000-0010-0000-0100-000007000000}" name="Recursos_EUR"/>
    <tableColumn id="8" xr3:uid="{00000000-0010-0000-0100-000008000000}" name="Ligacao"/>
    <tableColumn id="9" xr3:uid="{00000000-0010-0000-0100-000009000000}" name="Estado"/>
    <tableColumn id="10" xr3:uid="{00000000-0010-0000-0100-00000A000000}" name="Dias_ate_Praz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acoes_anteriores" displayName="tbl_acoes_anteriores" ref="A1:F3">
  <autoFilter ref="A1:F3" xr:uid="{00000000-0009-0000-0100-000003000000}"/>
  <tableColumns count="6">
    <tableColumn id="1" xr3:uid="{00000000-0010-0000-0200-000001000000}" name="ID_Decisao"/>
    <tableColumn id="2" xr3:uid="{00000000-0010-0000-0200-000002000000}" name="Decisao"/>
    <tableColumn id="3" xr3:uid="{00000000-0010-0000-0200-000003000000}" name="Responsavel"/>
    <tableColumn id="4" xr3:uid="{00000000-0010-0000-0200-000004000000}" name="Prazo"/>
    <tableColumn id="5" xr3:uid="{00000000-0010-0000-0200-000005000000}" name="Estado"/>
    <tableColumn id="6" xr3:uid="{00000000-0010-0000-0200-000006000000}" name="Evidenci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cionario" displayName="tbl_dicionario" ref="A1:I25">
  <autoFilter ref="A1:I25" xr:uid="{00000000-0009-0000-0100-000004000000}"/>
  <tableColumns count="9">
    <tableColumn id="1" xr3:uid="{00000000-0010-0000-0300-000001000000}" name="Folha"/>
    <tableColumn id="2" xr3:uid="{00000000-0010-0000-0300-000002000000}" name="Tabela"/>
    <tableColumn id="3" xr3:uid="{00000000-0010-0000-0300-000003000000}" name="Coluna"/>
    <tableColumn id="4" xr3:uid="{00000000-0010-0000-0300-000004000000}" name="Tipo"/>
    <tableColumn id="5" xr3:uid="{00000000-0010-0000-0300-000005000000}" name="Origem"/>
    <tableColumn id="6" xr3:uid="{00000000-0010-0000-0300-000006000000}" name="Descricao"/>
    <tableColumn id="7" xr3:uid="{00000000-0010-0000-0300-000007000000}" name="Dominio_Unidade"/>
    <tableColumn id="8" xr3:uid="{00000000-0010-0000-0300-000008000000}" name="Obrigatorio"/>
    <tableColumn id="9" xr3:uid="{00000000-0010-0000-03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6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26.4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4" spans="1:2" x14ac:dyDescent="0.3">
      <c r="A24" s="3" t="s">
        <v>32</v>
      </c>
      <c r="B24" s="4"/>
    </row>
    <row r="25" spans="1:2" x14ac:dyDescent="0.3">
      <c r="A25" s="5" t="s">
        <v>33</v>
      </c>
      <c r="B25" s="6" t="s">
        <v>34</v>
      </c>
    </row>
    <row r="27" spans="1:2" x14ac:dyDescent="0.3">
      <c r="A27" s="3" t="s">
        <v>35</v>
      </c>
      <c r="B27" s="4"/>
    </row>
    <row r="28" spans="1:2" x14ac:dyDescent="0.3">
      <c r="A28" s="5" t="s">
        <v>36</v>
      </c>
      <c r="B28" s="6" t="s">
        <v>37</v>
      </c>
    </row>
    <row r="29" spans="1:2" x14ac:dyDescent="0.3">
      <c r="A29" s="5" t="s">
        <v>38</v>
      </c>
      <c r="B29" s="6" t="s">
        <v>39</v>
      </c>
    </row>
    <row r="30" spans="1:2" x14ac:dyDescent="0.3">
      <c r="A30" s="5" t="s">
        <v>40</v>
      </c>
      <c r="B30" s="6" t="s">
        <v>41</v>
      </c>
    </row>
    <row r="31" spans="1:2" x14ac:dyDescent="0.3">
      <c r="A31" s="5" t="s">
        <v>42</v>
      </c>
      <c r="B31" s="6" t="s">
        <v>43</v>
      </c>
    </row>
    <row r="32" spans="1:2" x14ac:dyDescent="0.3">
      <c r="A32" s="5" t="s">
        <v>44</v>
      </c>
      <c r="B32" s="6" t="s">
        <v>45</v>
      </c>
    </row>
    <row r="33" spans="1:2" x14ac:dyDescent="0.3">
      <c r="A33" s="5" t="s">
        <v>46</v>
      </c>
      <c r="B33" s="6" t="s">
        <v>47</v>
      </c>
    </row>
    <row r="35" spans="1:2" x14ac:dyDescent="0.3">
      <c r="A35" s="3" t="s">
        <v>48</v>
      </c>
      <c r="B35" s="4"/>
    </row>
    <row r="36" spans="1:2" ht="26.4" x14ac:dyDescent="0.3">
      <c r="A36" s="5" t="s">
        <v>49</v>
      </c>
      <c r="B36" s="6" t="s">
        <v>50</v>
      </c>
    </row>
    <row r="37" spans="1:2" x14ac:dyDescent="0.3">
      <c r="A37" s="5" t="s">
        <v>51</v>
      </c>
      <c r="B37" s="6" t="s">
        <v>52</v>
      </c>
    </row>
    <row r="38" spans="1:2" x14ac:dyDescent="0.3">
      <c r="A38" s="5" t="s">
        <v>53</v>
      </c>
      <c r="B38" s="6" t="s">
        <v>54</v>
      </c>
    </row>
    <row r="39" spans="1:2" ht="26.4" x14ac:dyDescent="0.3">
      <c r="A39" s="5" t="s">
        <v>55</v>
      </c>
      <c r="B39" s="6" t="s">
        <v>56</v>
      </c>
    </row>
    <row r="40" spans="1:2" ht="26.4" x14ac:dyDescent="0.3">
      <c r="A40" s="5" t="s">
        <v>57</v>
      </c>
      <c r="B40" s="6" t="s">
        <v>58</v>
      </c>
    </row>
    <row r="41" spans="1:2" ht="52.8" x14ac:dyDescent="0.3">
      <c r="A41" s="5" t="s">
        <v>59</v>
      </c>
      <c r="B41" s="6" t="s">
        <v>60</v>
      </c>
    </row>
    <row r="43" spans="1:2" x14ac:dyDescent="0.3">
      <c r="A43" s="3" t="s">
        <v>61</v>
      </c>
      <c r="B43" s="4"/>
    </row>
    <row r="44" spans="1:2" x14ac:dyDescent="0.3">
      <c r="A44" s="5" t="s">
        <v>62</v>
      </c>
      <c r="B44" s="6" t="s">
        <v>63</v>
      </c>
    </row>
    <row r="45" spans="1:2" x14ac:dyDescent="0.3">
      <c r="A45" s="5" t="s">
        <v>64</v>
      </c>
      <c r="B45" s="6" t="s">
        <v>65</v>
      </c>
    </row>
    <row r="46" spans="1:2" x14ac:dyDescent="0.3">
      <c r="A46" s="5" t="s">
        <v>66</v>
      </c>
      <c r="B46" s="6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6" customWidth="1"/>
    <col min="3" max="3" width="14" customWidth="1"/>
    <col min="4" max="4" width="70" customWidth="1"/>
    <col min="5" max="5" width="30" customWidth="1"/>
    <col min="6" max="6" width="24" customWidth="1"/>
    <col min="7" max="8" width="8" customWidth="1"/>
  </cols>
  <sheetData>
    <row r="1" spans="1:8" ht="17.399999999999999" x14ac:dyDescent="0.3">
      <c r="A1" s="1" t="s">
        <v>68</v>
      </c>
    </row>
    <row r="4" spans="1:8" ht="26.4" x14ac:dyDescent="0.3">
      <c r="A4" s="8" t="s">
        <v>69</v>
      </c>
      <c r="B4" s="8" t="s">
        <v>70</v>
      </c>
      <c r="C4" s="8" t="s">
        <v>71</v>
      </c>
      <c r="D4" s="8" t="s">
        <v>72</v>
      </c>
      <c r="E4" s="8" t="s">
        <v>73</v>
      </c>
      <c r="F4" s="8" t="s">
        <v>74</v>
      </c>
      <c r="G4" s="8" t="s">
        <v>75</v>
      </c>
      <c r="H4" s="9" t="s">
        <v>76</v>
      </c>
    </row>
    <row r="5" spans="1:8" ht="36" customHeight="1" x14ac:dyDescent="0.3">
      <c r="A5" s="10" t="s">
        <v>77</v>
      </c>
      <c r="B5" s="11">
        <v>1</v>
      </c>
      <c r="C5" s="10" t="s">
        <v>78</v>
      </c>
      <c r="D5" s="10" t="s">
        <v>79</v>
      </c>
      <c r="E5" s="10" t="s">
        <v>80</v>
      </c>
      <c r="F5" s="10" t="s">
        <v>81</v>
      </c>
      <c r="G5" s="11">
        <v>10</v>
      </c>
      <c r="H5" s="12">
        <f>IF(A5="","",COUNTIF(tbl_decisoes[Ponto_Agenda],B5))</f>
        <v>0</v>
      </c>
    </row>
    <row r="6" spans="1:8" ht="36" customHeight="1" x14ac:dyDescent="0.3">
      <c r="A6" s="10" t="s">
        <v>77</v>
      </c>
      <c r="B6" s="11">
        <v>2</v>
      </c>
      <c r="C6" s="10" t="s">
        <v>82</v>
      </c>
      <c r="D6" s="10" t="s">
        <v>83</v>
      </c>
      <c r="E6" s="10" t="s">
        <v>84</v>
      </c>
      <c r="F6" s="10" t="s">
        <v>81</v>
      </c>
      <c r="G6" s="11">
        <v>15</v>
      </c>
      <c r="H6" s="12">
        <f>IF(A6="","",COUNTIF(tbl_decisoes[Ponto_Agenda],B6))</f>
        <v>1</v>
      </c>
    </row>
    <row r="7" spans="1:8" ht="36" customHeight="1" x14ac:dyDescent="0.3">
      <c r="A7" s="10" t="s">
        <v>77</v>
      </c>
      <c r="B7" s="11">
        <v>3</v>
      </c>
      <c r="C7" s="10" t="s">
        <v>85</v>
      </c>
      <c r="D7" s="10" t="s">
        <v>86</v>
      </c>
      <c r="E7" s="10" t="s">
        <v>87</v>
      </c>
      <c r="F7" s="10" t="s">
        <v>81</v>
      </c>
      <c r="G7" s="11">
        <v>10</v>
      </c>
      <c r="H7" s="12">
        <f>IF(A7="","",COUNTIF(tbl_decisoes[Ponto_Agenda],B7))</f>
        <v>0</v>
      </c>
    </row>
    <row r="8" spans="1:8" ht="36" customHeight="1" x14ac:dyDescent="0.3">
      <c r="A8" s="10" t="s">
        <v>77</v>
      </c>
      <c r="B8" s="11">
        <v>4</v>
      </c>
      <c r="C8" s="10" t="s">
        <v>88</v>
      </c>
      <c r="D8" s="10" t="s">
        <v>89</v>
      </c>
      <c r="E8" s="10" t="s">
        <v>90</v>
      </c>
      <c r="F8" s="10" t="s">
        <v>81</v>
      </c>
      <c r="G8" s="11">
        <v>25</v>
      </c>
      <c r="H8" s="12">
        <f>IF(A8="","",COUNTIF(tbl_decisoes[Ponto_Agenda],B8))</f>
        <v>2</v>
      </c>
    </row>
    <row r="9" spans="1:8" ht="36" customHeight="1" x14ac:dyDescent="0.3">
      <c r="A9" s="10" t="s">
        <v>77</v>
      </c>
      <c r="B9" s="11">
        <v>5</v>
      </c>
      <c r="C9" s="10" t="s">
        <v>91</v>
      </c>
      <c r="D9" s="10" t="s">
        <v>92</v>
      </c>
      <c r="E9" s="10" t="s">
        <v>64</v>
      </c>
      <c r="F9" s="10" t="s">
        <v>93</v>
      </c>
      <c r="G9" s="11">
        <v>10</v>
      </c>
      <c r="H9" s="12">
        <f>IF(A9="","",COUNTIF(tbl_decisoes[Ponto_Agenda],B9))</f>
        <v>1</v>
      </c>
    </row>
    <row r="10" spans="1:8" ht="36" customHeight="1" x14ac:dyDescent="0.3">
      <c r="A10" s="10" t="s">
        <v>77</v>
      </c>
      <c r="B10" s="11">
        <v>6</v>
      </c>
      <c r="C10" s="10" t="s">
        <v>94</v>
      </c>
      <c r="D10" s="10" t="s">
        <v>95</v>
      </c>
      <c r="E10" s="10" t="s">
        <v>96</v>
      </c>
      <c r="F10" s="10" t="s">
        <v>81</v>
      </c>
      <c r="G10" s="11">
        <v>10</v>
      </c>
      <c r="H10" s="12">
        <f>IF(A10="","",COUNTIF(tbl_decisoes[Ponto_Agenda],B10))</f>
        <v>0</v>
      </c>
    </row>
    <row r="11" spans="1:8" ht="36" customHeight="1" x14ac:dyDescent="0.3">
      <c r="A11" s="10" t="s">
        <v>77</v>
      </c>
      <c r="B11" s="11">
        <v>7</v>
      </c>
      <c r="C11" s="10" t="s">
        <v>97</v>
      </c>
      <c r="D11" s="10" t="s">
        <v>98</v>
      </c>
      <c r="E11" s="10" t="s">
        <v>99</v>
      </c>
      <c r="F11" s="10" t="s">
        <v>100</v>
      </c>
      <c r="G11" s="11">
        <v>15</v>
      </c>
      <c r="H11" s="12">
        <f>IF(A11="","",COUNTIF(tbl_decisoes[Ponto_Agenda],B11))</f>
        <v>1</v>
      </c>
    </row>
    <row r="12" spans="1:8" ht="36" customHeight="1" x14ac:dyDescent="0.3">
      <c r="A12" s="10" t="s">
        <v>77</v>
      </c>
      <c r="B12" s="11">
        <v>8</v>
      </c>
      <c r="C12" s="10" t="s">
        <v>101</v>
      </c>
      <c r="D12" s="10" t="s">
        <v>102</v>
      </c>
      <c r="E12" s="10" t="s">
        <v>103</v>
      </c>
      <c r="F12" s="10" t="s">
        <v>81</v>
      </c>
      <c r="G12" s="11">
        <v>15</v>
      </c>
      <c r="H12" s="12">
        <f>IF(A12="","",COUNTIF(tbl_decisoes[Ponto_Agenda],B12))</f>
        <v>2</v>
      </c>
    </row>
    <row r="13" spans="1:8" ht="36" customHeight="1" x14ac:dyDescent="0.3">
      <c r="A13" s="10" t="s">
        <v>77</v>
      </c>
      <c r="B13" s="11">
        <v>9</v>
      </c>
      <c r="C13" s="10" t="s">
        <v>104</v>
      </c>
      <c r="D13" s="10" t="s">
        <v>105</v>
      </c>
      <c r="E13" s="10" t="s">
        <v>106</v>
      </c>
      <c r="F13" s="10" t="s">
        <v>107</v>
      </c>
      <c r="G13" s="11">
        <v>5</v>
      </c>
      <c r="H13" s="12">
        <f>IF(A13="","",COUNTIF(tbl_decisoes[Ponto_Agenda],B13))</f>
        <v>1</v>
      </c>
    </row>
  </sheetData>
  <dataValidations count="1">
    <dataValidation type="list" allowBlank="1" showErrorMessage="1" errorTitle="Valor inválido" error="Valor fora da lista controlada (ver folha Listas)." sqref="F5:F213" xr:uid="{00000000-0002-0000-01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7" customWidth="1"/>
    <col min="3" max="3" width="30" customWidth="1"/>
    <col min="4" max="4" width="60" customWidth="1"/>
    <col min="5" max="5" width="22" customWidth="1"/>
    <col min="6" max="7" width="11" customWidth="1"/>
    <col min="8" max="8" width="16" customWidth="1"/>
    <col min="9" max="9" width="9" customWidth="1"/>
    <col min="10" max="10" width="8" customWidth="1"/>
  </cols>
  <sheetData>
    <row r="1" spans="1:10" ht="17.399999999999999" x14ac:dyDescent="0.3">
      <c r="A1" s="1" t="s">
        <v>108</v>
      </c>
    </row>
    <row r="4" spans="1:10" ht="39.6" x14ac:dyDescent="0.3">
      <c r="A4" s="8" t="s">
        <v>109</v>
      </c>
      <c r="B4" s="8" t="s">
        <v>110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116</v>
      </c>
      <c r="I4" s="8" t="s">
        <v>14</v>
      </c>
      <c r="J4" s="9" t="s">
        <v>117</v>
      </c>
    </row>
    <row r="5" spans="1:10" ht="45" customHeight="1" x14ac:dyDescent="0.3">
      <c r="A5" s="10" t="s">
        <v>118</v>
      </c>
      <c r="B5" s="11">
        <v>8</v>
      </c>
      <c r="C5" s="10" t="s">
        <v>119</v>
      </c>
      <c r="D5" s="10" t="s">
        <v>120</v>
      </c>
      <c r="E5" s="10" t="s">
        <v>100</v>
      </c>
      <c r="F5" s="13">
        <v>46568</v>
      </c>
      <c r="G5" s="14">
        <v>63200</v>
      </c>
      <c r="H5" s="10" t="s">
        <v>121</v>
      </c>
      <c r="I5" s="10" t="s">
        <v>122</v>
      </c>
      <c r="J5" s="12">
        <f t="shared" ref="J5:J12" si="0">IF(A5="","",F5-DataRef)</f>
        <v>181</v>
      </c>
    </row>
    <row r="6" spans="1:10" ht="45" customHeight="1" x14ac:dyDescent="0.3">
      <c r="A6" s="10" t="s">
        <v>123</v>
      </c>
      <c r="B6" s="11">
        <v>9</v>
      </c>
      <c r="C6" s="10" t="s">
        <v>124</v>
      </c>
      <c r="D6" s="10" t="s">
        <v>125</v>
      </c>
      <c r="E6" s="10" t="s">
        <v>107</v>
      </c>
      <c r="F6" s="13">
        <v>46418</v>
      </c>
      <c r="G6" s="14">
        <v>0</v>
      </c>
      <c r="H6" s="10" t="s">
        <v>126</v>
      </c>
      <c r="I6" s="10" t="s">
        <v>122</v>
      </c>
      <c r="J6" s="12">
        <f t="shared" si="0"/>
        <v>31</v>
      </c>
    </row>
    <row r="7" spans="1:10" ht="45" customHeight="1" x14ac:dyDescent="0.3">
      <c r="A7" s="10" t="s">
        <v>127</v>
      </c>
      <c r="B7" s="11">
        <v>4</v>
      </c>
      <c r="C7" s="10" t="s">
        <v>128</v>
      </c>
      <c r="D7" s="10" t="s">
        <v>129</v>
      </c>
      <c r="E7" s="10" t="s">
        <v>81</v>
      </c>
      <c r="F7" s="13">
        <v>46599</v>
      </c>
      <c r="G7" s="14">
        <v>0</v>
      </c>
      <c r="H7" s="10" t="s">
        <v>130</v>
      </c>
      <c r="I7" s="10" t="s">
        <v>122</v>
      </c>
      <c r="J7" s="12">
        <f t="shared" si="0"/>
        <v>212</v>
      </c>
    </row>
    <row r="8" spans="1:10" ht="45" customHeight="1" x14ac:dyDescent="0.3">
      <c r="A8" s="10" t="s">
        <v>131</v>
      </c>
      <c r="B8" s="11">
        <v>7</v>
      </c>
      <c r="C8" s="10" t="s">
        <v>132</v>
      </c>
      <c r="D8" s="10" t="s">
        <v>133</v>
      </c>
      <c r="E8" s="10" t="s">
        <v>100</v>
      </c>
      <c r="F8" s="13">
        <v>46568</v>
      </c>
      <c r="G8" s="14">
        <v>42000</v>
      </c>
      <c r="H8" s="10" t="s">
        <v>134</v>
      </c>
      <c r="I8" s="10" t="s">
        <v>122</v>
      </c>
      <c r="J8" s="12">
        <f t="shared" si="0"/>
        <v>181</v>
      </c>
    </row>
    <row r="9" spans="1:10" ht="45" customHeight="1" x14ac:dyDescent="0.3">
      <c r="A9" s="10" t="s">
        <v>135</v>
      </c>
      <c r="B9" s="11">
        <v>5</v>
      </c>
      <c r="C9" s="10" t="s">
        <v>136</v>
      </c>
      <c r="D9" s="10" t="s">
        <v>137</v>
      </c>
      <c r="E9" s="10" t="s">
        <v>100</v>
      </c>
      <c r="F9" s="13">
        <v>46446</v>
      </c>
      <c r="G9" s="14">
        <v>0</v>
      </c>
      <c r="H9" s="10" t="s">
        <v>138</v>
      </c>
      <c r="I9" s="10" t="s">
        <v>122</v>
      </c>
      <c r="J9" s="12">
        <f t="shared" si="0"/>
        <v>59</v>
      </c>
    </row>
    <row r="10" spans="1:10" ht="45" customHeight="1" x14ac:dyDescent="0.3">
      <c r="A10" s="10" t="s">
        <v>139</v>
      </c>
      <c r="B10" s="11">
        <v>2</v>
      </c>
      <c r="C10" s="10" t="s">
        <v>140</v>
      </c>
      <c r="D10" s="10" t="s">
        <v>141</v>
      </c>
      <c r="E10" s="10" t="s">
        <v>142</v>
      </c>
      <c r="F10" s="13">
        <v>46477</v>
      </c>
      <c r="G10" s="14">
        <v>850000</v>
      </c>
      <c r="H10" s="10" t="s">
        <v>143</v>
      </c>
      <c r="I10" s="10" t="s">
        <v>122</v>
      </c>
      <c r="J10" s="12">
        <f t="shared" si="0"/>
        <v>90</v>
      </c>
    </row>
    <row r="11" spans="1:10" ht="45" customHeight="1" x14ac:dyDescent="0.3">
      <c r="A11" s="10" t="s">
        <v>144</v>
      </c>
      <c r="B11" s="11">
        <v>8</v>
      </c>
      <c r="C11" s="10" t="s">
        <v>145</v>
      </c>
      <c r="D11" s="10" t="s">
        <v>146</v>
      </c>
      <c r="E11" s="10" t="s">
        <v>147</v>
      </c>
      <c r="F11" s="13">
        <v>46507</v>
      </c>
      <c r="G11" s="14">
        <v>3500</v>
      </c>
      <c r="H11" s="10" t="s">
        <v>148</v>
      </c>
      <c r="I11" s="10" t="s">
        <v>122</v>
      </c>
      <c r="J11" s="12">
        <f t="shared" si="0"/>
        <v>120</v>
      </c>
    </row>
    <row r="12" spans="1:10" ht="45" customHeight="1" x14ac:dyDescent="0.3">
      <c r="A12" s="10" t="s">
        <v>149</v>
      </c>
      <c r="B12" s="11">
        <v>4</v>
      </c>
      <c r="C12" s="10" t="s">
        <v>150</v>
      </c>
      <c r="D12" s="10" t="s">
        <v>151</v>
      </c>
      <c r="E12" s="10" t="s">
        <v>107</v>
      </c>
      <c r="F12" s="13">
        <v>46660</v>
      </c>
      <c r="G12" s="14">
        <v>0</v>
      </c>
      <c r="H12" s="10" t="s">
        <v>152</v>
      </c>
      <c r="I12" s="10" t="s">
        <v>122</v>
      </c>
      <c r="J12" s="12">
        <f t="shared" si="0"/>
        <v>273</v>
      </c>
    </row>
  </sheetData>
  <dataValidations count="1">
    <dataValidation type="list" allowBlank="1" showErrorMessage="1" errorTitle="Valor inválido" error="Valor fora da lista controlada (ver folha Listas)." sqref="E5:E212" xr:uid="{00000000-0002-0000-02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60" customWidth="1"/>
    <col min="3" max="3" width="22" customWidth="1"/>
    <col min="4" max="4" width="11" customWidth="1"/>
    <col min="5" max="5" width="10" customWidth="1"/>
    <col min="6" max="6" width="40" customWidth="1"/>
  </cols>
  <sheetData>
    <row r="1" spans="1:6" ht="26.4" x14ac:dyDescent="0.3">
      <c r="A1" s="8" t="s">
        <v>109</v>
      </c>
      <c r="B1" s="8" t="s">
        <v>153</v>
      </c>
      <c r="C1" s="8" t="s">
        <v>113</v>
      </c>
      <c r="D1" s="8" t="s">
        <v>114</v>
      </c>
      <c r="E1" s="8" t="s">
        <v>14</v>
      </c>
      <c r="F1" s="8" t="s">
        <v>154</v>
      </c>
    </row>
    <row r="2" spans="1:6" ht="30" customHeight="1" x14ac:dyDescent="0.3">
      <c r="A2" s="10" t="s">
        <v>155</v>
      </c>
      <c r="B2" s="10" t="s">
        <v>156</v>
      </c>
      <c r="C2" s="10" t="s">
        <v>157</v>
      </c>
      <c r="D2" s="13">
        <v>46371</v>
      </c>
      <c r="E2" s="10" t="s">
        <v>158</v>
      </c>
      <c r="F2" s="10" t="s">
        <v>159</v>
      </c>
    </row>
    <row r="3" spans="1:6" ht="30" customHeight="1" x14ac:dyDescent="0.3">
      <c r="A3" s="10" t="s">
        <v>160</v>
      </c>
      <c r="B3" s="10" t="s">
        <v>161</v>
      </c>
      <c r="C3" s="10" t="s">
        <v>142</v>
      </c>
      <c r="D3" s="13">
        <v>46477</v>
      </c>
      <c r="E3" s="10" t="s">
        <v>162</v>
      </c>
      <c r="F3" s="10" t="s">
        <v>163</v>
      </c>
    </row>
  </sheetData>
  <dataValidations count="1">
    <dataValidation type="list" allowBlank="1" showErrorMessage="1" errorTitle="Valor inválido" error="Valor fora da lista controlada (ver folha Listas)." sqref="C2:C203" xr:uid="{00000000-0002-0000-03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5F"/>
    <pageSetUpPr fitToPage="1"/>
  </sheetPr>
  <dimension ref="A1:J9"/>
  <sheetViews>
    <sheetView showGridLines="0" workbookViewId="0"/>
  </sheetViews>
  <sheetFormatPr defaultRowHeight="14.4" x14ac:dyDescent="0.3"/>
  <cols>
    <col min="1" max="1" width="26" customWidth="1"/>
  </cols>
  <sheetData>
    <row r="1" spans="1:10" ht="17.399999999999999" x14ac:dyDescent="0.3">
      <c r="A1" s="1" t="s">
        <v>164</v>
      </c>
    </row>
    <row r="2" spans="1:10" x14ac:dyDescent="0.3">
      <c r="A2" s="2" t="s">
        <v>165</v>
      </c>
    </row>
    <row r="4" spans="1:10" ht="30" customHeight="1" x14ac:dyDescent="0.3">
      <c r="A4" s="5" t="s">
        <v>166</v>
      </c>
      <c r="B4" s="19" t="s">
        <v>167</v>
      </c>
      <c r="C4" s="20"/>
      <c r="D4" s="20"/>
      <c r="E4" s="20"/>
      <c r="F4" s="20"/>
      <c r="G4" s="20"/>
      <c r="H4" s="20"/>
      <c r="I4" s="20"/>
      <c r="J4" s="20"/>
    </row>
    <row r="5" spans="1:10" ht="30" customHeight="1" x14ac:dyDescent="0.3">
      <c r="A5" s="5" t="s">
        <v>168</v>
      </c>
      <c r="B5" s="19" t="s">
        <v>169</v>
      </c>
      <c r="C5" s="20"/>
      <c r="D5" s="20"/>
      <c r="E5" s="20"/>
      <c r="F5" s="20"/>
      <c r="G5" s="20"/>
      <c r="H5" s="20"/>
      <c r="I5" s="20"/>
      <c r="J5" s="20"/>
    </row>
    <row r="6" spans="1:10" ht="15" customHeight="1" x14ac:dyDescent="0.3">
      <c r="A6" s="5" t="s">
        <v>170</v>
      </c>
      <c r="B6" s="19" t="s">
        <v>171</v>
      </c>
      <c r="C6" s="20"/>
      <c r="D6" s="20"/>
      <c r="E6" s="20"/>
      <c r="F6" s="20"/>
      <c r="G6" s="20"/>
      <c r="H6" s="20"/>
      <c r="I6" s="20"/>
      <c r="J6" s="20"/>
    </row>
    <row r="7" spans="1:10" ht="15" customHeight="1" x14ac:dyDescent="0.3">
      <c r="A7" s="5" t="s">
        <v>172</v>
      </c>
      <c r="B7" s="19" t="s">
        <v>173</v>
      </c>
      <c r="C7" s="20"/>
      <c r="D7" s="20"/>
      <c r="E7" s="20"/>
      <c r="F7" s="20"/>
      <c r="G7" s="20"/>
      <c r="H7" s="20"/>
      <c r="I7" s="20"/>
      <c r="J7" s="20"/>
    </row>
    <row r="8" spans="1:10" ht="30" customHeight="1" x14ac:dyDescent="0.3">
      <c r="A8" s="5" t="s">
        <v>174</v>
      </c>
      <c r="B8" s="19" t="s">
        <v>175</v>
      </c>
      <c r="C8" s="20"/>
      <c r="D8" s="20"/>
      <c r="E8" s="20"/>
      <c r="F8" s="20"/>
      <c r="G8" s="20"/>
      <c r="H8" s="20"/>
      <c r="I8" s="20"/>
      <c r="J8" s="20"/>
    </row>
    <row r="9" spans="1:10" ht="15" customHeight="1" x14ac:dyDescent="0.3">
      <c r="A9" s="5" t="s">
        <v>176</v>
      </c>
      <c r="B9" s="19" t="s">
        <v>177</v>
      </c>
      <c r="C9" s="20"/>
      <c r="D9" s="20"/>
      <c r="E9" s="20"/>
      <c r="F9" s="20"/>
      <c r="G9" s="20"/>
      <c r="H9" s="20"/>
      <c r="I9" s="20"/>
      <c r="J9" s="20"/>
    </row>
  </sheetData>
  <mergeCells count="6">
    <mergeCell ref="B7:J7"/>
    <mergeCell ref="B5:J5"/>
    <mergeCell ref="B9:J9"/>
    <mergeCell ref="B8:J8"/>
    <mergeCell ref="B4:J4"/>
    <mergeCell ref="B6:J6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</cols>
  <sheetData>
    <row r="1" spans="1:2" x14ac:dyDescent="0.3">
      <c r="A1" s="15" t="s">
        <v>178</v>
      </c>
    </row>
    <row r="2" spans="1:2" x14ac:dyDescent="0.3">
      <c r="A2" s="16" t="s">
        <v>179</v>
      </c>
      <c r="B2" s="16" t="s">
        <v>180</v>
      </c>
    </row>
    <row r="3" spans="1:2" x14ac:dyDescent="0.3">
      <c r="A3" s="17">
        <v>46387</v>
      </c>
      <c r="B3" s="6" t="s">
        <v>107</v>
      </c>
    </row>
    <row r="4" spans="1:2" x14ac:dyDescent="0.3">
      <c r="B4" s="6" t="s">
        <v>100</v>
      </c>
    </row>
    <row r="5" spans="1:2" ht="26.4" x14ac:dyDescent="0.3">
      <c r="B5" s="6" t="s">
        <v>81</v>
      </c>
    </row>
    <row r="6" spans="1:2" x14ac:dyDescent="0.3">
      <c r="B6" s="6" t="s">
        <v>157</v>
      </c>
    </row>
    <row r="7" spans="1:2" x14ac:dyDescent="0.3">
      <c r="B7" s="6" t="s">
        <v>181</v>
      </c>
    </row>
    <row r="8" spans="1:2" x14ac:dyDescent="0.3">
      <c r="B8" s="6" t="s">
        <v>182</v>
      </c>
    </row>
    <row r="9" spans="1:2" x14ac:dyDescent="0.3">
      <c r="B9" s="6" t="s">
        <v>183</v>
      </c>
    </row>
    <row r="10" spans="1:2" x14ac:dyDescent="0.3">
      <c r="B10" s="6" t="s">
        <v>184</v>
      </c>
    </row>
    <row r="11" spans="1:2" x14ac:dyDescent="0.3">
      <c r="B11" s="6" t="s">
        <v>142</v>
      </c>
    </row>
    <row r="12" spans="1:2" x14ac:dyDescent="0.3">
      <c r="B12" s="6" t="s">
        <v>185</v>
      </c>
    </row>
    <row r="13" spans="1:2" x14ac:dyDescent="0.3">
      <c r="B13" s="6" t="s">
        <v>186</v>
      </c>
    </row>
    <row r="14" spans="1:2" x14ac:dyDescent="0.3">
      <c r="B14" s="6" t="s">
        <v>147</v>
      </c>
    </row>
    <row r="15" spans="1:2" x14ac:dyDescent="0.3">
      <c r="B15" s="6" t="s">
        <v>187</v>
      </c>
    </row>
    <row r="16" spans="1:2" x14ac:dyDescent="0.3">
      <c r="B16" s="6" t="s">
        <v>188</v>
      </c>
    </row>
    <row r="17" spans="2:2" x14ac:dyDescent="0.3">
      <c r="B17" s="6" t="s">
        <v>189</v>
      </c>
    </row>
    <row r="18" spans="2:2" x14ac:dyDescent="0.3">
      <c r="B18" s="6" t="s">
        <v>190</v>
      </c>
    </row>
    <row r="19" spans="2:2" x14ac:dyDescent="0.3">
      <c r="B19" s="6" t="s">
        <v>191</v>
      </c>
    </row>
    <row r="20" spans="2:2" x14ac:dyDescent="0.3">
      <c r="B20" s="6" t="s">
        <v>192</v>
      </c>
    </row>
    <row r="21" spans="2:2" x14ac:dyDescent="0.3">
      <c r="B21" s="6" t="s">
        <v>193</v>
      </c>
    </row>
    <row r="22" spans="2:2" x14ac:dyDescent="0.3">
      <c r="B22" s="6" t="s">
        <v>194</v>
      </c>
    </row>
    <row r="23" spans="2:2" x14ac:dyDescent="0.3">
      <c r="B23" s="6" t="s">
        <v>93</v>
      </c>
    </row>
    <row r="24" spans="2:2" x14ac:dyDescent="0.3">
      <c r="B24" s="6" t="s">
        <v>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196</v>
      </c>
      <c r="B1" s="8" t="s">
        <v>197</v>
      </c>
      <c r="C1" s="8" t="s">
        <v>198</v>
      </c>
      <c r="D1" s="8" t="s">
        <v>199</v>
      </c>
      <c r="E1" s="8" t="s">
        <v>200</v>
      </c>
      <c r="F1" s="8" t="s">
        <v>201</v>
      </c>
      <c r="G1" s="8" t="s">
        <v>202</v>
      </c>
      <c r="H1" s="8" t="s">
        <v>203</v>
      </c>
      <c r="I1" s="8" t="s">
        <v>204</v>
      </c>
    </row>
    <row r="2" spans="1:9" ht="26.4" x14ac:dyDescent="0.3">
      <c r="A2" s="18" t="s">
        <v>36</v>
      </c>
      <c r="B2" s="18" t="s">
        <v>205</v>
      </c>
      <c r="C2" s="18" t="s">
        <v>69</v>
      </c>
      <c r="D2" s="18" t="s">
        <v>206</v>
      </c>
      <c r="E2" s="18" t="s">
        <v>207</v>
      </c>
      <c r="F2" s="18" t="s">
        <v>208</v>
      </c>
      <c r="G2" s="18"/>
      <c r="H2" s="18" t="s">
        <v>209</v>
      </c>
      <c r="I2" s="18" t="s">
        <v>210</v>
      </c>
    </row>
    <row r="3" spans="1:9" x14ac:dyDescent="0.3">
      <c r="A3" s="18" t="s">
        <v>36</v>
      </c>
      <c r="B3" s="18" t="s">
        <v>205</v>
      </c>
      <c r="C3" s="18" t="s">
        <v>70</v>
      </c>
      <c r="D3" s="18" t="s">
        <v>211</v>
      </c>
      <c r="E3" s="18" t="s">
        <v>207</v>
      </c>
      <c r="F3" s="18" t="s">
        <v>212</v>
      </c>
      <c r="G3" s="18"/>
      <c r="H3" s="18" t="s">
        <v>209</v>
      </c>
      <c r="I3" s="18"/>
    </row>
    <row r="4" spans="1:9" x14ac:dyDescent="0.3">
      <c r="A4" s="18" t="s">
        <v>36</v>
      </c>
      <c r="B4" s="18" t="s">
        <v>205</v>
      </c>
      <c r="C4" s="18" t="s">
        <v>71</v>
      </c>
      <c r="D4" s="18" t="s">
        <v>206</v>
      </c>
      <c r="E4" s="18" t="s">
        <v>207</v>
      </c>
      <c r="F4" s="18" t="s">
        <v>213</v>
      </c>
      <c r="G4" s="18"/>
      <c r="H4" s="18" t="s">
        <v>209</v>
      </c>
      <c r="I4" s="18"/>
    </row>
    <row r="5" spans="1:9" x14ac:dyDescent="0.3">
      <c r="A5" s="18" t="s">
        <v>36</v>
      </c>
      <c r="B5" s="18" t="s">
        <v>205</v>
      </c>
      <c r="C5" s="18" t="s">
        <v>72</v>
      </c>
      <c r="D5" s="18" t="s">
        <v>206</v>
      </c>
      <c r="E5" s="18" t="s">
        <v>207</v>
      </c>
      <c r="F5" s="18" t="s">
        <v>214</v>
      </c>
      <c r="G5" s="18"/>
      <c r="H5" s="18" t="s">
        <v>209</v>
      </c>
      <c r="I5" s="18"/>
    </row>
    <row r="6" spans="1:9" x14ac:dyDescent="0.3">
      <c r="A6" s="18" t="s">
        <v>36</v>
      </c>
      <c r="B6" s="18" t="s">
        <v>205</v>
      </c>
      <c r="C6" s="18" t="s">
        <v>73</v>
      </c>
      <c r="D6" s="18" t="s">
        <v>206</v>
      </c>
      <c r="E6" s="18" t="s">
        <v>207</v>
      </c>
      <c r="F6" s="18" t="s">
        <v>215</v>
      </c>
      <c r="G6" s="18"/>
      <c r="H6" s="18" t="s">
        <v>209</v>
      </c>
      <c r="I6" s="18"/>
    </row>
    <row r="7" spans="1:9" x14ac:dyDescent="0.3">
      <c r="A7" s="18" t="s">
        <v>36</v>
      </c>
      <c r="B7" s="18" t="s">
        <v>205</v>
      </c>
      <c r="C7" s="18" t="s">
        <v>74</v>
      </c>
      <c r="D7" s="18" t="s">
        <v>206</v>
      </c>
      <c r="E7" s="18" t="s">
        <v>207</v>
      </c>
      <c r="F7" s="18" t="s">
        <v>216</v>
      </c>
      <c r="G7" s="18" t="s">
        <v>217</v>
      </c>
      <c r="H7" s="18" t="s">
        <v>209</v>
      </c>
      <c r="I7" s="18"/>
    </row>
    <row r="8" spans="1:9" x14ac:dyDescent="0.3">
      <c r="A8" s="18" t="s">
        <v>36</v>
      </c>
      <c r="B8" s="18" t="s">
        <v>205</v>
      </c>
      <c r="C8" s="18" t="s">
        <v>75</v>
      </c>
      <c r="D8" s="18" t="s">
        <v>211</v>
      </c>
      <c r="E8" s="18" t="s">
        <v>207</v>
      </c>
      <c r="F8" s="18" t="s">
        <v>218</v>
      </c>
      <c r="G8" s="18"/>
      <c r="H8" s="18" t="s">
        <v>209</v>
      </c>
      <c r="I8" s="18"/>
    </row>
    <row r="9" spans="1:9" x14ac:dyDescent="0.3">
      <c r="A9" s="18" t="s">
        <v>36</v>
      </c>
      <c r="B9" s="18" t="s">
        <v>205</v>
      </c>
      <c r="C9" s="18" t="s">
        <v>76</v>
      </c>
      <c r="D9" s="18" t="s">
        <v>211</v>
      </c>
      <c r="E9" s="18" t="s">
        <v>219</v>
      </c>
      <c r="F9" s="18" t="s">
        <v>220</v>
      </c>
      <c r="G9" s="18"/>
      <c r="H9" s="18" t="s">
        <v>209</v>
      </c>
      <c r="I9" s="18"/>
    </row>
    <row r="10" spans="1:9" x14ac:dyDescent="0.3">
      <c r="A10" s="18" t="s">
        <v>38</v>
      </c>
      <c r="B10" s="18" t="s">
        <v>221</v>
      </c>
      <c r="C10" s="18" t="s">
        <v>109</v>
      </c>
      <c r="D10" s="18" t="s">
        <v>206</v>
      </c>
      <c r="E10" s="18" t="s">
        <v>207</v>
      </c>
      <c r="F10" s="18" t="s">
        <v>222</v>
      </c>
      <c r="G10" s="18"/>
      <c r="H10" s="18" t="s">
        <v>209</v>
      </c>
      <c r="I10" s="18" t="s">
        <v>223</v>
      </c>
    </row>
    <row r="11" spans="1:9" ht="26.4" x14ac:dyDescent="0.3">
      <c r="A11" s="18" t="s">
        <v>38</v>
      </c>
      <c r="B11" s="18" t="s">
        <v>221</v>
      </c>
      <c r="C11" s="18" t="s">
        <v>110</v>
      </c>
      <c r="D11" s="18" t="s">
        <v>211</v>
      </c>
      <c r="E11" s="18" t="s">
        <v>207</v>
      </c>
      <c r="F11" s="18" t="s">
        <v>224</v>
      </c>
      <c r="G11" s="18"/>
      <c r="H11" s="18" t="s">
        <v>209</v>
      </c>
      <c r="I11" s="18" t="s">
        <v>225</v>
      </c>
    </row>
    <row r="12" spans="1:9" x14ac:dyDescent="0.3">
      <c r="A12" s="18" t="s">
        <v>38</v>
      </c>
      <c r="B12" s="18" t="s">
        <v>221</v>
      </c>
      <c r="C12" s="18" t="s">
        <v>111</v>
      </c>
      <c r="D12" s="18" t="s">
        <v>206</v>
      </c>
      <c r="E12" s="18" t="s">
        <v>207</v>
      </c>
      <c r="F12" s="18" t="s">
        <v>226</v>
      </c>
      <c r="G12" s="18"/>
      <c r="H12" s="18" t="s">
        <v>209</v>
      </c>
      <c r="I12" s="18"/>
    </row>
    <row r="13" spans="1:9" x14ac:dyDescent="0.3">
      <c r="A13" s="18" t="s">
        <v>38</v>
      </c>
      <c r="B13" s="18" t="s">
        <v>221</v>
      </c>
      <c r="C13" s="18" t="s">
        <v>112</v>
      </c>
      <c r="D13" s="18" t="s">
        <v>206</v>
      </c>
      <c r="E13" s="18" t="s">
        <v>207</v>
      </c>
      <c r="F13" s="18" t="s">
        <v>222</v>
      </c>
      <c r="G13" s="18"/>
      <c r="H13" s="18" t="s">
        <v>209</v>
      </c>
      <c r="I13" s="18"/>
    </row>
    <row r="14" spans="1:9" x14ac:dyDescent="0.3">
      <c r="A14" s="18" t="s">
        <v>38</v>
      </c>
      <c r="B14" s="18" t="s">
        <v>221</v>
      </c>
      <c r="C14" s="18" t="s">
        <v>113</v>
      </c>
      <c r="D14" s="18" t="s">
        <v>206</v>
      </c>
      <c r="E14" s="18" t="s">
        <v>207</v>
      </c>
      <c r="F14" s="18" t="s">
        <v>227</v>
      </c>
      <c r="G14" s="18" t="s">
        <v>217</v>
      </c>
      <c r="H14" s="18" t="s">
        <v>209</v>
      </c>
      <c r="I14" s="18"/>
    </row>
    <row r="15" spans="1:9" ht="26.4" x14ac:dyDescent="0.3">
      <c r="A15" s="18" t="s">
        <v>38</v>
      </c>
      <c r="B15" s="18" t="s">
        <v>221</v>
      </c>
      <c r="C15" s="18" t="s">
        <v>114</v>
      </c>
      <c r="D15" s="18" t="s">
        <v>228</v>
      </c>
      <c r="E15" s="18" t="s">
        <v>207</v>
      </c>
      <c r="F15" s="18" t="s">
        <v>229</v>
      </c>
      <c r="G15" s="18"/>
      <c r="H15" s="18" t="s">
        <v>209</v>
      </c>
      <c r="I15" s="18"/>
    </row>
    <row r="16" spans="1:9" x14ac:dyDescent="0.3">
      <c r="A16" s="18" t="s">
        <v>38</v>
      </c>
      <c r="B16" s="18" t="s">
        <v>221</v>
      </c>
      <c r="C16" s="18" t="s">
        <v>115</v>
      </c>
      <c r="D16" s="18" t="s">
        <v>230</v>
      </c>
      <c r="E16" s="18" t="s">
        <v>207</v>
      </c>
      <c r="F16" s="18" t="s">
        <v>231</v>
      </c>
      <c r="G16" s="18"/>
      <c r="H16" s="18" t="s">
        <v>209</v>
      </c>
      <c r="I16" s="18"/>
    </row>
    <row r="17" spans="1:9" x14ac:dyDescent="0.3">
      <c r="A17" s="18" t="s">
        <v>38</v>
      </c>
      <c r="B17" s="18" t="s">
        <v>221</v>
      </c>
      <c r="C17" s="18" t="s">
        <v>116</v>
      </c>
      <c r="D17" s="18" t="s">
        <v>206</v>
      </c>
      <c r="E17" s="18" t="s">
        <v>207</v>
      </c>
      <c r="F17" s="18" t="s">
        <v>232</v>
      </c>
      <c r="G17" s="18"/>
      <c r="H17" s="18" t="s">
        <v>209</v>
      </c>
      <c r="I17" s="18"/>
    </row>
    <row r="18" spans="1:9" x14ac:dyDescent="0.3">
      <c r="A18" s="18" t="s">
        <v>38</v>
      </c>
      <c r="B18" s="18" t="s">
        <v>221</v>
      </c>
      <c r="C18" s="18" t="s">
        <v>14</v>
      </c>
      <c r="D18" s="18" t="s">
        <v>206</v>
      </c>
      <c r="E18" s="18" t="s">
        <v>207</v>
      </c>
      <c r="F18" s="18" t="s">
        <v>233</v>
      </c>
      <c r="G18" s="18"/>
      <c r="H18" s="18" t="s">
        <v>209</v>
      </c>
      <c r="I18" s="18"/>
    </row>
    <row r="19" spans="1:9" x14ac:dyDescent="0.3">
      <c r="A19" s="18" t="s">
        <v>38</v>
      </c>
      <c r="B19" s="18" t="s">
        <v>221</v>
      </c>
      <c r="C19" s="18" t="s">
        <v>117</v>
      </c>
      <c r="D19" s="18" t="s">
        <v>211</v>
      </c>
      <c r="E19" s="18" t="s">
        <v>219</v>
      </c>
      <c r="F19" s="18" t="s">
        <v>234</v>
      </c>
      <c r="G19" s="18"/>
      <c r="H19" s="18" t="s">
        <v>209</v>
      </c>
      <c r="I19" s="18"/>
    </row>
    <row r="20" spans="1:9" x14ac:dyDescent="0.3">
      <c r="A20" s="18" t="s">
        <v>40</v>
      </c>
      <c r="B20" s="18" t="s">
        <v>235</v>
      </c>
      <c r="C20" s="18" t="s">
        <v>109</v>
      </c>
      <c r="D20" s="18" t="s">
        <v>206</v>
      </c>
      <c r="E20" s="18" t="s">
        <v>207</v>
      </c>
      <c r="F20" s="18" t="s">
        <v>236</v>
      </c>
      <c r="G20" s="18"/>
      <c r="H20" s="18" t="s">
        <v>209</v>
      </c>
      <c r="I20" s="18" t="s">
        <v>223</v>
      </c>
    </row>
    <row r="21" spans="1:9" x14ac:dyDescent="0.3">
      <c r="A21" s="18" t="s">
        <v>40</v>
      </c>
      <c r="B21" s="18" t="s">
        <v>235</v>
      </c>
      <c r="C21" s="18" t="s">
        <v>153</v>
      </c>
      <c r="D21" s="18" t="s">
        <v>206</v>
      </c>
      <c r="E21" s="18" t="s">
        <v>207</v>
      </c>
      <c r="F21" s="18" t="s">
        <v>222</v>
      </c>
      <c r="G21" s="18"/>
      <c r="H21" s="18" t="s">
        <v>209</v>
      </c>
      <c r="I21" s="18"/>
    </row>
    <row r="22" spans="1:9" x14ac:dyDescent="0.3">
      <c r="A22" s="18" t="s">
        <v>40</v>
      </c>
      <c r="B22" s="18" t="s">
        <v>235</v>
      </c>
      <c r="C22" s="18" t="s">
        <v>113</v>
      </c>
      <c r="D22" s="18" t="s">
        <v>206</v>
      </c>
      <c r="E22" s="18" t="s">
        <v>207</v>
      </c>
      <c r="F22" s="18" t="s">
        <v>227</v>
      </c>
      <c r="G22" s="18" t="s">
        <v>217</v>
      </c>
      <c r="H22" s="18" t="s">
        <v>209</v>
      </c>
      <c r="I22" s="18"/>
    </row>
    <row r="23" spans="1:9" ht="26.4" x14ac:dyDescent="0.3">
      <c r="A23" s="18" t="s">
        <v>40</v>
      </c>
      <c r="B23" s="18" t="s">
        <v>235</v>
      </c>
      <c r="C23" s="18" t="s">
        <v>114</v>
      </c>
      <c r="D23" s="18" t="s">
        <v>228</v>
      </c>
      <c r="E23" s="18" t="s">
        <v>207</v>
      </c>
      <c r="F23" s="18" t="s">
        <v>229</v>
      </c>
      <c r="G23" s="18"/>
      <c r="H23" s="18" t="s">
        <v>209</v>
      </c>
      <c r="I23" s="18"/>
    </row>
    <row r="24" spans="1:9" x14ac:dyDescent="0.3">
      <c r="A24" s="18" t="s">
        <v>40</v>
      </c>
      <c r="B24" s="18" t="s">
        <v>235</v>
      </c>
      <c r="C24" s="18" t="s">
        <v>14</v>
      </c>
      <c r="D24" s="18" t="s">
        <v>206</v>
      </c>
      <c r="E24" s="18" t="s">
        <v>207</v>
      </c>
      <c r="F24" s="18" t="s">
        <v>233</v>
      </c>
      <c r="G24" s="18"/>
      <c r="H24" s="18" t="s">
        <v>209</v>
      </c>
      <c r="I24" s="18"/>
    </row>
    <row r="25" spans="1:9" x14ac:dyDescent="0.3">
      <c r="A25" s="18" t="s">
        <v>40</v>
      </c>
      <c r="B25" s="18" t="s">
        <v>235</v>
      </c>
      <c r="C25" s="18" t="s">
        <v>154</v>
      </c>
      <c r="D25" s="18" t="s">
        <v>206</v>
      </c>
      <c r="E25" s="18" t="s">
        <v>207</v>
      </c>
      <c r="F25" s="18" t="s">
        <v>237</v>
      </c>
      <c r="G25" s="18"/>
      <c r="H25" s="18" t="s">
        <v>209</v>
      </c>
      <c r="I25" s="1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6</vt:i4>
      </vt:variant>
    </vt:vector>
  </HeadingPairs>
  <TitlesOfParts>
    <vt:vector size="13" baseType="lpstr">
      <vt:lpstr>00_LEIA-ME</vt:lpstr>
      <vt:lpstr>Agenda</vt:lpstr>
      <vt:lpstr>Decisoes</vt:lpstr>
      <vt:lpstr>Acoes_Anteriores</vt:lpstr>
      <vt:lpstr>Ata</vt:lpstr>
      <vt:lpstr>Listas</vt:lpstr>
      <vt:lpstr>Dicionario_Dados</vt:lpstr>
      <vt:lpstr>DataRef</vt:lpstr>
      <vt:lpstr>lst_DataReferencia</vt:lpstr>
      <vt:lpstr>lst_Funcao</vt:lpstr>
      <vt:lpstr>Acoes_Anteriores!Títulos_de_Impressão</vt:lpstr>
      <vt:lpstr>Agenda!Títulos_de_Impressão</vt:lpstr>
      <vt:lpstr>Decisoes!Títulos_de_Impressão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RG-SGE-13 Revisão pela Gestão do SGE</dc:title>
  <dc:subject>SGE NP EN ISO 50001:2019 (ISO 50001:2018 + Amd 1:2024) — Plasticom</dc:subject>
  <dc:creator>Gestor(a) de Energia</dc:creator>
  <cp:lastModifiedBy>Aline Meireles</cp:lastModifiedBy>
  <dcterms:created xsi:type="dcterms:W3CDTF">2026-09-30T16:50:22Z</dcterms:created>
  <dcterms:modified xsi:type="dcterms:W3CDTF">2026-09-30T16:50:26Z</dcterms:modified>
</cp:coreProperties>
</file>