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4D41F8B3-EFFC-4DF6-A830-B62F84C18439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rametros" sheetId="2" r:id="rId2"/>
    <sheet name="Tipos_Energia" sheetId="3" r:id="rId3"/>
    <sheet name="Consumo_Mensal_Uso" sheetId="4" r:id="rId4"/>
    <sheet name="Usos_Energia" sheetId="5" r:id="rId5"/>
    <sheet name="Ficha_USE" sheetId="6" r:id="rId6"/>
    <sheet name="Campanha_Maquinas" sheetId="7" r:id="rId7"/>
    <sheet name="Energia_Maquina_Mensal" sheetId="8" r:id="rId8"/>
    <sheet name="Oportunidades" sheetId="9" r:id="rId9"/>
    <sheet name="Previsao_2027" sheetId="10" r:id="rId10"/>
    <sheet name="Metodo_Criterios" sheetId="11" r:id="rId11"/>
    <sheet name="Listas" sheetId="12" r:id="rId12"/>
    <sheet name="Dicionario_Dados" sheetId="13" r:id="rId13"/>
  </sheets>
  <definedNames>
    <definedName name="cresc_2027">Parametros!$B$9</definedName>
    <definedName name="crit_use_pct">Parametros!$B$7</definedName>
    <definedName name="crit_use_pot">Parametros!$B$8</definedName>
    <definedName name="DataRef">Listas!$A$3</definedName>
    <definedName name="fe_elet_lb">Parametros!$B$6</definedName>
    <definedName name="lst_DataReferencia">Listas!$A$3:$A$3</definedName>
    <definedName name="lst_EstadoOport">Listas!$E$3:$E$7</definedName>
    <definedName name="lst_Facilidade">Listas!$F$3:$F$5</definedName>
    <definedName name="lst_Funcao">Listas!$B$3:$B$24</definedName>
    <definedName name="lst_TipoOport">Listas!$D$3:$D$7</definedName>
    <definedName name="lst_Uso">Listas!$C$3:$C$11</definedName>
    <definedName name="preco_medio">Parametros!$B$5</definedName>
    <definedName name="_xlnm.Print_Titles" localSheetId="6">Campanha_Maquinas!$4:$4</definedName>
    <definedName name="_xlnm.Print_Titles" localSheetId="3">Consumo_Mensal_Uso!$4:$4</definedName>
    <definedName name="_xlnm.Print_Titles" localSheetId="7">Energia_Maquina_Mensal!$4:$4</definedName>
    <definedName name="_xlnm.Print_Titles" localSheetId="5">Ficha_USE!$4:$4</definedName>
    <definedName name="_xlnm.Print_Titles" localSheetId="8">Oportunidades!$4:$4</definedName>
    <definedName name="_xlnm.Print_Titles" localSheetId="1">Parametros!$4:$4</definedName>
    <definedName name="_xlnm.Print_Titles" localSheetId="9">Previsao_2027!$4:$4</definedName>
    <definedName name="_xlnm.Print_Titles" localSheetId="2">Tipos_Energia!$4:$4</definedName>
    <definedName name="_xlnm.Print_Titles" localSheetId="4">Usos_Energia!$4:$4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9" l="1"/>
  <c r="T20" i="9" s="1"/>
  <c r="S19" i="9"/>
  <c r="S18" i="9"/>
  <c r="S17" i="9"/>
  <c r="S16" i="9"/>
  <c r="T16" i="9" s="1"/>
  <c r="S15" i="9"/>
  <c r="S14" i="9"/>
  <c r="S13" i="9"/>
  <c r="S12" i="9"/>
  <c r="S11" i="9"/>
  <c r="S10" i="9"/>
  <c r="S9" i="9"/>
  <c r="S8" i="9"/>
  <c r="S7" i="9"/>
  <c r="S6" i="9"/>
  <c r="S5" i="9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Q27" i="7"/>
  <c r="P27" i="7"/>
  <c r="R27" i="7" s="1"/>
  <c r="N27" i="7"/>
  <c r="O27" i="7" s="1"/>
  <c r="M27" i="7"/>
  <c r="L27" i="7"/>
  <c r="S27" i="7" s="1"/>
  <c r="K27" i="7"/>
  <c r="Q26" i="7"/>
  <c r="R26" i="7" s="1"/>
  <c r="P26" i="7"/>
  <c r="N26" i="7"/>
  <c r="O26" i="7" s="1"/>
  <c r="M26" i="7"/>
  <c r="L26" i="7"/>
  <c r="K26" i="7"/>
  <c r="Q25" i="7"/>
  <c r="R25" i="7" s="1"/>
  <c r="P25" i="7"/>
  <c r="N25" i="7"/>
  <c r="O25" i="7" s="1"/>
  <c r="M25" i="7"/>
  <c r="L25" i="7"/>
  <c r="S25" i="7" s="1"/>
  <c r="K25" i="7"/>
  <c r="Q24" i="7"/>
  <c r="P24" i="7"/>
  <c r="N24" i="7"/>
  <c r="O24" i="7" s="1"/>
  <c r="M24" i="7"/>
  <c r="L24" i="7"/>
  <c r="S24" i="7" s="1"/>
  <c r="K24" i="7"/>
  <c r="Q23" i="7"/>
  <c r="R23" i="7" s="1"/>
  <c r="P23" i="7"/>
  <c r="N23" i="7"/>
  <c r="O23" i="7" s="1"/>
  <c r="M23" i="7"/>
  <c r="L23" i="7"/>
  <c r="K23" i="7"/>
  <c r="Q22" i="7"/>
  <c r="P22" i="7"/>
  <c r="N22" i="7"/>
  <c r="O22" i="7" s="1"/>
  <c r="M22" i="7"/>
  <c r="L22" i="7"/>
  <c r="K22" i="7"/>
  <c r="S22" i="7" s="1"/>
  <c r="R21" i="7"/>
  <c r="Q21" i="7"/>
  <c r="P21" i="7"/>
  <c r="N21" i="7"/>
  <c r="O21" i="7" s="1"/>
  <c r="M21" i="7"/>
  <c r="L21" i="7"/>
  <c r="S21" i="7" s="1"/>
  <c r="K21" i="7"/>
  <c r="Q20" i="7"/>
  <c r="P20" i="7"/>
  <c r="N20" i="7"/>
  <c r="O20" i="7" s="1"/>
  <c r="M20" i="7"/>
  <c r="L20" i="7"/>
  <c r="K20" i="7"/>
  <c r="Q19" i="7"/>
  <c r="P19" i="7"/>
  <c r="R19" i="7" s="1"/>
  <c r="N19" i="7"/>
  <c r="O19" i="7" s="1"/>
  <c r="M19" i="7"/>
  <c r="L19" i="7"/>
  <c r="K19" i="7"/>
  <c r="Q18" i="7"/>
  <c r="R18" i="7" s="1"/>
  <c r="P18" i="7"/>
  <c r="N18" i="7"/>
  <c r="O18" i="7" s="1"/>
  <c r="M18" i="7"/>
  <c r="L18" i="7"/>
  <c r="K18" i="7"/>
  <c r="Q17" i="7"/>
  <c r="R17" i="7" s="1"/>
  <c r="P17" i="7"/>
  <c r="N17" i="7"/>
  <c r="O17" i="7" s="1"/>
  <c r="M17" i="7"/>
  <c r="L17" i="7"/>
  <c r="S17" i="7" s="1"/>
  <c r="K17" i="7"/>
  <c r="Q16" i="7"/>
  <c r="P16" i="7"/>
  <c r="O16" i="7"/>
  <c r="N16" i="7"/>
  <c r="M16" i="7"/>
  <c r="L16" i="7"/>
  <c r="K16" i="7"/>
  <c r="S16" i="7" s="1"/>
  <c r="Q15" i="7"/>
  <c r="P15" i="7"/>
  <c r="R15" i="7" s="1"/>
  <c r="N15" i="7"/>
  <c r="O15" i="7" s="1"/>
  <c r="M15" i="7"/>
  <c r="L15" i="7"/>
  <c r="K15" i="7"/>
  <c r="Q14" i="7"/>
  <c r="P14" i="7"/>
  <c r="N14" i="7"/>
  <c r="O14" i="7" s="1"/>
  <c r="M14" i="7"/>
  <c r="L14" i="7"/>
  <c r="K14" i="7"/>
  <c r="Q13" i="7"/>
  <c r="R13" i="7" s="1"/>
  <c r="P13" i="7"/>
  <c r="N13" i="7"/>
  <c r="O13" i="7" s="1"/>
  <c r="M13" i="7"/>
  <c r="L13" i="7"/>
  <c r="S13" i="7" s="1"/>
  <c r="K13" i="7"/>
  <c r="Q12" i="7"/>
  <c r="P12" i="7"/>
  <c r="N12" i="7"/>
  <c r="O12" i="7" s="1"/>
  <c r="M12" i="7"/>
  <c r="L12" i="7"/>
  <c r="K12" i="7"/>
  <c r="S12" i="7" s="1"/>
  <c r="Q11" i="7"/>
  <c r="P11" i="7"/>
  <c r="N11" i="7"/>
  <c r="O11" i="7" s="1"/>
  <c r="M11" i="7"/>
  <c r="L11" i="7"/>
  <c r="S11" i="7" s="1"/>
  <c r="K11" i="7"/>
  <c r="Q10" i="7"/>
  <c r="P10" i="7"/>
  <c r="N10" i="7"/>
  <c r="O10" i="7" s="1"/>
  <c r="M10" i="7"/>
  <c r="L10" i="7"/>
  <c r="K10" i="7"/>
  <c r="S10" i="7" s="1"/>
  <c r="R9" i="7"/>
  <c r="Q9" i="7"/>
  <c r="P9" i="7"/>
  <c r="N9" i="7"/>
  <c r="O9" i="7" s="1"/>
  <c r="M9" i="7"/>
  <c r="L9" i="7"/>
  <c r="K9" i="7"/>
  <c r="S8" i="7"/>
  <c r="Q8" i="7"/>
  <c r="R8" i="7" s="1"/>
  <c r="P8" i="7"/>
  <c r="N8" i="7"/>
  <c r="O8" i="7" s="1"/>
  <c r="M8" i="7"/>
  <c r="L8" i="7"/>
  <c r="K8" i="7"/>
  <c r="Q7" i="7"/>
  <c r="P7" i="7"/>
  <c r="R7" i="7" s="1"/>
  <c r="N7" i="7"/>
  <c r="O7" i="7" s="1"/>
  <c r="M7" i="7"/>
  <c r="L7" i="7"/>
  <c r="K7" i="7"/>
  <c r="Q6" i="7"/>
  <c r="R6" i="7" s="1"/>
  <c r="P6" i="7"/>
  <c r="N6" i="7"/>
  <c r="O6" i="7" s="1"/>
  <c r="M6" i="7"/>
  <c r="L6" i="7"/>
  <c r="K6" i="7"/>
  <c r="Q5" i="7"/>
  <c r="R5" i="7" s="1"/>
  <c r="P5" i="7"/>
  <c r="N5" i="7"/>
  <c r="O5" i="7" s="1"/>
  <c r="M5" i="7"/>
  <c r="L5" i="7"/>
  <c r="K5" i="7"/>
  <c r="E13" i="5"/>
  <c r="E12" i="5"/>
  <c r="B12" i="10" s="1"/>
  <c r="D12" i="10" s="1"/>
  <c r="E11" i="5"/>
  <c r="B11" i="10" s="1"/>
  <c r="D11" i="10" s="1"/>
  <c r="E10" i="5"/>
  <c r="B10" i="10" s="1"/>
  <c r="D10" i="10" s="1"/>
  <c r="E9" i="5"/>
  <c r="E8" i="5"/>
  <c r="B8" i="10" s="1"/>
  <c r="D8" i="10" s="1"/>
  <c r="E7" i="5"/>
  <c r="B7" i="10" s="1"/>
  <c r="D7" i="10" s="1"/>
  <c r="E6" i="5"/>
  <c r="B6" i="10" s="1"/>
  <c r="D6" i="10" s="1"/>
  <c r="E5" i="5"/>
  <c r="E20" i="9" s="1"/>
  <c r="G20" i="9" s="1"/>
  <c r="L9" i="3"/>
  <c r="J9" i="3"/>
  <c r="J8" i="3"/>
  <c r="L8" i="3" s="1"/>
  <c r="J7" i="3"/>
  <c r="J6" i="3"/>
  <c r="L6" i="3" s="1"/>
  <c r="J5" i="3"/>
  <c r="K5" i="3" s="1"/>
  <c r="H8" i="5" l="1"/>
  <c r="G9" i="5"/>
  <c r="G13" i="5"/>
  <c r="S7" i="7"/>
  <c r="R14" i="7"/>
  <c r="R20" i="7"/>
  <c r="S23" i="7"/>
  <c r="R24" i="7"/>
  <c r="E9" i="9"/>
  <c r="G9" i="9" s="1"/>
  <c r="E17" i="9"/>
  <c r="G17" i="9" s="1"/>
  <c r="K17" i="9" s="1"/>
  <c r="H6" i="5"/>
  <c r="H10" i="5"/>
  <c r="H12" i="5"/>
  <c r="L5" i="3"/>
  <c r="K8" i="3"/>
  <c r="G7" i="5"/>
  <c r="G11" i="5"/>
  <c r="H5" i="5"/>
  <c r="H7" i="5"/>
  <c r="H9" i="5"/>
  <c r="H11" i="5"/>
  <c r="H13" i="5"/>
  <c r="S6" i="7"/>
  <c r="R10" i="7"/>
  <c r="R16" i="7"/>
  <c r="S18" i="7"/>
  <c r="S19" i="7"/>
  <c r="S26" i="7"/>
  <c r="G6" i="5"/>
  <c r="G8" i="5"/>
  <c r="G10" i="5"/>
  <c r="G12" i="5"/>
  <c r="S5" i="7"/>
  <c r="S9" i="7"/>
  <c r="R11" i="7"/>
  <c r="R12" i="7"/>
  <c r="S14" i="7"/>
  <c r="S15" i="7"/>
  <c r="S20" i="7"/>
  <c r="R22" i="7"/>
  <c r="E5" i="9"/>
  <c r="G5" i="9" s="1"/>
  <c r="E13" i="9"/>
  <c r="G13" i="9" s="1"/>
  <c r="B5" i="10"/>
  <c r="B9" i="10"/>
  <c r="D9" i="10" s="1"/>
  <c r="B13" i="10"/>
  <c r="D13" i="10" s="1"/>
  <c r="K20" i="9"/>
  <c r="H20" i="9"/>
  <c r="J20" i="9" s="1"/>
  <c r="M20" i="9" s="1"/>
  <c r="N20" i="9" s="1"/>
  <c r="T10" i="9"/>
  <c r="L7" i="3"/>
  <c r="K7" i="3"/>
  <c r="K9" i="3"/>
  <c r="H5" i="9"/>
  <c r="J5" i="9" s="1"/>
  <c r="M5" i="9"/>
  <c r="N5" i="9" s="1"/>
  <c r="H9" i="9"/>
  <c r="J9" i="9" s="1"/>
  <c r="M9" i="9" s="1"/>
  <c r="N9" i="9" s="1"/>
  <c r="H13" i="9"/>
  <c r="J13" i="9" s="1"/>
  <c r="M13" i="9"/>
  <c r="N13" i="9" s="1"/>
  <c r="H17" i="9"/>
  <c r="J17" i="9" s="1"/>
  <c r="M17" i="9" s="1"/>
  <c r="N17" i="9" s="1"/>
  <c r="B15" i="10"/>
  <c r="D5" i="10"/>
  <c r="E6" i="9"/>
  <c r="G6" i="9" s="1"/>
  <c r="T6" i="9" s="1"/>
  <c r="E10" i="9"/>
  <c r="G10" i="9" s="1"/>
  <c r="E14" i="9"/>
  <c r="G14" i="9" s="1"/>
  <c r="E18" i="9"/>
  <c r="G18" i="9" s="1"/>
  <c r="T18" i="9" s="1"/>
  <c r="K6" i="3"/>
  <c r="F5" i="5"/>
  <c r="F6" i="5"/>
  <c r="F7" i="5"/>
  <c r="F8" i="5"/>
  <c r="F9" i="5"/>
  <c r="J9" i="5" s="1"/>
  <c r="F10" i="5"/>
  <c r="J10" i="5" s="1"/>
  <c r="F11" i="5"/>
  <c r="J11" i="5" s="1"/>
  <c r="F12" i="5"/>
  <c r="J12" i="5" s="1"/>
  <c r="F13" i="5"/>
  <c r="J13" i="5" s="1"/>
  <c r="E7" i="9"/>
  <c r="G7" i="9" s="1"/>
  <c r="E11" i="9"/>
  <c r="G11" i="9" s="1"/>
  <c r="E15" i="9"/>
  <c r="G15" i="9" s="1"/>
  <c r="E19" i="9"/>
  <c r="G19" i="9" s="1"/>
  <c r="G5" i="5"/>
  <c r="E8" i="9"/>
  <c r="G8" i="9" s="1"/>
  <c r="E12" i="9"/>
  <c r="G12" i="9" s="1"/>
  <c r="E16" i="9"/>
  <c r="G16" i="9" s="1"/>
  <c r="K13" i="9" l="1"/>
  <c r="T13" i="9"/>
  <c r="K5" i="9"/>
  <c r="T5" i="9"/>
  <c r="K9" i="9"/>
  <c r="T9" i="9"/>
  <c r="T17" i="9"/>
  <c r="T11" i="9"/>
  <c r="K11" i="9"/>
  <c r="H11" i="9"/>
  <c r="J11" i="9" s="1"/>
  <c r="M11" i="9" s="1"/>
  <c r="N11" i="9" s="1"/>
  <c r="J7" i="5"/>
  <c r="C7" i="6"/>
  <c r="T7" i="9"/>
  <c r="K7" i="9"/>
  <c r="H7" i="9"/>
  <c r="J7" i="9" s="1"/>
  <c r="M7" i="9" s="1"/>
  <c r="N7" i="9" s="1"/>
  <c r="C6" i="6"/>
  <c r="J6" i="5"/>
  <c r="H14" i="9"/>
  <c r="J14" i="9" s="1"/>
  <c r="M14" i="9"/>
  <c r="N14" i="9" s="1"/>
  <c r="K14" i="9"/>
  <c r="K8" i="9"/>
  <c r="H8" i="9"/>
  <c r="J8" i="9" s="1"/>
  <c r="M8" i="9"/>
  <c r="N8" i="9" s="1"/>
  <c r="T19" i="9"/>
  <c r="K19" i="9"/>
  <c r="H19" i="9"/>
  <c r="J19" i="9" s="1"/>
  <c r="M19" i="9" s="1"/>
  <c r="N19" i="9" s="1"/>
  <c r="J5" i="5"/>
  <c r="C5" i="6"/>
  <c r="H10" i="9"/>
  <c r="J10" i="9" s="1"/>
  <c r="M10" i="9" s="1"/>
  <c r="N10" i="9" s="1"/>
  <c r="K10" i="9"/>
  <c r="D15" i="10"/>
  <c r="T8" i="9"/>
  <c r="E9" i="10" s="1"/>
  <c r="F9" i="10" s="1"/>
  <c r="H18" i="9"/>
  <c r="J18" i="9" s="1"/>
  <c r="M18" i="9"/>
  <c r="N18" i="9" s="1"/>
  <c r="K18" i="9"/>
  <c r="K16" i="9"/>
  <c r="H16" i="9"/>
  <c r="J16" i="9" s="1"/>
  <c r="M16" i="9"/>
  <c r="N16" i="9" s="1"/>
  <c r="K12" i="9"/>
  <c r="H12" i="9"/>
  <c r="J12" i="9" s="1"/>
  <c r="M12" i="9" s="1"/>
  <c r="N12" i="9" s="1"/>
  <c r="T15" i="9"/>
  <c r="K15" i="9"/>
  <c r="H15" i="9"/>
  <c r="J15" i="9" s="1"/>
  <c r="M15" i="9" s="1"/>
  <c r="N15" i="9" s="1"/>
  <c r="C8" i="6"/>
  <c r="J8" i="5"/>
  <c r="H6" i="9"/>
  <c r="J6" i="9" s="1"/>
  <c r="M6" i="9"/>
  <c r="N6" i="9" s="1"/>
  <c r="K6" i="9"/>
  <c r="T12" i="9"/>
  <c r="T14" i="9"/>
  <c r="I7" i="5" l="1"/>
  <c r="K7" i="5" s="1"/>
  <c r="I12" i="5"/>
  <c r="K12" i="5" s="1"/>
  <c r="L12" i="5" s="1"/>
  <c r="I5" i="5"/>
  <c r="K5" i="5" s="1"/>
  <c r="I11" i="5"/>
  <c r="K11" i="5" s="1"/>
  <c r="L11" i="5" s="1"/>
  <c r="E11" i="10"/>
  <c r="F11" i="10" s="1"/>
  <c r="E13" i="10"/>
  <c r="F13" i="10" s="1"/>
  <c r="E6" i="10"/>
  <c r="F6" i="10" s="1"/>
  <c r="L7" i="5"/>
  <c r="D7" i="6" s="1"/>
  <c r="I9" i="5"/>
  <c r="K9" i="5" s="1"/>
  <c r="L9" i="5" s="1"/>
  <c r="I8" i="5"/>
  <c r="K8" i="5" s="1"/>
  <c r="L8" i="5" s="1"/>
  <c r="D8" i="6" s="1"/>
  <c r="E8" i="10"/>
  <c r="F8" i="10" s="1"/>
  <c r="I13" i="5"/>
  <c r="K13" i="5" s="1"/>
  <c r="L13" i="5" s="1"/>
  <c r="E7" i="10"/>
  <c r="F7" i="10" s="1"/>
  <c r="E10" i="10"/>
  <c r="F10" i="10" s="1"/>
  <c r="L5" i="5"/>
  <c r="D5" i="6" s="1"/>
  <c r="I10" i="5"/>
  <c r="K10" i="5" s="1"/>
  <c r="L10" i="5" s="1"/>
  <c r="E12" i="10"/>
  <c r="F12" i="10" s="1"/>
  <c r="E5" i="10"/>
  <c r="I6" i="5"/>
  <c r="K6" i="5" s="1"/>
  <c r="L6" i="5" s="1"/>
  <c r="D6" i="6" s="1"/>
  <c r="E15" i="10" l="1"/>
  <c r="F5" i="10"/>
  <c r="F15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Parâmetro.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Unidade.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[Só SGE] Origem.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Tipo de energia.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Tipo de energia (6.3 a 1).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Origem / fornecedor.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Unidade faturada.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Conversão para kWh.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Conversão para kgep (Despacho 17313/2008).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Intensidade carbónica SGCIE (Despacho 17313/2008).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Fator do inventário de GEE (RG-SGA-19).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Dentro do âmbito e fronteiras (4.3 — nenhum tipo de energia pode ser excluído).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Consumo em 2026 (kWh).
[calculado]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Peso no consumo total.
[calculado]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Energia primária (tep) — SGCIE.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Uso de energia.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Tipo de energia.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Consumo (kWh).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Origem.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Medido / estimado (EN 17267).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Uso de energia (mesmo código do RG-SGA-13).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Tipo de energia.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Equipamentos.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Consumo de 2026 (12 meses).
[calculado]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Peso no consumo total de energia.
[calculado]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Posição (1 = maior).
[calculado]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Pareto: peso acumulado até este uso.
[calculado]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Potencial de melhoria identificado (Σ das oportunidades, repartido pelos usos afetados).
[calculado]</t>
        </r>
      </text>
    </comment>
    <comment ref="J4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≥ 10% do consumo?
[calculado]</t>
        </r>
      </text>
    </comment>
    <comment ref="K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Potencial ≥ 100 MWh/ano?
[calculado]</t>
        </r>
      </text>
    </comment>
    <comment ref="L4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Uso significativo (6.3 b).
[calculado]</t>
        </r>
      </text>
    </comment>
    <comment ref="M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Medido / estimado.</t>
        </r>
      </text>
    </comment>
    <comment ref="N4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Aspeto ambiental equivalente (RG-SGA-03).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Uso significativo.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Uso.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Peso no consumo.
[calculado]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Confirmação pelos critérios.
[calculado]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Variáveis relevantes (6.3 c 1).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IDE e valor atual (6.3 c 2) — ver RG-SGE-05.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Pessoas que trabalham sob o controlo da organização e influenciam o USE (6.3 c 3) — competência no RG-SGE-07.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Critérios de operação e manutenção (8.1) — RG-SGE-08.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IDE do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Máquina (ID do dataset).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Uso.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Ano de instalação (dim_machine_profile).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Acionamento (simulado coerente com o ano).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Início da medição.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Duração (h).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Analisador portátil (RG-SGE-06 tbl_equipamentos).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Potência média em produção (medida).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Potência em espera com resistências ligadas.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Consumo residual desligada (comandos).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Espera ÷ produção (Kent: até 80–90% nas hidráulicas).
[calculado]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Desvio face à média do processo.
[calculado]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Horas de marcha em 2026.
[calculado]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Horas de paragem + setup em 2026.
[calculado]</t>
        </r>
      </text>
    </comment>
    <comment ref="O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Energia gasta em espera (oportunidade OPE-03).
[calculado]</t>
        </r>
      </text>
    </comment>
    <comment ref="P4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Eletricidade rateada em 2026.
[calculado]</t>
        </r>
      </text>
    </comment>
    <comment ref="Q4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Unidades em 2026.
[calculado]</t>
        </r>
      </text>
    </comment>
    <comment ref="R4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kWh por 1.000 unidades (depende também da peça e do molde).
[calculado]</t>
        </r>
      </text>
    </comment>
    <comment ref="S4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Alta = potência &gt; média do processo + 15% E espera &gt; 50%.
[calculado]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Mês.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Máquina.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Uso.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Unidades produzidas (dataset).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Horas de marcha (dataset).</t>
        </r>
      </text>
    </comment>
    <comment ref="F4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Paragens não planeadas + setup (dataset).</t>
        </r>
      </text>
    </comment>
    <comment ref="G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Eletricidade do processo (RG-SGA-13) × peso da máquina.</t>
        </r>
      </text>
    </comment>
    <comment ref="H4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kWh por 1.000 unidades.
[calculado]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Oportunidade de melhoria do desempenho energético.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Descrição.</t>
        </r>
      </text>
    </comment>
    <comment ref="C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Usos afetados (códigos separados por ';').</t>
        </r>
      </text>
    </comment>
    <comment ref="D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E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Consumo 12 meses dos usos afetados.
[calculado]</t>
        </r>
      </text>
    </comment>
    <comment ref="F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Poupança estimada (% da base).</t>
        </r>
      </text>
    </comment>
    <comment ref="G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Poupança anual (MWh).
[calculado]</t>
        </r>
      </text>
    </comment>
    <comment ref="H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Poupança anual (€) ao preço médio.
[calculado]</t>
        </r>
      </text>
    </comment>
    <comment ref="I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Investimento estimado.</t>
        </r>
      </text>
    </comment>
    <comment ref="J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Retorno simples (anos).
[calculado]</t>
        </r>
      </text>
    </comment>
    <comment ref="K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Emissões evitadas (location-based).
[calculado]</t>
        </r>
      </text>
    </comment>
    <comment ref="L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1 difícil · 2 média · 3 fácil.</t>
        </r>
      </text>
    </comment>
    <comment ref="M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Priorização (6.3 d): energia (0–3) + retorno (1–3) + facilidade (1–3).
[calculado]</t>
        </r>
      </text>
    </comment>
    <comment ref="N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Alta ≥ 7 · Média ≥ 5 · Baixa.
[calculado]</t>
        </r>
      </text>
    </comment>
    <comment ref="O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Fonte da estimativa.</t>
        </r>
      </text>
    </comment>
    <comment ref="P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Plano de ação (RG-SGE-05).</t>
        </r>
      </text>
    </comment>
    <comment ref="Q4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R4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Nota.</t>
        </r>
      </text>
    </comment>
    <comment ref="S4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N.º de usos afetados.
[calculado]</t>
        </r>
      </text>
    </comment>
    <comment ref="T4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Parcela por uso (para o potencial de cada uso).
[calculado]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Uso.</t>
        </r>
      </text>
    </comment>
    <comment ref="B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Consumo atual.
[calculado]</t>
        </r>
      </text>
    </comment>
    <comment ref="C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Quanto o uso acompanha a produção (1 = proporcional; 0 = fixo).</t>
        </r>
      </text>
    </comment>
    <comment ref="D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Sem novas ações.
[calculado]</t>
        </r>
      </text>
    </comment>
    <comment ref="E4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Oportunidades aprovadas ou em curso (efeito anual; as concluídas em 2026 já estão parcialmente no consumo de 2026).
[calculado]</t>
        </r>
      </text>
    </comment>
    <comment ref="F4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Previsão com as ações aprovadas.
[calculado]</t>
        </r>
      </text>
    </comment>
    <comment ref="G4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Pressupostos.</t>
        </r>
      </text>
    </comment>
  </commentList>
</comments>
</file>

<file path=xl/sharedStrings.xml><?xml version="1.0" encoding="utf-8"?>
<sst xmlns="http://schemas.openxmlformats.org/spreadsheetml/2006/main" count="2857" uniqueCount="600">
  <si>
    <t>RG-SGE-04 — Revisão Energética e Usos Significativos de Energia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</si>
  <si>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</si>
  <si>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</si>
  <si>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</si>
  <si>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RG-SGE-04</t>
  </si>
  <si>
    <t>Título</t>
  </si>
  <si>
    <t>Revisão Energética e Usos Significativos de Energia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</si>
  <si>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</si>
  <si>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</si>
  <si>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</si>
  <si>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</si>
  <si>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</si>
  <si>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</si>
  <si>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</si>
  <si>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</si>
  <si>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</si>
  <si>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</si>
  <si>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</si>
  <si>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</si>
  <si>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</si>
  <si>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</si>
  <si>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</si>
  <si>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Consumo mensal por uso e tipo de energia 2025-03 a 2026-12 (fonte única RG-SGA-13 e RG-SGA-19); critérios de USE aplicados por fórmula sobre os 12 meses jan–dez/2026 (Pareto); ficha de cada USE; campanha de medição por máquina e rateio mensal por máquina com ranking de consumo específico; registo de 16 oportunidades com poupança, custo, retorno e prioridade calculados; previsão do consumo de 2027.</t>
  </si>
  <si>
    <t>Utilização / atividades</t>
  </si>
  <si>
    <t>Analisar o uso e o consumo de energia com base em medições e outros dados; identificar os USE; determinar variáveis relevantes, desempenho atual e pessoas que influenciam cada USE; priorizar oportunidades de melhoria; estimar o consumo futuro. Atualização anual e após alterações maiores.</t>
  </si>
  <si>
    <t>Requisitos ISO 50001:2018</t>
  </si>
  <si>
    <t>6.3 a) 1) tipos de energia atuais; a) 2) uso e consumo passado e atual; b) identificar USE; c) 1) variáveis relevantes, 2) desempenho atual, 3) pessoas que influenciam; d) determinar e priorizar oportunidades; e) estimar uso e consumo futuros; métodos e critérios mantidos, resultados retidos; atualização em intervalos definidos e após alterações maiores.</t>
  </si>
  <si>
    <t>NORMAS DE ORIENTAÇÃO E REFERÊNCIAS APLICADAS (orientação — não são requisitos auditáveis da ISO 50001)</t>
  </si>
  <si>
    <t>ISO 50002-1:2025 (substitui a ISO 50002:2014) e EN 16247-1</t>
  </si>
  <si>
    <t>Estrutura da análise: dados, visita/medições, análise, oportunidades com poupança, custo e retorno.</t>
  </si>
  <si>
    <t>ISO 50004:2020 (anexo sobre revisão energética)</t>
  </si>
  <si>
    <t>Critérios de significância documentados; atualização anual e em alterações maiores.</t>
  </si>
  <si>
    <t>ISO 50006:2023 §5.1 e §5.4</t>
  </si>
  <si>
    <t>Tipos de energia, fluxos e SEU como base dos IDE.</t>
  </si>
  <si>
    <t>ISO 11011:2013</t>
  </si>
  <si>
    <t>Avaliação da central de ar comprimido (procura, fugas, pressão, potência específica).</t>
  </si>
  <si>
    <t>EN 17267:2019</t>
  </si>
  <si>
    <t>Qualidade dos dados: medido vs estimado (coluna Qualidade_Dados).</t>
  </si>
  <si>
    <t>Kent, R. / BPF — Energy Management in Plastics Processing</t>
  </si>
  <si>
    <t>Distribuição típica (ar ≈ 10%, frio 10–15%, iluminação ≈ 5%), perdas em espera, benchmarks de medidas.</t>
  </si>
  <si>
    <t>UNIDO — EnMS toolkit / DOE 50001 Ready Navigator (tarefas 8–10)</t>
  </si>
  <si>
    <t>Modelo do registo de oportunidades e da ficha de USE.</t>
  </si>
  <si>
    <t>Despacho 17313/2008</t>
  </si>
  <si>
    <t>Fatores de conversão para tep e intensidade carbónica (tbl_tipos_energia).</t>
  </si>
  <si>
    <t>REQUISITOS LEGAIS E OUTROS REQUISITOS APLICADOS (4.2, 9.1.2 — lista completa no RG-SGE-11)</t>
  </si>
  <si>
    <t>DL 71/2008 (SGCIE) — LEG-08</t>
  </si>
  <si>
    <t>A auditoria energética SGCIE (OBR-06, próxima 2030) usa esta revisão como base; o PREn integra as oportunidades.</t>
  </si>
  <si>
    <t>Diretiva (UE) 2023/1791, art. 11.º</t>
  </si>
  <si>
    <t>Empresas &gt; 10 TJ/ano sem SGE: auditoria energética de 4 em 4 anos; com SGE ISO 50001 certificado ficam isentas (transposição em curso).</t>
  </si>
  <si>
    <t>ESTRUTURA DO FICHEIRO</t>
  </si>
  <si>
    <t>Parametros</t>
  </si>
  <si>
    <t>Parâmetros e critérios da revisão energética (mesma estrutura do RG-SGA-13 tbl_parametros).</t>
  </si>
  <si>
    <t>Tipos_Energia</t>
  </si>
  <si>
    <t>Tipos de energia atuais e futuros com fatores de conversão (6.3 a 1).</t>
  </si>
  <si>
    <t>Consumo_Mensal_Uso</t>
  </si>
  <si>
    <t>Consumo mensal por uso e tipo de energia (formato longo, pronto para Power BI).</t>
  </si>
  <si>
    <t>Usos_Energia</t>
  </si>
  <si>
    <t>Usos de energia com critérios de significância calculados (6.3 b).</t>
  </si>
  <si>
    <t>Ficha_USE</t>
  </si>
  <si>
    <t>Ficha de cada USE: variáveis relevantes, desempenho atual, pessoas que influenciam (6.3 c).</t>
  </si>
  <si>
    <t>Campanha_Maquinas</t>
  </si>
  <si>
    <t>Campanha de medição por máquina com analisador portátil (simulada, jun–jul/2026) e indicadores por máquina (6.3 a 2, c 2).</t>
  </si>
  <si>
    <t>Energia_Maquina_Mensal</t>
  </si>
  <si>
    <t>Eletricidade mensal por máquina (rateio pelo kW medido × horas) jul/2025–dez/2026.</t>
  </si>
  <si>
    <t>Oportunidades</t>
  </si>
  <si>
    <t>Oportunidades de melhoria do desempenho energético determinadas e priorizadas (6.3 d).</t>
  </si>
  <si>
    <t>Previsao_2027</t>
  </si>
  <si>
    <t>Estimativa do uso e consumo futuros (6.3 e).</t>
  </si>
  <si>
    <t>Metodo_Criterios</t>
  </si>
  <si>
    <t>Métodos e critérios da revisão energética (6.3 — manter como informação documentada; detalhe no PR-SGE-02).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</si>
  <si>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</si>
  <si>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</si>
  <si>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</si>
  <si>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</si>
  <si>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</si>
  <si>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</si>
  <si>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</si>
  <si>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</si>
  <si>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</si>
  <si>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</si>
  <si>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</si>
  <si>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</si>
  <si>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</si>
  <si>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</si>
  <si>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</si>
  <si>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</si>
  <si>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</si>
  <si>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</si>
  <si>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RG-SGA-13</t>
  </si>
  <si>
    <t>Eletricidade por uso (rateio) — fonte única.</t>
  </si>
  <si>
    <t>RG-SGA-19</t>
  </si>
  <si>
    <t>Gasóleo da frota e do gerador (âmbito 1).</t>
  </si>
  <si>
    <t>RG-SGA-03</t>
  </si>
  <si>
    <t>Aspetos ambientais de energia AA-007, AA-010, AA-021, AA-030 a AA-032 (mesmos usos).</t>
  </si>
  <si>
    <t>RG-SGE-05</t>
  </si>
  <si>
    <t>IDE e LBE por USE; objetivos e planos de ação que tratam as oportunidades.</t>
  </si>
  <si>
    <t>RG-SGE-08</t>
  </si>
  <si>
    <t>Critérios operacionais de cada USE (CO-xx).</t>
  </si>
  <si>
    <t>RG-SGE-09</t>
  </si>
  <si>
    <t>LCC das oportunidades de investimento e compra de energia.</t>
  </si>
  <si>
    <t>PARÂMETROS E CRITÉRIOS DA REVISÃO ENERGÉTICA</t>
  </si>
  <si>
    <t>Codigo</t>
  </si>
  <si>
    <t>Valor</t>
  </si>
  <si>
    <t>Unidade</t>
  </si>
  <si>
    <t>Descricao</t>
  </si>
  <si>
    <t>Fonte</t>
  </si>
  <si>
    <t>PRECO_MEDIO</t>
  </si>
  <si>
    <t>€/kWh</t>
  </si>
  <si>
    <t>Preço médio da eletricidade (energia + redes) jan–dez/2026</t>
  </si>
  <si>
    <t>RG-SGE-09 (faturas simuladas)</t>
  </si>
  <si>
    <t>FE_ELET_LB</t>
  </si>
  <si>
    <t>kgCO2e/kWh</t>
  </si>
  <si>
    <t>Fator de emissão location-based (cópia do FE-01 do RG-SGA-19)</t>
  </si>
  <si>
    <t>RG-SGA-19 tbl_fatores_emissao</t>
  </si>
  <si>
    <t>CRIT_USE_PCT</t>
  </si>
  <si>
    <t>fração</t>
  </si>
  <si>
    <t>Critério 1 de USE: uso ≥ 10% do consumo total de energia</t>
  </si>
  <si>
    <t>Decisão da equipa de gestão de energia (6.3 b)</t>
  </si>
  <si>
    <t>CRIT_USE_POT</t>
  </si>
  <si>
    <t>MWh/ano</t>
  </si>
  <si>
    <t>Critério 2 de USE: potencial de melhoria identificado ≥ 100 MWh/ano</t>
  </si>
  <si>
    <t>CRESC_2027</t>
  </si>
  <si>
    <t>Crescimento da produção em 2027 (ano completo das 4 máquinas novas, que em 2026 só produziram 6 meses)</t>
  </si>
  <si>
    <t>Plano de capacidade 2027 (RG-SGA-18 ALT-2026-03)</t>
  </si>
  <si>
    <t>TIPOS DE ENERGIA (6.3 a 1)</t>
  </si>
  <si>
    <t>Eletricidade: 0,215 kgep/kWh e 0,47 kgCO2e/kWh (Despacho 17313/2008, usados no SGCIE) · Gasóleo: 0,864 kgep/L · O inventário GEE usa fatores atuais (RG-SGA-19)</t>
  </si>
  <si>
    <t>ID_Tipo</t>
  </si>
  <si>
    <t>Tipo_Energia</t>
  </si>
  <si>
    <t>Origem</t>
  </si>
  <si>
    <t>Unidade_Compra</t>
  </si>
  <si>
    <t>kWh_por_Unidade</t>
  </si>
  <si>
    <t>kgep_por_Unidade</t>
  </si>
  <si>
    <t>kgCO2e_por_Unidade_SGCIE</t>
  </si>
  <si>
    <t>kgCO2e_por_Unidade_GEE</t>
  </si>
  <si>
    <t>Dentro_Ambito</t>
  </si>
  <si>
    <t>kWh_12m</t>
  </si>
  <si>
    <t>Pct_12m</t>
  </si>
  <si>
    <t>tep_12m</t>
  </si>
  <si>
    <t>TE-01</t>
  </si>
  <si>
    <t>Eletricidade da rede (média tensão)</t>
  </si>
  <si>
    <t>Comercializador ENE-01 (RG-SGA-11); 55% com garantias de origem</t>
  </si>
  <si>
    <t>kWh</t>
  </si>
  <si>
    <t>Sim</t>
  </si>
  <si>
    <t>TE-02</t>
  </si>
  <si>
    <t>Gasóleo rodoviário (frota)</t>
  </si>
  <si>
    <t>Cartão de frota</t>
  </si>
  <si>
    <t>L</t>
  </si>
  <si>
    <t>TE-03</t>
  </si>
  <si>
    <t>Gasóleo do gerador de emergência</t>
  </si>
  <si>
    <t>Fornecedor de combustíveis</t>
  </si>
  <si>
    <t>TE-04</t>
  </si>
  <si>
    <t>Eletricidade solar fotovoltaica de autoconsumo (UPAC ≈ 1 MWp)</t>
  </si>
  <si>
    <t>Produção própria — prevista 2027 (ALT-2026-07)</t>
  </si>
  <si>
    <t>Futuro</t>
  </si>
  <si>
    <t>TE-05</t>
  </si>
  <si>
    <t>Ar comprimido (vetor energético produzido internamente)</t>
  </si>
  <si>
    <t>Produzido pelos compressores CMP-01/02</t>
  </si>
  <si>
    <t>Nm³</t>
  </si>
  <si>
    <t>Sim (vetor interno)</t>
  </si>
  <si>
    <t>CONSUMO MENSAL POR USO DE ENERGIA (6.3 a 2)</t>
  </si>
  <si>
    <t>Eletricidade: RG-SGA-13 (soma dos usos = fatura) · Gasóleo: RG-SGA-19 · Uma linha por mês × uso</t>
  </si>
  <si>
    <t>Mes</t>
  </si>
  <si>
    <t>ID_Uso</t>
  </si>
  <si>
    <t>Qualidade_Dados</t>
  </si>
  <si>
    <t>SOP</t>
  </si>
  <si>
    <t>RG-SGA-13 tbl_dados_ambientais (rateio por horas de marcha)</t>
  </si>
  <si>
    <t>Estimado (rateio)</t>
  </si>
  <si>
    <t>INJ</t>
  </si>
  <si>
    <t>UTL-AR</t>
  </si>
  <si>
    <t>UTL-FRIO</t>
  </si>
  <si>
    <t>GER</t>
  </si>
  <si>
    <t>SER</t>
  </si>
  <si>
    <t>HFS</t>
  </si>
  <si>
    <t>FRO</t>
  </si>
  <si>
    <t>RG-SGA-19 S1-01 (cartão de frota) × 10 kWh/L</t>
  </si>
  <si>
    <t>Medido</t>
  </si>
  <si>
    <t>GER-EMG</t>
  </si>
  <si>
    <t>RG-SGA-19 S1-02 (registo de testes) × 10 kWh/L</t>
  </si>
  <si>
    <t>Estimado</t>
  </si>
  <si>
    <t>USOS DE ENERGIA E DETERMINAÇÃO DOS USE (6.3 b)</t>
  </si>
  <si>
    <t>USE = uso ≥ 10% do consumo total OU potencial de melhoria ≥ 100 MWh/ano · 12 meses jan–dez/2026 · Critérios em tbl_parametros</t>
  </si>
  <si>
    <t>Uso</t>
  </si>
  <si>
    <t>Equipamentos</t>
  </si>
  <si>
    <t>Pct_Total</t>
  </si>
  <si>
    <t>Ranking</t>
  </si>
  <si>
    <t>Pct_Acumulada</t>
  </si>
  <si>
    <t>Potencial_MWh</t>
  </si>
  <si>
    <t>Criterio_Consumo</t>
  </si>
  <si>
    <t>Criterio_Potencial</t>
  </si>
  <si>
    <t>E_USE</t>
  </si>
  <si>
    <t>Aspeto_SGA</t>
  </si>
  <si>
    <t>Sopro de frascos (ISBM): aquecimento de pré-formas, sopro, hidráulica</t>
  </si>
  <si>
    <t>Eletricidade</t>
  </si>
  <si>
    <t>ISBM-001 a ISBM-010</t>
  </si>
  <si>
    <t>AA-010</t>
  </si>
  <si>
    <t>Injeção de tampas e potes: aquecimento do canhão, hidráulica/servo, extração</t>
  </si>
  <si>
    <t>IM-001 a IM-009</t>
  </si>
  <si>
    <t>AA-007</t>
  </si>
  <si>
    <t>Ar comprimido (compressores CMP-01/02 de velocidade variável desde 02/2026, secadores)</t>
  </si>
  <si>
    <t>CMP-01, CMP-02</t>
  </si>
  <si>
    <t>AA-021</t>
  </si>
  <si>
    <t>Arrefecimento de moldes e óleo (chiller CH-01, torre TR-01, bombas)</t>
  </si>
  <si>
    <t>CH-01, TR-01, bombas de circulação</t>
  </si>
  <si>
    <t>Serviços gerais: iluminação, AVAC, escritórios, armazéns, laboratório</t>
  </si>
  <si>
    <t>QGBT serviços</t>
  </si>
  <si>
    <t>AA-030</t>
  </si>
  <si>
    <t>Serigrafia (decoração) com cura UV/IR</t>
  </si>
  <si>
    <t>SS-001, SS-002</t>
  </si>
  <si>
    <t>Hot foil stamping (decoração)</t>
  </si>
  <si>
    <t>HF-001, HF-002</t>
  </si>
  <si>
    <t>AA-019</t>
  </si>
  <si>
    <t>Frota: 2 viaturas de serviço e 1 carrinha</t>
  </si>
  <si>
    <t>Gasóleo rodoviário</t>
  </si>
  <si>
    <t>Viaturas VS-01, VS-02, CR-01</t>
  </si>
  <si>
    <t>Gerador de emergência GE-01 (testes mensais)</t>
  </si>
  <si>
    <t>Gasóleo</t>
  </si>
  <si>
    <t>GE-01</t>
  </si>
  <si>
    <t>FICHA DOS USOS SIGNIFICATIVOS DE ENERGIA (6.3 c 1–3)</t>
  </si>
  <si>
    <t>ID_USE</t>
  </si>
  <si>
    <t>Pct_Consumo</t>
  </si>
  <si>
    <t>Confirmado_USE</t>
  </si>
  <si>
    <t>Variaveis_Relevantes</t>
  </si>
  <si>
    <t>Desempenho_Atual</t>
  </si>
  <si>
    <t>Pessoas_Influenciam</t>
  </si>
  <si>
    <t>Controlos_Operacionais</t>
  </si>
  <si>
    <t>IDE</t>
  </si>
  <si>
    <t>USE-01</t>
  </si>
  <si>
    <t>Frascos produzidos; horas de marcha; massa do frasco; tecnologia (hidráulica/elétrica)</t>
  </si>
  <si>
    <t>IDE-03 (kWh/1.000 frascos); kW por máquina (campanha)</t>
  </si>
  <si>
    <t>Gerente de Produção; Operador de Sopro (ISBM); Engenheiro(a) de Processo; Gerente de Manutenção; Chefe de Turno</t>
  </si>
  <si>
    <t>Temperatura dos fornos de pré-forma, pressão de sopro, standby em paragens, recuperação de ar (CO-01 a CO-04)</t>
  </si>
  <si>
    <t>IDE-03</t>
  </si>
  <si>
    <t>USE-02</t>
  </si>
  <si>
    <t>Peças produzidas; horas de marcha; tempo de ciclo; tecnologia (hidráulica/servo/elétrica)</t>
  </si>
  <si>
    <t>IDE-04 (kWh/1.000 un); kW por máquina (campanha)</t>
  </si>
  <si>
    <t>Gerente de Produção; Operador de Injeção; Engenheiro(a) de Processo; Gerente de Manutenção; Chefe de Turno</t>
  </si>
  <si>
    <t>Temperaturas do canhão por molde, standby em paragens, isolamento, manutenção hidráulica (CO-05 a CO-08)</t>
  </si>
  <si>
    <t>IDE-04</t>
  </si>
  <si>
    <t>USE-03</t>
  </si>
  <si>
    <t>Procura de ar das máquinas; fugas; pressão de serviço</t>
  </si>
  <si>
    <t>IDE-08 (kWh/Nm³); % fugas no teste de vazio</t>
  </si>
  <si>
    <t>Técnico de Utilidades; Técnico de Manutenção; Gerente de Manutenção; operadores (uso de ar para limpeza)</t>
  </si>
  <si>
    <t>Pressão 6,8–7,2 bar, ronda de fugas, ramais fechados ao fim de semana, secadores (CO-09 a CO-12)</t>
  </si>
  <si>
    <t>IDE-08</t>
  </si>
  <si>
    <t>USE-04</t>
  </si>
  <si>
    <t>Carga térmica dos moldes; temperatura exterior (graus-dia)</t>
  </si>
  <si>
    <t>IDE-06 (kWh frio ÷ kWh INJ+SOP)</t>
  </si>
  <si>
    <t>Técnico de Utilidades; Engenheiro(a) de Processo; Técnico de Manutenção</t>
  </si>
  <si>
    <t>Setpoint da água gelada, ΔT, limpeza dos permutadores, free-cooling (CO-13 a CO-15)</t>
  </si>
  <si>
    <t>IDE-06</t>
  </si>
  <si>
    <t>CAMPANHA DE MEDIÇÃO POR MÁQUINA (analisador PA-01, 48 h por máquina) — SIMULADA</t>
  </si>
  <si>
    <t>Calibrada para reproduzir os kW médios por processo do RG-SGA-13 · Energia por máquina = rateio do valor do processo por kW × horas (tbl_energia_maquina)</t>
  </si>
  <si>
    <t>ID_Maquina</t>
  </si>
  <si>
    <t>Processo</t>
  </si>
  <si>
    <t>Ano_Instalacao</t>
  </si>
  <si>
    <t>Tecnologia</t>
  </si>
  <si>
    <t>Data_Medicao</t>
  </si>
  <si>
    <t>Duracao_h</t>
  </si>
  <si>
    <t>Instrumento</t>
  </si>
  <si>
    <t>kW_Producao</t>
  </si>
  <si>
    <t>kW_Espera_Aquecida</t>
  </si>
  <si>
    <t>kW_Desligada</t>
  </si>
  <si>
    <t>Fracao_Espera</t>
  </si>
  <si>
    <t>kW_vs_Media_Processo</t>
  </si>
  <si>
    <t>Horas_Marcha_12m</t>
  </si>
  <si>
    <t>Horas_Paragem_12m</t>
  </si>
  <si>
    <t>kWh_Espera_12m</t>
  </si>
  <si>
    <t>Unid_12m</t>
  </si>
  <si>
    <t>SEC_kWh_1000</t>
  </si>
  <si>
    <t>Prioridade_Maquina</t>
  </si>
  <si>
    <t>ISBM-001</t>
  </si>
  <si>
    <t>ISBM elétrica com recuperação de ar</t>
  </si>
  <si>
    <t>PA-01</t>
  </si>
  <si>
    <t>ISBM-002</t>
  </si>
  <si>
    <t>ISBM hidráulica</t>
  </si>
  <si>
    <t>ISBM-003</t>
  </si>
  <si>
    <t>ISBM-004</t>
  </si>
  <si>
    <t>ISBM-005</t>
  </si>
  <si>
    <t>ISBM-006</t>
  </si>
  <si>
    <t>ISBM-007</t>
  </si>
  <si>
    <t>ISBM híbrida (servo)</t>
  </si>
  <si>
    <t>ISBM-008</t>
  </si>
  <si>
    <t>ISBM-009</t>
  </si>
  <si>
    <t>ISBM-010</t>
  </si>
  <si>
    <t>IM-001</t>
  </si>
  <si>
    <t>Injetora totalmente elétrica</t>
  </si>
  <si>
    <t>IM-002</t>
  </si>
  <si>
    <t>Injetora hidráulica de bomba fixa</t>
  </si>
  <si>
    <t>IM-003</t>
  </si>
  <si>
    <t>Injetora servo-hidráulica</t>
  </si>
  <si>
    <t>IM-004</t>
  </si>
  <si>
    <t>IM-005</t>
  </si>
  <si>
    <t>IM-006</t>
  </si>
  <si>
    <t>IM-007</t>
  </si>
  <si>
    <t>IM-008</t>
  </si>
  <si>
    <t>IM-009</t>
  </si>
  <si>
    <t>Injetora totalmente elétrica (linha dedicada a contacto alimentar)</t>
  </si>
  <si>
    <t>SS-001</t>
  </si>
  <si>
    <t>Serigrafia com cura UV</t>
  </si>
  <si>
    <t>SS-002</t>
  </si>
  <si>
    <t>HF-001</t>
  </si>
  <si>
    <t>Hot foil</t>
  </si>
  <si>
    <t>HF-002</t>
  </si>
  <si>
    <t>ELETRICIDADE MENSAL POR MÁQUINA (rateio ponderado pela campanha)</t>
  </si>
  <si>
    <t>Σ por processo e mês = RG-SGA-13 · Substituído pela medição dos analisadores a partir de 12/2026</t>
  </si>
  <si>
    <t>Unid</t>
  </si>
  <si>
    <t>Horas_Marcha</t>
  </si>
  <si>
    <t>Horas_Paragem</t>
  </si>
  <si>
    <t>kWh_Rateado</t>
  </si>
  <si>
    <t>REGISTO DE OPORTUNIDADES DE MELHORIA DO DESEMPENHO ENERGÉTICO (6.3 d)</t>
  </si>
  <si>
    <t>Base = consumo de 12 meses dos usos afetados · Poupança, €, retorno, CO2 e prioridade calculados · Estimativas a confirmar por M&amp;V (RG-SGE-11)</t>
  </si>
  <si>
    <t>ID_Oportunidade</t>
  </si>
  <si>
    <t>Usos_Afetados</t>
  </si>
  <si>
    <t>Tipo</t>
  </si>
  <si>
    <t>Base_kWh</t>
  </si>
  <si>
    <t>Pct_Poupanca</t>
  </si>
  <si>
    <t>Poupanca_MWh</t>
  </si>
  <si>
    <t>Poupanca_EUR</t>
  </si>
  <si>
    <t>Investimento_EUR</t>
  </si>
  <si>
    <t>Payback_Anos</t>
  </si>
  <si>
    <t>tCO2e_Evitadas</t>
  </si>
  <si>
    <t>Facilidade</t>
  </si>
  <si>
    <t>Pontuacao</t>
  </si>
  <si>
    <t>Prioridade</t>
  </si>
  <si>
    <t>Referencia_Tecnica</t>
  </si>
  <si>
    <t>ID_Plano</t>
  </si>
  <si>
    <t>Nota</t>
  </si>
  <si>
    <t>N_Usos</t>
  </si>
  <si>
    <t>Poupanca_MWh_Parcela</t>
  </si>
  <si>
    <t>OPE-01</t>
  </si>
  <si>
    <t>Programa de deteção e reparação de fugas de ar comprimido (de ≈ 25% para ≤ 10%)</t>
  </si>
  <si>
    <t>Operacional</t>
  </si>
  <si>
    <t>BPF/Kent: fugas usam 20–40% do ar; ISO 11011:2013 (avaliação de sistemas de ar comprimido)</t>
  </si>
  <si>
    <t>PA-E-02</t>
  </si>
  <si>
    <t>Em curso</t>
  </si>
  <si>
    <t>Teste de vazio: 25% (jun/2026) → 14% (dez/2026) (RG-SGE-11)</t>
  </si>
  <si>
    <t>OPE-02</t>
  </si>
  <si>
    <t>Reduzir a pressão da rede de 7,4 para 6,8 bar (≈ 7% por bar)</t>
  </si>
  <si>
    <t>BPF/Kent (pressão mínima necessária); ISO 11011</t>
  </si>
  <si>
    <t>Concluída</t>
  </si>
  <si>
    <t>6,8 bar desde 16/11/2026, sem queixas das máquinas (ISBM 40 bar têm booster próprio)</t>
  </si>
  <si>
    <t>OPE-03</t>
  </si>
  <si>
    <t>Modo standby nas pausas do 3.º turno e em paragens &gt; 30 min (KZ-01)</t>
  </si>
  <si>
    <t>SOP;INJ</t>
  </si>
  <si>
    <t>Comportamental</t>
  </si>
  <si>
    <t>BPF/Kent: máquina parada consome até 80–90% da potência de marcha; campanha PA-01 (kW em espera)</t>
  </si>
  <si>
    <t>PA-E-03</t>
  </si>
  <si>
    <t>Sugestão KZ-01 do RG-SGA-16; em vigor desde 05/10/2026</t>
  </si>
  <si>
    <t>OPE-04</t>
  </si>
  <si>
    <t>Fechar os ramais de ar das áreas paradas ao fim de semana (KZ-04)</t>
  </si>
  <si>
    <t>BPF/Kent (fugas alimentadas sem produção)</t>
  </si>
  <si>
    <t>Sugestão KZ-04 do RG-SGA-16; em vigor desde 09/10/2026</t>
  </si>
  <si>
    <t>OPE-05</t>
  </si>
  <si>
    <t>Isolamento térmico (mantas) dos canhões das 8 injetoras</t>
  </si>
  <si>
    <t>Investimento</t>
  </si>
  <si>
    <t>BPF/Kent: isolamento do canhão reduz 5–10% da energia de aquecimento</t>
  </si>
  <si>
    <t>PA-E-04</t>
  </si>
  <si>
    <t>Aprovada</t>
  </si>
  <si>
    <t>OPE-06</t>
  </si>
  <si>
    <t>Servo-bomba nas injetoras hidráulicas de bomba fixa IM-002 e IM-004</t>
  </si>
  <si>
    <t>Campanha PA-01: IM-002/004 consomem ≈ 60 kW vs ≈ 41 kW das servo; BPF/Kent (servo 30–50%)</t>
  </si>
  <si>
    <t>OPE-07</t>
  </si>
  <si>
    <t>Recuperação do ar de alta pressão do sopro nas ISBM hidráulicas (5 máquinas)</t>
  </si>
  <si>
    <t>BPF/Kent: recuperação do ar de 40 bar no sopro de PET</t>
  </si>
  <si>
    <t>—</t>
  </si>
  <si>
    <t>Em estudo</t>
  </si>
  <si>
    <t>As ISBM elétricas já têm recuperação</t>
  </si>
  <si>
    <t>OPE-08</t>
  </si>
  <si>
    <t>Subir o setpoint da água gelada de 7 °C para 11 °C (≈ 3% por °C)</t>
  </si>
  <si>
    <t>BPF/Kent: +1 °C na água gelada ≈ −3% no chiller</t>
  </si>
  <si>
    <t>PA-E-06</t>
  </si>
  <si>
    <t>DOE concluído em 11/2026: 10 °C sem efeito na qualidade; 11 °C em ensaio</t>
  </si>
  <si>
    <t>OPE-09</t>
  </si>
  <si>
    <t>Free-cooling na torre quando T exterior &lt; 9 °C</t>
  </si>
  <si>
    <t>BPF/Kent: pré-arrefecimento por ar com água &gt; 12 °C, retorno &lt; 2 anos</t>
  </si>
  <si>
    <t>Depende de OPE-08</t>
  </si>
  <si>
    <t>OPE-10</t>
  </si>
  <si>
    <t>Variadores de velocidade nas bombas do circuito de arrefecimento</t>
  </si>
  <si>
    <t>BPF/Kent: VSD em bombas (−20% velocidade ≈ −49% potência); Reg. (UE) 2019/1781</t>
  </si>
  <si>
    <t>OPE-11</t>
  </si>
  <si>
    <t>Iluminação LED com sensores de presença nos armazéns</t>
  </si>
  <si>
    <t>BPF/Kent: iluminação ≈ 5% da energia de uma fábrica de plásticos</t>
  </si>
  <si>
    <t>OPE-12</t>
  </si>
  <si>
    <t>Central fotovoltaica de autoconsumo (UPAC ≈ 1 MWp, ≈ 1 400 MWh/ano)</t>
  </si>
  <si>
    <t>Energia renovável</t>
  </si>
  <si>
    <t>SGA ALT-2026-07; EVI-010 do RG-SGA-17; DL 15/2022 alterado pelo DL 130/2026</t>
  </si>
  <si>
    <t>PA-E-07</t>
  </si>
  <si>
    <t>Não reduz o consumo: substitui a origem (IDE-10)</t>
  </si>
  <si>
    <t>OPE-13</t>
  </si>
  <si>
    <t>Recuperação de calor dos compressores para águas sanitárias e AVAC</t>
  </si>
  <si>
    <t>ISO 11011; BPF/Kent (até 80% da energia do compressor é recuperável como calor)</t>
  </si>
  <si>
    <t>PA-E-05</t>
  </si>
  <si>
    <t>OPE-14</t>
  </si>
  <si>
    <t>Substituir as ISBM hidráulicas mais antigas (ISBM-003, ISBM-005) por ISBM elétricas</t>
  </si>
  <si>
    <t>Campanha PA-01: ISBM hidráulicas ≈ 60–66 kW vs ≈ 40 kW das elétricas</t>
  </si>
  <si>
    <t>Decisão com o plano de capacidade 2028 (LCC no RG-SGE-09)</t>
  </si>
  <si>
    <t>OPE-15</t>
  </si>
  <si>
    <t>Formação e sensibilização energética dos operadores e chefes de turno</t>
  </si>
  <si>
    <t>SOP;INJ;SER;HFS</t>
  </si>
  <si>
    <t>BPF/Kent: formação pode reduzir até 20% (valor conservador de 2%)</t>
  </si>
  <si>
    <t>Plano de formação RG-SGE-07</t>
  </si>
  <si>
    <t>OPE-16</t>
  </si>
  <si>
    <t>Gestão da potência em horas de ponta (deslastre de cargas não críticas)</t>
  </si>
  <si>
    <t>Custo (não energia)</t>
  </si>
  <si>
    <t>Faturas RG-SGE-09: potência tomada de 1 429 kW em ago/2026 (102% da contratada — ultrapassagem)</t>
  </si>
  <si>
    <t>Reduz custo e risco de ultrapassagem, não kWh</t>
  </si>
  <si>
    <t>PREVISÃO DO CONSUMO DE ENERGIA 2027 (6.3 e)</t>
  </si>
  <si>
    <t>Crescimento da produção em tbl_parametros (CRESC_2027) · A UPAC não reduz o consumo (reduz a compra à rede)</t>
  </si>
  <si>
    <t>Elasticidade_Producao</t>
  </si>
  <si>
    <t>kWh_Tendencia_2027</t>
  </si>
  <si>
    <t>Poupanca_Aprovada_MWh</t>
  </si>
  <si>
    <t>kWh_Previsto_2027</t>
  </si>
  <si>
    <t>Pressuposto</t>
  </si>
  <si>
    <t>Frascos +12% (ISBM-009/010 em ano completo)</t>
  </si>
  <si>
    <t>Tampas e potes +12% (IM-007/008)</t>
  </si>
  <si>
    <t>Acompanha a procura das máquinas</t>
  </si>
  <si>
    <t>Acompanha a carga térmica; verão igual a 2026</t>
  </si>
  <si>
    <t>Quase fixo</t>
  </si>
  <si>
    <t>Decoração cresce metade da produção</t>
  </si>
  <si>
    <t>Idem</t>
  </si>
  <si>
    <t>Frota igual</t>
  </si>
  <si>
    <t>Testes iguais</t>
  </si>
  <si>
    <t>Total</t>
  </si>
  <si>
    <t>MÉTODOS E CRITÉRIOS DA REVISÃO ENERGÉTICA (6.3 — informação documentada mantida)</t>
  </si>
  <si>
    <t>Frequência</t>
  </si>
  <si>
    <t>Anual (antes da revisão pela gestão) e sempre que houver alteração maior em instalações, equipamentos, sistemas ou processos (ligação ao PR-SGA-06 / RG-SGA-18).</t>
  </si>
  <si>
    <t>Dados usados</t>
  </si>
  <si>
    <t>Fatura (medido), rateio por horas × kW do RG-SGA-13 (estimado), campanha PA-01 por máquina (medido, 48 h), caudalímetro EQP-04 e teste de vazio (ar), dataset de produção, IPMA.</t>
  </si>
  <si>
    <t>Critério de USE</t>
  </si>
  <si>
    <t>Uso com ≥ 10% do consumo total de energia OU com potencial de melhoria identificado ≥ 100 MWh/ano (tbl_parametros). O Pareto (Pct_Acumulada) é informativo.</t>
  </si>
  <si>
    <t>Variáveis relevantes</t>
  </si>
  <si>
    <t>Candidatas testadas por correlação e regressão (RG-SGE-05 tbl_variaveis); aceites se significativas e com explicação física.</t>
  </si>
  <si>
    <t>Pessoas que influenciam</t>
  </si>
  <si>
    <t>Funções que operam, mantêm, compram ou projetam equipamentos do USE — ligação às competências (RG-SGE-07).</t>
  </si>
  <si>
    <t>Priorização das oportunidades</t>
  </si>
  <si>
    <t>Pontuação = energia (MWh/50, máx. 3) + retorno (≤ 1 ano 3; ≤ 3 anos 2; &gt; 3 anos 1) + facilidade (1–3). Alta ≥ 7; Média ≥ 5.</t>
  </si>
  <si>
    <t>Previsão</t>
  </si>
  <si>
    <t>Consumo de 12 meses × (1 + crescimento × elasticidade) − poupanças aprovadas.</t>
  </si>
  <si>
    <t>Resultados principais (jan–dez/2026)</t>
  </si>
  <si>
    <t>Sopro ≈ 40%, injeção ≈ 26%, ar comprimido ≈ 13% e frio ≈ 7% da energia: 4 USE (o frio pelo potencial). Máquinas hidráulicas antigas (IM-002/004, ISBM-002/003/005/006/008) consomem 40–60% mais que as elétricas e perdem 60–78% da potência em espera. Carga de base ≈ 17% (RG-SGE-05).</t>
  </si>
  <si>
    <t>Limitação</t>
  </si>
  <si>
    <t>Até 15/12/2026 os consumos por uso são rateio (analisadores M01–M06 em serviço desde então): a revisão de 2027 será refeita com 12 meses de submedição (ALE-03).</t>
  </si>
  <si>
    <t>LISTAS CONTROLADAS (domínios de validação de dados) — editar aqui para alterar opções</t>
  </si>
  <si>
    <t>DataReferencia</t>
  </si>
  <si>
    <t>Funcao</t>
  </si>
  <si>
    <t>TipoOport</t>
  </si>
  <si>
    <t>EstadoOport</t>
  </si>
  <si>
    <t>Diretor Geral (Gestão de Topo)</t>
  </si>
  <si>
    <t>Diretor Industrial</t>
  </si>
  <si>
    <t>Gestor(a) de Energia (líder da equipa de gestão de energia)</t>
  </si>
  <si>
    <t>Gerente de Manutenção</t>
  </si>
  <si>
    <t>Gerente de Produção</t>
  </si>
  <si>
    <t>Rejeitada</t>
  </si>
  <si>
    <t>Técnico de Utilidades</t>
  </si>
  <si>
    <t>Gestor do SGA / EHS (Responsável Ambiental)</t>
  </si>
  <si>
    <t>Gerente da Qualidade</t>
  </si>
  <si>
    <t>Diretor Financeiro</t>
  </si>
  <si>
    <t>Responsável de Compras</t>
  </si>
  <si>
    <t>Responsável de R&amp;D</t>
  </si>
  <si>
    <t>Responsável de Recursos Humanos</t>
  </si>
  <si>
    <t>Gerente de Dados / TI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</si>
  <si>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</si>
  <si>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</si>
  <si>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</si>
  <si>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</si>
  <si>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</si>
  <si>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</si>
  <si>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</si>
  <si>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</si>
  <si>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</si>
  <si>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</si>
  <si>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</si>
  <si>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</si>
  <si>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Dominio_Unidade</t>
  </si>
  <si>
    <t>Obrigatorio</t>
  </si>
  <si>
    <t>Chave</t>
  </si>
  <si>
    <t>tbl_parametros</t>
  </si>
  <si>
    <t>Texto</t>
  </si>
  <si>
    <t>Entrada</t>
  </si>
  <si>
    <t>Parâmetro.</t>
  </si>
  <si>
    <t>PK</t>
  </si>
  <si>
    <t>Decimal</t>
  </si>
  <si>
    <t>Valor.</t>
  </si>
  <si>
    <t>Unidade.</t>
  </si>
  <si>
    <t>Descrição.</t>
  </si>
  <si>
    <t>[Só SGE] Origem.</t>
  </si>
  <si>
    <t>tbl_tipos_energia</t>
  </si>
  <si>
    <t>Tipo de energia.</t>
  </si>
  <si>
    <t>Tipo de energia (6.3 a 1).</t>
  </si>
  <si>
    <t>Origem / fornecedor.</t>
  </si>
  <si>
    <t>Unidade faturada.</t>
  </si>
  <si>
    <t>Conversão para kWh.</t>
  </si>
  <si>
    <t>Não</t>
  </si>
  <si>
    <t>Conversão para kgep (Despacho 17313/2008).</t>
  </si>
  <si>
    <t>Intensidade carbónica SGCIE (Despacho 17313/2008).</t>
  </si>
  <si>
    <t>Fator do inventário de GEE (RG-SGA-19).</t>
  </si>
  <si>
    <t>Dentro do âmbito e fronteiras (4.3 — nenhum tipo de energia pode ser excluído).</t>
  </si>
  <si>
    <t>kwh</t>
  </si>
  <si>
    <t>Calculado (fórmula)</t>
  </si>
  <si>
    <t>Consumo em 2026 (kWh).</t>
  </si>
  <si>
    <t>Percentagem (fração 0-1)</t>
  </si>
  <si>
    <t>Peso no consumo total.</t>
  </si>
  <si>
    <t>Energia primária (tep) — SGCIE.</t>
  </si>
  <si>
    <t>tbl_consumo_uso</t>
  </si>
  <si>
    <t>Data (aaaa-mm-dd)</t>
  </si>
  <si>
    <t>Mês.</t>
  </si>
  <si>
    <t>PK (com ID_Uso)</t>
  </si>
  <si>
    <t>Uso de energia.</t>
  </si>
  <si>
    <t>Lista lst_Uso</t>
  </si>
  <si>
    <t>FK → tbl_usos</t>
  </si>
  <si>
    <t>FK → tbl_tipos_energia</t>
  </si>
  <si>
    <t>Consumo (kWh).</t>
  </si>
  <si>
    <t>Origem.</t>
  </si>
  <si>
    <t>Medido / estimado (EN 17267).</t>
  </si>
  <si>
    <t>tbl_usos</t>
  </si>
  <si>
    <t>Uso de energia (mesmo código do RG-SGA-13).</t>
  </si>
  <si>
    <t>Equipamentos.</t>
  </si>
  <si>
    <t>Consumo de 2026 (12 meses).</t>
  </si>
  <si>
    <t>Peso no consumo total de energia.</t>
  </si>
  <si>
    <t>Inteiro</t>
  </si>
  <si>
    <t>Posição (1 = maior).</t>
  </si>
  <si>
    <t>Pareto: peso acumulado até este uso.</t>
  </si>
  <si>
    <t>Potencial de melhoria identificado (Σ das oportunidades, repartido pelos usos afetados).</t>
  </si>
  <si>
    <t>≥ 10% do consumo?</t>
  </si>
  <si>
    <t>Potencial ≥ 100 MWh/ano?</t>
  </si>
  <si>
    <t>Uso significativo (6.3 b).</t>
  </si>
  <si>
    <t>Medido / estimado.</t>
  </si>
  <si>
    <t>Aspeto ambiental equivalente (RG-SGA-03).</t>
  </si>
  <si>
    <t>tbl_use</t>
  </si>
  <si>
    <t>Uso significativo.</t>
  </si>
  <si>
    <t>Uso.</t>
  </si>
  <si>
    <t>Peso no consumo.</t>
  </si>
  <si>
    <t>Confirmação pelos critérios.</t>
  </si>
  <si>
    <t>Variáveis relevantes (6.3 c 1).</t>
  </si>
  <si>
    <t>IDE e valor atual (6.3 c 2) — ver RG-SGE-05.</t>
  </si>
  <si>
    <t>Pessoas que trabalham sob o controlo da organização e influenciam o USE (6.3 c 3) — competência no RG-SGE-07.</t>
  </si>
  <si>
    <t>Critérios de operação e manutenção (8.1) — RG-SGE-08.</t>
  </si>
  <si>
    <t>IDE do USE.</t>
  </si>
  <si>
    <t>FK → RG-SGE-05 tbl_kpi</t>
  </si>
  <si>
    <t>tbl_campanha</t>
  </si>
  <si>
    <t>Máquina (ID do dataset).</t>
  </si>
  <si>
    <t>Ano de instalação (dim_machine_profile).</t>
  </si>
  <si>
    <t>Acionamento (simulado coerente com o ano).</t>
  </si>
  <si>
    <t>Início da medição.</t>
  </si>
  <si>
    <t>Duração (h).</t>
  </si>
  <si>
    <t>Analisador portátil (RG-SGE-06 tbl_equipamentos).</t>
  </si>
  <si>
    <t>FK → RG-SGE-06</t>
  </si>
  <si>
    <t>Potência média em produção (medida).</t>
  </si>
  <si>
    <t>Potência em espera com resistências ligadas.</t>
  </si>
  <si>
    <t>Consumo residual desligada (comandos).</t>
  </si>
  <si>
    <t>Espera ÷ produção (Kent: até 80–90% nas hidráulicas).</t>
  </si>
  <si>
    <t>Desvio face à média do processo.</t>
  </si>
  <si>
    <t>Horas de marcha em 2026.</t>
  </si>
  <si>
    <t>Horas de paragem + setup em 2026.</t>
  </si>
  <si>
    <t>Energia gasta em espera (oportunidade OPE-03).</t>
  </si>
  <si>
    <t>Eletricidade rateada em 2026.</t>
  </si>
  <si>
    <t>Unidades em 2026.</t>
  </si>
  <si>
    <t>kWh por 1.000 unidades (depende também da peça e do molde).</t>
  </si>
  <si>
    <t>Alta = potência &gt; média do processo + 15% E espera &gt; 50%.</t>
  </si>
  <si>
    <t>tbl_energia_maquina</t>
  </si>
  <si>
    <t>PK (com ID_Maquina)</t>
  </si>
  <si>
    <t>Máquina.</t>
  </si>
  <si>
    <t>FK → tbl_campanha</t>
  </si>
  <si>
    <t>Unidades produzidas (dataset).</t>
  </si>
  <si>
    <t>Horas de marcha (dataset).</t>
  </si>
  <si>
    <t>Paragens não planeadas + setup (dataset).</t>
  </si>
  <si>
    <t>Eletricidade do processo (RG-SGA-13) × peso da máquina.</t>
  </si>
  <si>
    <t>kWh por 1.000 unidades.</t>
  </si>
  <si>
    <t>tbl_oportunidades</t>
  </si>
  <si>
    <t>Oportunidade de melhoria do desempenho energético.</t>
  </si>
  <si>
    <t>Usos afetados (códigos separados por ';').</t>
  </si>
  <si>
    <t>Tipo.</t>
  </si>
  <si>
    <t>Lista lst_TipoOport</t>
  </si>
  <si>
    <t>Consumo 12 meses dos usos afetados.</t>
  </si>
  <si>
    <t>Poupança estimada (% da base).</t>
  </si>
  <si>
    <t>Poupança anual (MWh).</t>
  </si>
  <si>
    <t>Moeda (EUR)</t>
  </si>
  <si>
    <t>Poupança anual (€) ao preço médio.</t>
  </si>
  <si>
    <t>Investimento estimado.</t>
  </si>
  <si>
    <t>Retorno simples (anos).</t>
  </si>
  <si>
    <t>Emissões evitadas (location-based).</t>
  </si>
  <si>
    <t>1 difícil · 2 média · 3 fácil.</t>
  </si>
  <si>
    <t>Lista lst_Facilidade</t>
  </si>
  <si>
    <t>Priorização (6.3 d): energia (0–3) + retorno (1–3) + facilidade (1–3).</t>
  </si>
  <si>
    <t>Alta ≥ 7 · Média ≥ 5 · Baixa.</t>
  </si>
  <si>
    <t>Fonte da estimativa.</t>
  </si>
  <si>
    <t>Plano de ação (RG-SGE-05).</t>
  </si>
  <si>
    <t>FK → RG-SGE-05 tbl_planos_acao</t>
  </si>
  <si>
    <t>Estado.</t>
  </si>
  <si>
    <t>Lista lst_EstadoOport</t>
  </si>
  <si>
    <t>Nota.</t>
  </si>
  <si>
    <t>N.º de usos afetados.</t>
  </si>
  <si>
    <t>Parcela por uso (para o potencial de cada uso).</t>
  </si>
  <si>
    <t>tbl_previsao</t>
  </si>
  <si>
    <t>Consumo atual.</t>
  </si>
  <si>
    <t>Quanto o uso acompanha a produção (1 = proporcional; 0 = fixo).</t>
  </si>
  <si>
    <t>Sem novas ações.</t>
  </si>
  <si>
    <t>Oportunidades aprovadas ou em curso (efeito anual; as concluídas em 2026 já estão parcialmente no consumo de 2026).</t>
  </si>
  <si>
    <t>Previsão com as ações aprovadas.</t>
  </si>
  <si>
    <t>Pressupostos.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</si>
</sst>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%"/>
    <numFmt numFmtId="167" formatCode="yyyy\-mm\-dd"/>
    <numFmt numFmtId="168" formatCode="#,##0\ \€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7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5" fontId="3" fillId="0" borderId="1" xfId="0" applyNumberFormat="1" applyFont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166" fontId="3" fillId="4" borderId="1" xfId="0" applyNumberFormat="1" applyFont="1" applyFill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168" fontId="3" fillId="4" borderId="1" xfId="0" applyNumberFormat="1" applyFont="1" applyFill="1" applyBorder="1" applyAlignment="1">
      <alignment vertical="top" wrapText="1"/>
    </xf>
    <xf numFmtId="168" fontId="3" fillId="0" borderId="1" xfId="0" applyNumberFormat="1" applyFont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7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0"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Consumo de energia por uso — 12 meses (kWh)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Usos_Energia!$E$4</c:f>
              <c:strCache>
                <c:ptCount val="1"/>
                <c:pt idx="0">
                  <c:v>kWh_12m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Usos_Energia!$A$5:$A$13</c:f>
              <c:strCache>
                <c:ptCount val="9"/>
                <c:pt idx="0">
                  <c:v>SOP</c:v>
                </c:pt>
                <c:pt idx="1">
                  <c:v>INJ</c:v>
                </c:pt>
                <c:pt idx="2">
                  <c:v>UTL-AR</c:v>
                </c:pt>
                <c:pt idx="3">
                  <c:v>UTL-FRIO</c:v>
                </c:pt>
                <c:pt idx="4">
                  <c:v>GER</c:v>
                </c:pt>
                <c:pt idx="5">
                  <c:v>SER</c:v>
                </c:pt>
                <c:pt idx="6">
                  <c:v>HFS</c:v>
                </c:pt>
                <c:pt idx="7">
                  <c:v>FRO</c:v>
                </c:pt>
                <c:pt idx="8">
                  <c:v>GER-EMG</c:v>
                </c:pt>
              </c:strCache>
            </c:strRef>
          </c:cat>
          <c:val>
            <c:numRef>
              <c:f>Usos_Energia!$E$5:$E$13</c:f>
              <c:numCache>
                <c:formatCode>#,##0</c:formatCode>
                <c:ptCount val="9"/>
                <c:pt idx="0">
                  <c:v>3137163</c:v>
                </c:pt>
                <c:pt idx="1">
                  <c:v>2186144</c:v>
                </c:pt>
                <c:pt idx="2">
                  <c:v>1035153</c:v>
                </c:pt>
                <c:pt idx="3">
                  <c:v>585183</c:v>
                </c:pt>
                <c:pt idx="4">
                  <c:v>553890</c:v>
                </c:pt>
                <c:pt idx="5">
                  <c:v>163765</c:v>
                </c:pt>
                <c:pt idx="6">
                  <c:v>120069</c:v>
                </c:pt>
                <c:pt idx="7">
                  <c:v>32091</c:v>
                </c:pt>
                <c:pt idx="8">
                  <c:v>2185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5-43A3-879E-556E2D95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ametros" displayName="tbl_parametros" ref="A4:E9">
  <autoFilter ref="A4:E9" xr:uid="{00000000-0009-0000-0100-000001000000}"/>
  <tableColumns count="5">
    <tableColumn id="1" xr3:uid="{00000000-0010-0000-0000-000001000000}" name="Codigo"/>
    <tableColumn id="2" xr3:uid="{00000000-0010-0000-0000-000002000000}" name="Valor"/>
    <tableColumn id="3" xr3:uid="{00000000-0010-0000-0000-000003000000}" name="Unidade"/>
    <tableColumn id="4" xr3:uid="{00000000-0010-0000-0000-000004000000}" name="Descricao"/>
    <tableColumn id="5" xr3:uid="{00000000-0010-0000-0000-000005000000}" name="Fon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tipos_energia" displayName="tbl_tipos_energia" ref="A4:L9">
  <autoFilter ref="A4:L9" xr:uid="{00000000-0009-0000-0100-000002000000}"/>
  <tableColumns count="12">
    <tableColumn id="1" xr3:uid="{00000000-0010-0000-0100-000001000000}" name="ID_Tipo"/>
    <tableColumn id="2" xr3:uid="{00000000-0010-0000-0100-000002000000}" name="Tipo_Energia"/>
    <tableColumn id="3" xr3:uid="{00000000-0010-0000-0100-000003000000}" name="Origem"/>
    <tableColumn id="4" xr3:uid="{00000000-0010-0000-0100-000004000000}" name="Unidade_Compra"/>
    <tableColumn id="5" xr3:uid="{00000000-0010-0000-0100-000005000000}" name="kWh_por_Unidade"/>
    <tableColumn id="6" xr3:uid="{00000000-0010-0000-0100-000006000000}" name="kgep_por_Unidade"/>
    <tableColumn id="7" xr3:uid="{00000000-0010-0000-0100-000007000000}" name="kgCO2e_por_Unidade_SGCIE"/>
    <tableColumn id="8" xr3:uid="{00000000-0010-0000-0100-000008000000}" name="kgCO2e_por_Unidade_GEE"/>
    <tableColumn id="9" xr3:uid="{00000000-0010-0000-0100-000009000000}" name="Dentro_Ambito"/>
    <tableColumn id="10" xr3:uid="{00000000-0010-0000-0100-00000A000000}" name="kWh_12m"/>
    <tableColumn id="11" xr3:uid="{00000000-0010-0000-0100-00000B000000}" name="Pct_12m"/>
    <tableColumn id="12" xr3:uid="{00000000-0010-0000-0100-00000C000000}" name="tep_12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nsumo_uso" displayName="tbl_consumo_uso" ref="A4:F202">
  <autoFilter ref="A4:F202" xr:uid="{00000000-0009-0000-0100-000003000000}"/>
  <tableColumns count="6">
    <tableColumn id="1" xr3:uid="{00000000-0010-0000-0200-000001000000}" name="Mes"/>
    <tableColumn id="2" xr3:uid="{00000000-0010-0000-0200-000002000000}" name="ID_Uso"/>
    <tableColumn id="3" xr3:uid="{00000000-0010-0000-0200-000003000000}" name="ID_Tipo"/>
    <tableColumn id="4" xr3:uid="{00000000-0010-0000-0200-000004000000}" name="kWh"/>
    <tableColumn id="5" xr3:uid="{00000000-0010-0000-0200-000005000000}" name="Fonte"/>
    <tableColumn id="6" xr3:uid="{00000000-0010-0000-0200-000006000000}" name="Qualidade_Dado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usos" displayName="tbl_usos" ref="A4:N13">
  <autoFilter ref="A4:N13" xr:uid="{00000000-0009-0000-0100-000004000000}"/>
  <tableColumns count="14">
    <tableColumn id="1" xr3:uid="{00000000-0010-0000-0300-000001000000}" name="ID_Uso"/>
    <tableColumn id="2" xr3:uid="{00000000-0010-0000-0300-000002000000}" name="Uso"/>
    <tableColumn id="3" xr3:uid="{00000000-0010-0000-0300-000003000000}" name="Tipo_Energia"/>
    <tableColumn id="4" xr3:uid="{00000000-0010-0000-0300-000004000000}" name="Equipamentos"/>
    <tableColumn id="5" xr3:uid="{00000000-0010-0000-0300-000005000000}" name="kWh_12m"/>
    <tableColumn id="6" xr3:uid="{00000000-0010-0000-0300-000006000000}" name="Pct_Total"/>
    <tableColumn id="7" xr3:uid="{00000000-0010-0000-0300-000007000000}" name="Ranking"/>
    <tableColumn id="8" xr3:uid="{00000000-0010-0000-0300-000008000000}" name="Pct_Acumulada"/>
    <tableColumn id="9" xr3:uid="{00000000-0010-0000-0300-000009000000}" name="Potencial_MWh"/>
    <tableColumn id="10" xr3:uid="{00000000-0010-0000-0300-00000A000000}" name="Criterio_Consumo"/>
    <tableColumn id="11" xr3:uid="{00000000-0010-0000-0300-00000B000000}" name="Criterio_Potencial"/>
    <tableColumn id="12" xr3:uid="{00000000-0010-0000-0300-00000C000000}" name="E_USE"/>
    <tableColumn id="13" xr3:uid="{00000000-0010-0000-0300-00000D000000}" name="Qualidade_Dados"/>
    <tableColumn id="14" xr3:uid="{00000000-0010-0000-0300-00000E000000}" name="Aspeto_SG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use" displayName="tbl_use" ref="A4:I8">
  <autoFilter ref="A4:I8" xr:uid="{00000000-0009-0000-0100-000005000000}"/>
  <tableColumns count="9">
    <tableColumn id="1" xr3:uid="{00000000-0010-0000-0400-000001000000}" name="ID_USE"/>
    <tableColumn id="2" xr3:uid="{00000000-0010-0000-0400-000002000000}" name="ID_Uso"/>
    <tableColumn id="3" xr3:uid="{00000000-0010-0000-0400-000003000000}" name="Pct_Consumo"/>
    <tableColumn id="4" xr3:uid="{00000000-0010-0000-0400-000004000000}" name="Confirmado_USE"/>
    <tableColumn id="5" xr3:uid="{00000000-0010-0000-0400-000005000000}" name="Variaveis_Relevantes"/>
    <tableColumn id="6" xr3:uid="{00000000-0010-0000-0400-000006000000}" name="Desempenho_Atual"/>
    <tableColumn id="7" xr3:uid="{00000000-0010-0000-0400-000007000000}" name="Pessoas_Influenciam"/>
    <tableColumn id="8" xr3:uid="{00000000-0010-0000-0400-000008000000}" name="Controlos_Operacionais"/>
    <tableColumn id="9" xr3:uid="{00000000-0010-0000-0400-000009000000}" name="ID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ampanha" displayName="tbl_campanha" ref="A4:S27">
  <autoFilter ref="A4:S27" xr:uid="{00000000-0009-0000-0100-000006000000}"/>
  <tableColumns count="19">
    <tableColumn id="1" xr3:uid="{00000000-0010-0000-0500-000001000000}" name="ID_Maquina"/>
    <tableColumn id="2" xr3:uid="{00000000-0010-0000-0500-000002000000}" name="Processo"/>
    <tableColumn id="3" xr3:uid="{00000000-0010-0000-0500-000003000000}" name="Ano_Instalacao"/>
    <tableColumn id="4" xr3:uid="{00000000-0010-0000-0500-000004000000}" name="Tecnologia"/>
    <tableColumn id="5" xr3:uid="{00000000-0010-0000-0500-000005000000}" name="Data_Medicao"/>
    <tableColumn id="6" xr3:uid="{00000000-0010-0000-0500-000006000000}" name="Duracao_h"/>
    <tableColumn id="7" xr3:uid="{00000000-0010-0000-0500-000007000000}" name="Instrumento"/>
    <tableColumn id="8" xr3:uid="{00000000-0010-0000-0500-000008000000}" name="kW_Producao"/>
    <tableColumn id="9" xr3:uid="{00000000-0010-0000-0500-000009000000}" name="kW_Espera_Aquecida"/>
    <tableColumn id="10" xr3:uid="{00000000-0010-0000-0500-00000A000000}" name="kW_Desligada"/>
    <tableColumn id="11" xr3:uid="{00000000-0010-0000-0500-00000B000000}" name="Fracao_Espera"/>
    <tableColumn id="12" xr3:uid="{00000000-0010-0000-0500-00000C000000}" name="kW_vs_Media_Processo"/>
    <tableColumn id="13" xr3:uid="{00000000-0010-0000-0500-00000D000000}" name="Horas_Marcha_12m"/>
    <tableColumn id="14" xr3:uid="{00000000-0010-0000-0500-00000E000000}" name="Horas_Paragem_12m"/>
    <tableColumn id="15" xr3:uid="{00000000-0010-0000-0500-00000F000000}" name="kWh_Espera_12m"/>
    <tableColumn id="16" xr3:uid="{00000000-0010-0000-0500-000010000000}" name="kWh_12m"/>
    <tableColumn id="17" xr3:uid="{00000000-0010-0000-0500-000011000000}" name="Unid_12m"/>
    <tableColumn id="18" xr3:uid="{00000000-0010-0000-0500-000012000000}" name="SEC_kWh_1000"/>
    <tableColumn id="19" xr3:uid="{00000000-0010-0000-0500-000013000000}" name="Prioridade_Maquina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energia_maquina" displayName="tbl_energia_maquina" ref="A4:H352">
  <autoFilter ref="A4:H352" xr:uid="{00000000-0009-0000-0100-000007000000}"/>
  <tableColumns count="8">
    <tableColumn id="1" xr3:uid="{00000000-0010-0000-0600-000001000000}" name="Mes"/>
    <tableColumn id="2" xr3:uid="{00000000-0010-0000-0600-000002000000}" name="ID_Maquina"/>
    <tableColumn id="3" xr3:uid="{00000000-0010-0000-0600-000003000000}" name="Processo"/>
    <tableColumn id="4" xr3:uid="{00000000-0010-0000-0600-000004000000}" name="Unid"/>
    <tableColumn id="5" xr3:uid="{00000000-0010-0000-0600-000005000000}" name="Horas_Marcha"/>
    <tableColumn id="6" xr3:uid="{00000000-0010-0000-0600-000006000000}" name="Horas_Paragem"/>
    <tableColumn id="7" xr3:uid="{00000000-0010-0000-0600-000007000000}" name="kWh_Rateado"/>
    <tableColumn id="8" xr3:uid="{00000000-0010-0000-0600-000008000000}" name="SEC_kWh_100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oportunidades" displayName="tbl_oportunidades" ref="A4:T20">
  <autoFilter ref="A4:T20" xr:uid="{00000000-0009-0000-0100-000008000000}"/>
  <tableColumns count="20">
    <tableColumn id="1" xr3:uid="{00000000-0010-0000-0700-000001000000}" name="ID_Oportunidade"/>
    <tableColumn id="2" xr3:uid="{00000000-0010-0000-0700-000002000000}" name="Descricao"/>
    <tableColumn id="3" xr3:uid="{00000000-0010-0000-0700-000003000000}" name="Usos_Afetados"/>
    <tableColumn id="4" xr3:uid="{00000000-0010-0000-0700-000004000000}" name="Tipo"/>
    <tableColumn id="5" xr3:uid="{00000000-0010-0000-0700-000005000000}" name="Base_kWh"/>
    <tableColumn id="6" xr3:uid="{00000000-0010-0000-0700-000006000000}" name="Pct_Poupanca"/>
    <tableColumn id="7" xr3:uid="{00000000-0010-0000-0700-000007000000}" name="Poupanca_MWh"/>
    <tableColumn id="8" xr3:uid="{00000000-0010-0000-0700-000008000000}" name="Poupanca_EUR"/>
    <tableColumn id="9" xr3:uid="{00000000-0010-0000-0700-000009000000}" name="Investimento_EUR"/>
    <tableColumn id="10" xr3:uid="{00000000-0010-0000-0700-00000A000000}" name="Payback_Anos"/>
    <tableColumn id="11" xr3:uid="{00000000-0010-0000-0700-00000B000000}" name="tCO2e_Evitadas"/>
    <tableColumn id="12" xr3:uid="{00000000-0010-0000-0700-00000C000000}" name="Facilidade"/>
    <tableColumn id="13" xr3:uid="{00000000-0010-0000-0700-00000D000000}" name="Pontuacao"/>
    <tableColumn id="14" xr3:uid="{00000000-0010-0000-0700-00000E000000}" name="Prioridade"/>
    <tableColumn id="15" xr3:uid="{00000000-0010-0000-0700-00000F000000}" name="Referencia_Tecnica"/>
    <tableColumn id="16" xr3:uid="{00000000-0010-0000-0700-000010000000}" name="ID_Plano"/>
    <tableColumn id="17" xr3:uid="{00000000-0010-0000-0700-000011000000}" name="Estado"/>
    <tableColumn id="18" xr3:uid="{00000000-0010-0000-0700-000012000000}" name="Nota"/>
    <tableColumn id="19" xr3:uid="{00000000-0010-0000-0700-000013000000}" name="N_Usos"/>
    <tableColumn id="20" xr3:uid="{00000000-0010-0000-0700-000014000000}" name="Poupanca_MWh_Parcela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previsao" displayName="tbl_previsao" ref="A4:G13">
  <autoFilter ref="A4:G13" xr:uid="{00000000-0009-0000-0100-000009000000}"/>
  <tableColumns count="7">
    <tableColumn id="1" xr3:uid="{00000000-0010-0000-0800-000001000000}" name="ID_Uso"/>
    <tableColumn id="2" xr3:uid="{00000000-0010-0000-0800-000002000000}" name="kWh_12m"/>
    <tableColumn id="3" xr3:uid="{00000000-0010-0000-0800-000003000000}" name="Elasticidade_Producao"/>
    <tableColumn id="4" xr3:uid="{00000000-0010-0000-0800-000004000000}" name="kWh_Tendencia_2027"/>
    <tableColumn id="5" xr3:uid="{00000000-0010-0000-0800-000005000000}" name="Poupanca_Aprovada_MWh"/>
    <tableColumn id="6" xr3:uid="{00000000-0010-0000-0800-000006000000}" name="kWh_Previsto_2027"/>
    <tableColumn id="7" xr3:uid="{00000000-0010-0000-0800-000007000000}" name="Pressuposto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icionario" displayName="tbl_dicionario" ref="A1:I101">
  <autoFilter ref="A1:I101" xr:uid="{00000000-0009-0000-0100-00000A000000}"/>
  <tableColumns count="9">
    <tableColumn id="1" xr3:uid="{00000000-0010-0000-0900-000001000000}" name="Folha"/>
    <tableColumn id="2" xr3:uid="{00000000-0010-0000-0900-000002000000}" name="Tabela"/>
    <tableColumn id="3" xr3:uid="{00000000-0010-0000-0900-000003000000}" name="Coluna"/>
    <tableColumn id="4" xr3:uid="{00000000-0010-0000-0900-000004000000}" name="Tipo"/>
    <tableColumn id="5" xr3:uid="{00000000-0010-0000-0900-000005000000}" name="Origem"/>
    <tableColumn id="6" xr3:uid="{00000000-0010-0000-0900-000006000000}" name="Descricao"/>
    <tableColumn id="7" xr3:uid="{00000000-0010-0000-0900-000007000000}" name="Dominio_Unidade"/>
    <tableColumn id="8" xr3:uid="{00000000-0010-0000-0900-000008000000}" name="Obrigatorio"/>
    <tableColumn id="9" xr3:uid="{00000000-0010-0000-09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62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ht="39.6" x14ac:dyDescent="0.3">
      <c r="A26" s="5" t="s">
        <v>38</v>
      </c>
      <c r="B26" s="6" t="s">
        <v>39</v>
      </c>
    </row>
    <row r="27" spans="1:2" ht="39.6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30" spans="1:2" x14ac:dyDescent="0.3">
      <c r="A30" s="3" t="s">
        <v>44</v>
      </c>
      <c r="B30" s="4"/>
    </row>
    <row r="31" spans="1:2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4" spans="1:2" x14ac:dyDescent="0.3">
      <c r="A34" s="3" t="s">
        <v>49</v>
      </c>
      <c r="B34" s="4"/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  <row r="44" spans="1:2" x14ac:dyDescent="0.3">
      <c r="A44" s="5" t="s">
        <v>68</v>
      </c>
      <c r="B44" s="6" t="s">
        <v>69</v>
      </c>
    </row>
    <row r="45" spans="1:2" x14ac:dyDescent="0.3">
      <c r="A45" s="5" t="s">
        <v>70</v>
      </c>
      <c r="B45" s="6" t="s">
        <v>71</v>
      </c>
    </row>
    <row r="46" spans="1:2" x14ac:dyDescent="0.3">
      <c r="A46" s="5" t="s">
        <v>72</v>
      </c>
      <c r="B46" s="6" t="s">
        <v>73</v>
      </c>
    </row>
    <row r="48" spans="1:2" x14ac:dyDescent="0.3">
      <c r="A48" s="3" t="s">
        <v>74</v>
      </c>
      <c r="B48" s="4"/>
    </row>
    <row r="49" spans="1:2" ht="26.4" x14ac:dyDescent="0.3">
      <c r="A49" s="5" t="s">
        <v>75</v>
      </c>
      <c r="B49" s="6" t="s">
        <v>76</v>
      </c>
    </row>
    <row r="50" spans="1:2" x14ac:dyDescent="0.3">
      <c r="A50" s="5" t="s">
        <v>77</v>
      </c>
      <c r="B50" s="6" t="s">
        <v>78</v>
      </c>
    </row>
    <row r="51" spans="1:2" x14ac:dyDescent="0.3">
      <c r="A51" s="5" t="s">
        <v>79</v>
      </c>
      <c r="B51" s="6" t="s">
        <v>80</v>
      </c>
    </row>
    <row r="52" spans="1:2" ht="26.4" x14ac:dyDescent="0.3">
      <c r="A52" s="5" t="s">
        <v>81</v>
      </c>
      <c r="B52" s="6" t="s">
        <v>82</v>
      </c>
    </row>
    <row r="53" spans="1:2" ht="26.4" x14ac:dyDescent="0.3">
      <c r="A53" s="5" t="s">
        <v>83</v>
      </c>
      <c r="B53" s="6" t="s">
        <v>84</v>
      </c>
    </row>
    <row r="54" spans="1:2" ht="52.8" x14ac:dyDescent="0.3">
      <c r="A54" s="5" t="s">
        <v>85</v>
      </c>
      <c r="B54" s="6" t="s">
        <v>86</v>
      </c>
    </row>
    <row r="56" spans="1:2" x14ac:dyDescent="0.3">
      <c r="A56" s="3" t="s">
        <v>87</v>
      </c>
      <c r="B56" s="4"/>
    </row>
    <row r="57" spans="1:2" x14ac:dyDescent="0.3">
      <c r="A57" s="5" t="s">
        <v>88</v>
      </c>
      <c r="B57" s="6" t="s">
        <v>89</v>
      </c>
    </row>
    <row r="58" spans="1:2" x14ac:dyDescent="0.3">
      <c r="A58" s="5" t="s">
        <v>90</v>
      </c>
      <c r="B58" s="6" t="s">
        <v>91</v>
      </c>
    </row>
    <row r="59" spans="1:2" x14ac:dyDescent="0.3">
      <c r="A59" s="5" t="s">
        <v>92</v>
      </c>
      <c r="B59" s="6" t="s">
        <v>93</v>
      </c>
    </row>
    <row r="60" spans="1:2" x14ac:dyDescent="0.3">
      <c r="A60" s="5" t="s">
        <v>94</v>
      </c>
      <c r="B60" s="6" t="s">
        <v>95</v>
      </c>
    </row>
    <row r="61" spans="1:2" x14ac:dyDescent="0.3">
      <c r="A61" s="5" t="s">
        <v>96</v>
      </c>
      <c r="B61" s="6" t="s">
        <v>97</v>
      </c>
    </row>
    <row r="62" spans="1:2" x14ac:dyDescent="0.3">
      <c r="A62" s="5" t="s">
        <v>98</v>
      </c>
      <c r="B62" s="6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10" customWidth="1"/>
    <col min="3" max="3" width="11" customWidth="1"/>
    <col min="4" max="4" width="60" customWidth="1"/>
    <col min="5" max="5" width="40" customWidth="1"/>
  </cols>
  <sheetData>
    <row r="1" spans="1:5" ht="17.399999999999999" x14ac:dyDescent="0.3">
      <c r="A1" s="1" t="s">
        <v>100</v>
      </c>
    </row>
    <row r="4" spans="1:5" x14ac:dyDescent="0.3">
      <c r="A4" s="8" t="s">
        <v>101</v>
      </c>
      <c r="B4" s="8" t="s">
        <v>102</v>
      </c>
      <c r="C4" s="8" t="s">
        <v>103</v>
      </c>
      <c r="D4" s="8" t="s">
        <v>104</v>
      </c>
      <c r="E4" s="8" t="s">
        <v>105</v>
      </c>
    </row>
    <row r="5" spans="1:5" ht="18" customHeight="1" x14ac:dyDescent="0.3">
      <c r="A5" s="9" t="s">
        <v>106</v>
      </c>
      <c r="B5" s="10">
        <v>0.13350000000000001</v>
      </c>
      <c r="C5" s="9" t="s">
        <v>107</v>
      </c>
      <c r="D5" s="9" t="s">
        <v>108</v>
      </c>
      <c r="E5" s="9" t="s">
        <v>109</v>
      </c>
    </row>
    <row r="6" spans="1:5" ht="18" customHeight="1" x14ac:dyDescent="0.3">
      <c r="A6" s="9" t="s">
        <v>110</v>
      </c>
      <c r="B6" s="10">
        <v>0.11</v>
      </c>
      <c r="C6" s="9" t="s">
        <v>111</v>
      </c>
      <c r="D6" s="9" t="s">
        <v>112</v>
      </c>
      <c r="E6" s="9" t="s">
        <v>113</v>
      </c>
    </row>
    <row r="7" spans="1:5" ht="18" customHeight="1" x14ac:dyDescent="0.3">
      <c r="A7" s="9" t="s">
        <v>114</v>
      </c>
      <c r="B7" s="10">
        <v>0.1</v>
      </c>
      <c r="C7" s="9" t="s">
        <v>115</v>
      </c>
      <c r="D7" s="9" t="s">
        <v>116</v>
      </c>
      <c r="E7" s="9" t="s">
        <v>117</v>
      </c>
    </row>
    <row r="8" spans="1:5" ht="18" customHeight="1" x14ac:dyDescent="0.3">
      <c r="A8" s="9" t="s">
        <v>118</v>
      </c>
      <c r="B8" s="10">
        <v>100</v>
      </c>
      <c r="C8" s="9" t="s">
        <v>119</v>
      </c>
      <c r="D8" s="9" t="s">
        <v>120</v>
      </c>
      <c r="E8" s="9" t="s">
        <v>117</v>
      </c>
    </row>
    <row r="9" spans="1:5" ht="18" customHeight="1" x14ac:dyDescent="0.3">
      <c r="A9" s="9" t="s">
        <v>121</v>
      </c>
      <c r="B9" s="10">
        <v>0.12</v>
      </c>
      <c r="C9" s="9" t="s">
        <v>115</v>
      </c>
      <c r="D9" s="9" t="s">
        <v>122</v>
      </c>
      <c r="E9" s="9" t="s">
        <v>123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3" width="36" customWidth="1"/>
    <col min="4" max="6" width="9" customWidth="1"/>
    <col min="7" max="9" width="10" customWidth="1"/>
    <col min="10" max="10" width="12" customWidth="1"/>
    <col min="11" max="11" width="8" customWidth="1"/>
    <col min="12" max="12" width="9" customWidth="1"/>
  </cols>
  <sheetData>
    <row r="1" spans="1:12" ht="17.399999999999999" x14ac:dyDescent="0.3">
      <c r="A1" s="1" t="s">
        <v>124</v>
      </c>
    </row>
    <row r="2" spans="1:12" x14ac:dyDescent="0.3">
      <c r="A2" s="2" t="s">
        <v>125</v>
      </c>
    </row>
    <row r="4" spans="1:12" ht="39.6" x14ac:dyDescent="0.3">
      <c r="A4" s="8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11" t="s">
        <v>135</v>
      </c>
      <c r="K4" s="11" t="s">
        <v>136</v>
      </c>
      <c r="L4" s="11" t="s">
        <v>137</v>
      </c>
    </row>
    <row r="5" spans="1:12" ht="30" customHeight="1" x14ac:dyDescent="0.3">
      <c r="A5" s="9" t="s">
        <v>138</v>
      </c>
      <c r="B5" s="9" t="s">
        <v>139</v>
      </c>
      <c r="C5" s="9" t="s">
        <v>140</v>
      </c>
      <c r="D5" s="9" t="s">
        <v>141</v>
      </c>
      <c r="E5" s="12">
        <v>1</v>
      </c>
      <c r="F5" s="10">
        <v>0.215</v>
      </c>
      <c r="G5" s="10">
        <v>0.47</v>
      </c>
      <c r="H5" s="10">
        <v>0.11</v>
      </c>
      <c r="I5" s="9" t="s">
        <v>142</v>
      </c>
      <c r="J5" s="13">
        <f>IF(A5="","",SUMIFS(tbl_consumo_uso[kWh],tbl_consumo_uso[ID_Tipo],A5,tbl_consumo_uso[Mes],"&gt;="&amp;DATE(2026,1,1)))</f>
        <v>7781367</v>
      </c>
      <c r="K5" s="14">
        <f>IF(A5="","",IFERROR(J5/SUM($J$5:$J$9),""))</f>
        <v>0.99561443632980673</v>
      </c>
      <c r="L5" s="15">
        <f>IF(OR(A5="",E5=""),"",J5/E5*F5/1000)</f>
        <v>1672.993905</v>
      </c>
    </row>
    <row r="6" spans="1:12" ht="30" customHeight="1" x14ac:dyDescent="0.3">
      <c r="A6" s="9" t="s">
        <v>143</v>
      </c>
      <c r="B6" s="9" t="s">
        <v>144</v>
      </c>
      <c r="C6" s="9" t="s">
        <v>145</v>
      </c>
      <c r="D6" s="9" t="s">
        <v>146</v>
      </c>
      <c r="E6" s="12">
        <v>10</v>
      </c>
      <c r="F6" s="10">
        <v>0.86399999999999999</v>
      </c>
      <c r="G6" s="10">
        <v>2.68</v>
      </c>
      <c r="H6" s="10">
        <v>2.66</v>
      </c>
      <c r="I6" s="9" t="s">
        <v>142</v>
      </c>
      <c r="J6" s="13">
        <f>IF(A6="","",SUMIFS(tbl_consumo_uso[kWh],tbl_consumo_uso[ID_Tipo],A6,tbl_consumo_uso[Mes],"&gt;="&amp;DATE(2026,1,1)))</f>
        <v>32091</v>
      </c>
      <c r="K6" s="14">
        <f>IF(A6="","",IFERROR(J6/SUM($J$5:$J$9),""))</f>
        <v>4.1059961413283594E-3</v>
      </c>
      <c r="L6" s="15">
        <f>IF(OR(A6="",E6=""),"",J6/E6*F6/1000)</f>
        <v>2.7726623999999997</v>
      </c>
    </row>
    <row r="7" spans="1:12" ht="30" customHeight="1" x14ac:dyDescent="0.3">
      <c r="A7" s="9" t="s">
        <v>147</v>
      </c>
      <c r="B7" s="9" t="s">
        <v>148</v>
      </c>
      <c r="C7" s="9" t="s">
        <v>149</v>
      </c>
      <c r="D7" s="9" t="s">
        <v>146</v>
      </c>
      <c r="E7" s="12">
        <v>10</v>
      </c>
      <c r="F7" s="10">
        <v>0.86399999999999999</v>
      </c>
      <c r="G7" s="10">
        <v>2.68</v>
      </c>
      <c r="H7" s="10">
        <v>2.66</v>
      </c>
      <c r="I7" s="9" t="s">
        <v>142</v>
      </c>
      <c r="J7" s="13">
        <f>IF(A7="","",SUMIFS(tbl_consumo_uso[kWh],tbl_consumo_uso[ID_Tipo],A7,tbl_consumo_uso[Mes],"&gt;="&amp;DATE(2026,1,1)))</f>
        <v>2185</v>
      </c>
      <c r="K7" s="14">
        <f>IF(A7="","",IFERROR(J7/SUM($J$5:$J$9),""))</f>
        <v>2.7956752886486752E-4</v>
      </c>
      <c r="L7" s="15">
        <f>IF(OR(A7="",E7=""),"",J7/E7*F7/1000)</f>
        <v>0.18878399999999998</v>
      </c>
    </row>
    <row r="8" spans="1:12" ht="30" customHeight="1" x14ac:dyDescent="0.3">
      <c r="A8" s="9" t="s">
        <v>150</v>
      </c>
      <c r="B8" s="9" t="s">
        <v>151</v>
      </c>
      <c r="C8" s="9" t="s">
        <v>152</v>
      </c>
      <c r="D8" s="9" t="s">
        <v>141</v>
      </c>
      <c r="E8" s="12">
        <v>1</v>
      </c>
      <c r="F8" s="10">
        <v>0.215</v>
      </c>
      <c r="G8" s="10">
        <v>0</v>
      </c>
      <c r="H8" s="10">
        <v>0</v>
      </c>
      <c r="I8" s="9" t="s">
        <v>153</v>
      </c>
      <c r="J8" s="13">
        <f>IF(A8="","",SUMIFS(tbl_consumo_uso[kWh],tbl_consumo_uso[ID_Tipo],A8,tbl_consumo_uso[Mes],"&gt;="&amp;DATE(2026,1,1)))</f>
        <v>0</v>
      </c>
      <c r="K8" s="14">
        <f>IF(A8="","",IFERROR(J8/SUM($J$5:$J$9),""))</f>
        <v>0</v>
      </c>
      <c r="L8" s="15">
        <f>IF(OR(A8="",E8=""),"",J8/E8*F8/1000)</f>
        <v>0</v>
      </c>
    </row>
    <row r="9" spans="1:12" ht="30" customHeight="1" x14ac:dyDescent="0.3">
      <c r="A9" s="9" t="s">
        <v>154</v>
      </c>
      <c r="B9" s="9" t="s">
        <v>155</v>
      </c>
      <c r="C9" s="9" t="s">
        <v>156</v>
      </c>
      <c r="D9" s="9" t="s">
        <v>157</v>
      </c>
      <c r="E9" s="12"/>
      <c r="F9" s="10"/>
      <c r="G9" s="10"/>
      <c r="H9" s="10"/>
      <c r="I9" s="9" t="s">
        <v>158</v>
      </c>
      <c r="J9" s="13">
        <f>IF(A9="","",SUMIFS(tbl_consumo_uso[kWh],tbl_consumo_uso[ID_Tipo],A9,tbl_consumo_uso[Mes],"&gt;="&amp;DATE(2026,1,1)))</f>
        <v>0</v>
      </c>
      <c r="K9" s="14">
        <f>IF(A9="","",IFERROR(J9/SUM($J$5:$J$9),""))</f>
        <v>0</v>
      </c>
      <c r="L9" s="15" t="str">
        <f>IF(OR(A9="",E9=""),"",J9/E9*F9/1000)</f>
        <v/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0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9" customWidth="1"/>
    <col min="3" max="3" width="7" customWidth="1"/>
    <col min="4" max="4" width="11" customWidth="1"/>
    <col min="5" max="5" width="50" customWidth="1"/>
    <col min="6" max="6" width="16" customWidth="1"/>
  </cols>
  <sheetData>
    <row r="1" spans="1:6" ht="17.399999999999999" x14ac:dyDescent="0.3">
      <c r="A1" s="1" t="s">
        <v>159</v>
      </c>
    </row>
    <row r="2" spans="1:6" x14ac:dyDescent="0.3">
      <c r="A2" s="2" t="s">
        <v>160</v>
      </c>
    </row>
    <row r="4" spans="1:6" ht="26.4" x14ac:dyDescent="0.3">
      <c r="A4" s="8" t="s">
        <v>161</v>
      </c>
      <c r="B4" s="8" t="s">
        <v>162</v>
      </c>
      <c r="C4" s="8" t="s">
        <v>126</v>
      </c>
      <c r="D4" s="8" t="s">
        <v>141</v>
      </c>
      <c r="E4" s="8" t="s">
        <v>105</v>
      </c>
      <c r="F4" s="8" t="s">
        <v>163</v>
      </c>
    </row>
    <row r="5" spans="1:6" ht="15" customHeight="1" x14ac:dyDescent="0.3">
      <c r="A5" s="16">
        <v>45717</v>
      </c>
      <c r="B5" s="9" t="s">
        <v>164</v>
      </c>
      <c r="C5" s="9" t="s">
        <v>138</v>
      </c>
      <c r="D5" s="17">
        <v>233780</v>
      </c>
      <c r="E5" s="9" t="s">
        <v>165</v>
      </c>
      <c r="F5" s="9" t="s">
        <v>166</v>
      </c>
    </row>
    <row r="6" spans="1:6" ht="15" customHeight="1" x14ac:dyDescent="0.3">
      <c r="A6" s="16">
        <v>45717</v>
      </c>
      <c r="B6" s="9" t="s">
        <v>167</v>
      </c>
      <c r="C6" s="9" t="s">
        <v>138</v>
      </c>
      <c r="D6" s="17">
        <v>150493</v>
      </c>
      <c r="E6" s="9" t="s">
        <v>165</v>
      </c>
      <c r="F6" s="9" t="s">
        <v>166</v>
      </c>
    </row>
    <row r="7" spans="1:6" ht="15" customHeight="1" x14ac:dyDescent="0.3">
      <c r="A7" s="16">
        <v>45717</v>
      </c>
      <c r="B7" s="9" t="s">
        <v>168</v>
      </c>
      <c r="C7" s="9" t="s">
        <v>138</v>
      </c>
      <c r="D7" s="17">
        <v>78797</v>
      </c>
      <c r="E7" s="9" t="s">
        <v>165</v>
      </c>
      <c r="F7" s="9" t="s">
        <v>166</v>
      </c>
    </row>
    <row r="8" spans="1:6" ht="15" customHeight="1" x14ac:dyDescent="0.3">
      <c r="A8" s="16">
        <v>45717</v>
      </c>
      <c r="B8" s="9" t="s">
        <v>169</v>
      </c>
      <c r="C8" s="9" t="s">
        <v>138</v>
      </c>
      <c r="D8" s="17">
        <v>34765</v>
      </c>
      <c r="E8" s="9" t="s">
        <v>165</v>
      </c>
      <c r="F8" s="9" t="s">
        <v>166</v>
      </c>
    </row>
    <row r="9" spans="1:6" ht="15" customHeight="1" x14ac:dyDescent="0.3">
      <c r="A9" s="16">
        <v>45717</v>
      </c>
      <c r="B9" s="9" t="s">
        <v>170</v>
      </c>
      <c r="C9" s="9" t="s">
        <v>138</v>
      </c>
      <c r="D9" s="17">
        <v>45887</v>
      </c>
      <c r="E9" s="9" t="s">
        <v>165</v>
      </c>
      <c r="F9" s="9" t="s">
        <v>166</v>
      </c>
    </row>
    <row r="10" spans="1:6" ht="15" customHeight="1" x14ac:dyDescent="0.3">
      <c r="A10" s="16">
        <v>45717</v>
      </c>
      <c r="B10" s="9" t="s">
        <v>171</v>
      </c>
      <c r="C10" s="9" t="s">
        <v>138</v>
      </c>
      <c r="D10" s="17">
        <v>12915</v>
      </c>
      <c r="E10" s="9" t="s">
        <v>165</v>
      </c>
      <c r="F10" s="9" t="s">
        <v>166</v>
      </c>
    </row>
    <row r="11" spans="1:6" ht="15" customHeight="1" x14ac:dyDescent="0.3">
      <c r="A11" s="16">
        <v>45717</v>
      </c>
      <c r="B11" s="9" t="s">
        <v>172</v>
      </c>
      <c r="C11" s="9" t="s">
        <v>138</v>
      </c>
      <c r="D11" s="17">
        <v>12304</v>
      </c>
      <c r="E11" s="9" t="s">
        <v>165</v>
      </c>
      <c r="F11" s="9" t="s">
        <v>166</v>
      </c>
    </row>
    <row r="12" spans="1:6" ht="15" customHeight="1" x14ac:dyDescent="0.3">
      <c r="A12" s="16">
        <v>45717</v>
      </c>
      <c r="B12" s="9" t="s">
        <v>173</v>
      </c>
      <c r="C12" s="9" t="s">
        <v>143</v>
      </c>
      <c r="D12" s="17">
        <v>2552</v>
      </c>
      <c r="E12" s="9" t="s">
        <v>174</v>
      </c>
      <c r="F12" s="9" t="s">
        <v>175</v>
      </c>
    </row>
    <row r="13" spans="1:6" ht="15" customHeight="1" x14ac:dyDescent="0.3">
      <c r="A13" s="16">
        <v>45717</v>
      </c>
      <c r="B13" s="9" t="s">
        <v>176</v>
      </c>
      <c r="C13" s="9" t="s">
        <v>147</v>
      </c>
      <c r="D13" s="17">
        <v>209</v>
      </c>
      <c r="E13" s="9" t="s">
        <v>177</v>
      </c>
      <c r="F13" s="9" t="s">
        <v>178</v>
      </c>
    </row>
    <row r="14" spans="1:6" ht="15" customHeight="1" x14ac:dyDescent="0.3">
      <c r="A14" s="16">
        <v>45748</v>
      </c>
      <c r="B14" s="9" t="s">
        <v>164</v>
      </c>
      <c r="C14" s="9" t="s">
        <v>138</v>
      </c>
      <c r="D14" s="17">
        <v>218570</v>
      </c>
      <c r="E14" s="9" t="s">
        <v>165</v>
      </c>
      <c r="F14" s="9" t="s">
        <v>166</v>
      </c>
    </row>
    <row r="15" spans="1:6" ht="15" customHeight="1" x14ac:dyDescent="0.3">
      <c r="A15" s="16">
        <v>45748</v>
      </c>
      <c r="B15" s="9" t="s">
        <v>167</v>
      </c>
      <c r="C15" s="9" t="s">
        <v>138</v>
      </c>
      <c r="D15" s="17">
        <v>148146</v>
      </c>
      <c r="E15" s="9" t="s">
        <v>165</v>
      </c>
      <c r="F15" s="9" t="s">
        <v>166</v>
      </c>
    </row>
    <row r="16" spans="1:6" ht="15" customHeight="1" x14ac:dyDescent="0.3">
      <c r="A16" s="16">
        <v>45748</v>
      </c>
      <c r="B16" s="9" t="s">
        <v>168</v>
      </c>
      <c r="C16" s="9" t="s">
        <v>138</v>
      </c>
      <c r="D16" s="17">
        <v>75062</v>
      </c>
      <c r="E16" s="9" t="s">
        <v>165</v>
      </c>
      <c r="F16" s="9" t="s">
        <v>166</v>
      </c>
    </row>
    <row r="17" spans="1:6" ht="15" customHeight="1" x14ac:dyDescent="0.3">
      <c r="A17" s="16">
        <v>45748</v>
      </c>
      <c r="B17" s="9" t="s">
        <v>169</v>
      </c>
      <c r="C17" s="9" t="s">
        <v>138</v>
      </c>
      <c r="D17" s="17">
        <v>36654</v>
      </c>
      <c r="E17" s="9" t="s">
        <v>165</v>
      </c>
      <c r="F17" s="9" t="s">
        <v>166</v>
      </c>
    </row>
    <row r="18" spans="1:6" ht="15" customHeight="1" x14ac:dyDescent="0.3">
      <c r="A18" s="16">
        <v>45748</v>
      </c>
      <c r="B18" s="9" t="s">
        <v>170</v>
      </c>
      <c r="C18" s="9" t="s">
        <v>138</v>
      </c>
      <c r="D18" s="17">
        <v>43909</v>
      </c>
      <c r="E18" s="9" t="s">
        <v>165</v>
      </c>
      <c r="F18" s="9" t="s">
        <v>166</v>
      </c>
    </row>
    <row r="19" spans="1:6" ht="15" customHeight="1" x14ac:dyDescent="0.3">
      <c r="A19" s="16">
        <v>45748</v>
      </c>
      <c r="B19" s="9" t="s">
        <v>171</v>
      </c>
      <c r="C19" s="9" t="s">
        <v>138</v>
      </c>
      <c r="D19" s="17">
        <v>12953</v>
      </c>
      <c r="E19" s="9" t="s">
        <v>165</v>
      </c>
      <c r="F19" s="9" t="s">
        <v>166</v>
      </c>
    </row>
    <row r="20" spans="1:6" ht="15" customHeight="1" x14ac:dyDescent="0.3">
      <c r="A20" s="16">
        <v>45748</v>
      </c>
      <c r="B20" s="9" t="s">
        <v>172</v>
      </c>
      <c r="C20" s="9" t="s">
        <v>138</v>
      </c>
      <c r="D20" s="17">
        <v>10060</v>
      </c>
      <c r="E20" s="9" t="s">
        <v>165</v>
      </c>
      <c r="F20" s="9" t="s">
        <v>166</v>
      </c>
    </row>
    <row r="21" spans="1:6" ht="15" customHeight="1" x14ac:dyDescent="0.3">
      <c r="A21" s="16">
        <v>45748</v>
      </c>
      <c r="B21" s="9" t="s">
        <v>173</v>
      </c>
      <c r="C21" s="9" t="s">
        <v>143</v>
      </c>
      <c r="D21" s="17">
        <v>2705</v>
      </c>
      <c r="E21" s="9" t="s">
        <v>174</v>
      </c>
      <c r="F21" s="9" t="s">
        <v>175</v>
      </c>
    </row>
    <row r="22" spans="1:6" ht="15" customHeight="1" x14ac:dyDescent="0.3">
      <c r="A22" s="16">
        <v>45748</v>
      </c>
      <c r="B22" s="9" t="s">
        <v>176</v>
      </c>
      <c r="C22" s="9" t="s">
        <v>147</v>
      </c>
      <c r="D22" s="17">
        <v>204</v>
      </c>
      <c r="E22" s="9" t="s">
        <v>177</v>
      </c>
      <c r="F22" s="9" t="s">
        <v>178</v>
      </c>
    </row>
    <row r="23" spans="1:6" ht="15" customHeight="1" x14ac:dyDescent="0.3">
      <c r="A23" s="16">
        <v>45778</v>
      </c>
      <c r="B23" s="9" t="s">
        <v>164</v>
      </c>
      <c r="C23" s="9" t="s">
        <v>138</v>
      </c>
      <c r="D23" s="17">
        <v>212282</v>
      </c>
      <c r="E23" s="9" t="s">
        <v>165</v>
      </c>
      <c r="F23" s="9" t="s">
        <v>166</v>
      </c>
    </row>
    <row r="24" spans="1:6" ht="15" customHeight="1" x14ac:dyDescent="0.3">
      <c r="A24" s="16">
        <v>45778</v>
      </c>
      <c r="B24" s="9" t="s">
        <v>167</v>
      </c>
      <c r="C24" s="9" t="s">
        <v>138</v>
      </c>
      <c r="D24" s="17">
        <v>147778</v>
      </c>
      <c r="E24" s="9" t="s">
        <v>165</v>
      </c>
      <c r="F24" s="9" t="s">
        <v>166</v>
      </c>
    </row>
    <row r="25" spans="1:6" ht="15" customHeight="1" x14ac:dyDescent="0.3">
      <c r="A25" s="16">
        <v>45778</v>
      </c>
      <c r="B25" s="9" t="s">
        <v>168</v>
      </c>
      <c r="C25" s="9" t="s">
        <v>138</v>
      </c>
      <c r="D25" s="17">
        <v>72249</v>
      </c>
      <c r="E25" s="9" t="s">
        <v>165</v>
      </c>
      <c r="F25" s="9" t="s">
        <v>166</v>
      </c>
    </row>
    <row r="26" spans="1:6" ht="15" customHeight="1" x14ac:dyDescent="0.3">
      <c r="A26" s="16">
        <v>45778</v>
      </c>
      <c r="B26" s="9" t="s">
        <v>169</v>
      </c>
      <c r="C26" s="9" t="s">
        <v>138</v>
      </c>
      <c r="D26" s="17">
        <v>39448</v>
      </c>
      <c r="E26" s="9" t="s">
        <v>165</v>
      </c>
      <c r="F26" s="9" t="s">
        <v>166</v>
      </c>
    </row>
    <row r="27" spans="1:6" ht="15" customHeight="1" x14ac:dyDescent="0.3">
      <c r="A27" s="16">
        <v>45778</v>
      </c>
      <c r="B27" s="9" t="s">
        <v>170</v>
      </c>
      <c r="C27" s="9" t="s">
        <v>138</v>
      </c>
      <c r="D27" s="17">
        <v>41507</v>
      </c>
      <c r="E27" s="9" t="s">
        <v>165</v>
      </c>
      <c r="F27" s="9" t="s">
        <v>166</v>
      </c>
    </row>
    <row r="28" spans="1:6" ht="15" customHeight="1" x14ac:dyDescent="0.3">
      <c r="A28" s="16">
        <v>45778</v>
      </c>
      <c r="B28" s="9" t="s">
        <v>171</v>
      </c>
      <c r="C28" s="9" t="s">
        <v>138</v>
      </c>
      <c r="D28" s="17">
        <v>13269</v>
      </c>
      <c r="E28" s="9" t="s">
        <v>165</v>
      </c>
      <c r="F28" s="9" t="s">
        <v>166</v>
      </c>
    </row>
    <row r="29" spans="1:6" ht="15" customHeight="1" x14ac:dyDescent="0.3">
      <c r="A29" s="16">
        <v>45778</v>
      </c>
      <c r="B29" s="9" t="s">
        <v>172</v>
      </c>
      <c r="C29" s="9" t="s">
        <v>138</v>
      </c>
      <c r="D29" s="17">
        <v>11493</v>
      </c>
      <c r="E29" s="9" t="s">
        <v>165</v>
      </c>
      <c r="F29" s="9" t="s">
        <v>166</v>
      </c>
    </row>
    <row r="30" spans="1:6" ht="15" customHeight="1" x14ac:dyDescent="0.3">
      <c r="A30" s="16">
        <v>45778</v>
      </c>
      <c r="B30" s="9" t="s">
        <v>173</v>
      </c>
      <c r="C30" s="9" t="s">
        <v>143</v>
      </c>
      <c r="D30" s="17">
        <v>2541</v>
      </c>
      <c r="E30" s="9" t="s">
        <v>174</v>
      </c>
      <c r="F30" s="9" t="s">
        <v>175</v>
      </c>
    </row>
    <row r="31" spans="1:6" ht="15" customHeight="1" x14ac:dyDescent="0.3">
      <c r="A31" s="16">
        <v>45778</v>
      </c>
      <c r="B31" s="9" t="s">
        <v>176</v>
      </c>
      <c r="C31" s="9" t="s">
        <v>147</v>
      </c>
      <c r="D31" s="17">
        <v>196</v>
      </c>
      <c r="E31" s="9" t="s">
        <v>177</v>
      </c>
      <c r="F31" s="9" t="s">
        <v>178</v>
      </c>
    </row>
    <row r="32" spans="1:6" ht="15" customHeight="1" x14ac:dyDescent="0.3">
      <c r="A32" s="16">
        <v>45809</v>
      </c>
      <c r="B32" s="9" t="s">
        <v>164</v>
      </c>
      <c r="C32" s="9" t="s">
        <v>138</v>
      </c>
      <c r="D32" s="17">
        <v>209893</v>
      </c>
      <c r="E32" s="9" t="s">
        <v>165</v>
      </c>
      <c r="F32" s="9" t="s">
        <v>166</v>
      </c>
    </row>
    <row r="33" spans="1:6" ht="15" customHeight="1" x14ac:dyDescent="0.3">
      <c r="A33" s="16">
        <v>45809</v>
      </c>
      <c r="B33" s="9" t="s">
        <v>167</v>
      </c>
      <c r="C33" s="9" t="s">
        <v>138</v>
      </c>
      <c r="D33" s="17">
        <v>127528</v>
      </c>
      <c r="E33" s="9" t="s">
        <v>165</v>
      </c>
      <c r="F33" s="9" t="s">
        <v>166</v>
      </c>
    </row>
    <row r="34" spans="1:6" ht="15" customHeight="1" x14ac:dyDescent="0.3">
      <c r="A34" s="16">
        <v>45809</v>
      </c>
      <c r="B34" s="9" t="s">
        <v>168</v>
      </c>
      <c r="C34" s="9" t="s">
        <v>138</v>
      </c>
      <c r="D34" s="17">
        <v>68734</v>
      </c>
      <c r="E34" s="9" t="s">
        <v>165</v>
      </c>
      <c r="F34" s="9" t="s">
        <v>166</v>
      </c>
    </row>
    <row r="35" spans="1:6" ht="15" customHeight="1" x14ac:dyDescent="0.3">
      <c r="A35" s="16">
        <v>45809</v>
      </c>
      <c r="B35" s="9" t="s">
        <v>169</v>
      </c>
      <c r="C35" s="9" t="s">
        <v>138</v>
      </c>
      <c r="D35" s="17">
        <v>43262</v>
      </c>
      <c r="E35" s="9" t="s">
        <v>165</v>
      </c>
      <c r="F35" s="9" t="s">
        <v>166</v>
      </c>
    </row>
    <row r="36" spans="1:6" ht="15" customHeight="1" x14ac:dyDescent="0.3">
      <c r="A36" s="16">
        <v>45809</v>
      </c>
      <c r="B36" s="9" t="s">
        <v>170</v>
      </c>
      <c r="C36" s="9" t="s">
        <v>138</v>
      </c>
      <c r="D36" s="17">
        <v>43471</v>
      </c>
      <c r="E36" s="9" t="s">
        <v>165</v>
      </c>
      <c r="F36" s="9" t="s">
        <v>166</v>
      </c>
    </row>
    <row r="37" spans="1:6" ht="15" customHeight="1" x14ac:dyDescent="0.3">
      <c r="A37" s="16">
        <v>45809</v>
      </c>
      <c r="B37" s="9" t="s">
        <v>171</v>
      </c>
      <c r="C37" s="9" t="s">
        <v>138</v>
      </c>
      <c r="D37" s="17">
        <v>12590</v>
      </c>
      <c r="E37" s="9" t="s">
        <v>165</v>
      </c>
      <c r="F37" s="9" t="s">
        <v>166</v>
      </c>
    </row>
    <row r="38" spans="1:6" ht="15" customHeight="1" x14ac:dyDescent="0.3">
      <c r="A38" s="16">
        <v>45809</v>
      </c>
      <c r="B38" s="9" t="s">
        <v>172</v>
      </c>
      <c r="C38" s="9" t="s">
        <v>138</v>
      </c>
      <c r="D38" s="17">
        <v>9946</v>
      </c>
      <c r="E38" s="9" t="s">
        <v>165</v>
      </c>
      <c r="F38" s="9" t="s">
        <v>166</v>
      </c>
    </row>
    <row r="39" spans="1:6" ht="15" customHeight="1" x14ac:dyDescent="0.3">
      <c r="A39" s="16">
        <v>45809</v>
      </c>
      <c r="B39" s="9" t="s">
        <v>173</v>
      </c>
      <c r="C39" s="9" t="s">
        <v>143</v>
      </c>
      <c r="D39" s="17">
        <v>2274</v>
      </c>
      <c r="E39" s="9" t="s">
        <v>174</v>
      </c>
      <c r="F39" s="9" t="s">
        <v>175</v>
      </c>
    </row>
    <row r="40" spans="1:6" ht="15" customHeight="1" x14ac:dyDescent="0.3">
      <c r="A40" s="16">
        <v>45809</v>
      </c>
      <c r="B40" s="9" t="s">
        <v>176</v>
      </c>
      <c r="C40" s="9" t="s">
        <v>147</v>
      </c>
      <c r="D40" s="17">
        <v>192</v>
      </c>
      <c r="E40" s="9" t="s">
        <v>177</v>
      </c>
      <c r="F40" s="9" t="s">
        <v>178</v>
      </c>
    </row>
    <row r="41" spans="1:6" ht="15" customHeight="1" x14ac:dyDescent="0.3">
      <c r="A41" s="16">
        <v>45839</v>
      </c>
      <c r="B41" s="9" t="s">
        <v>164</v>
      </c>
      <c r="C41" s="9" t="s">
        <v>138</v>
      </c>
      <c r="D41" s="17">
        <v>255934</v>
      </c>
      <c r="E41" s="9" t="s">
        <v>165</v>
      </c>
      <c r="F41" s="9" t="s">
        <v>166</v>
      </c>
    </row>
    <row r="42" spans="1:6" ht="15" customHeight="1" x14ac:dyDescent="0.3">
      <c r="A42" s="16">
        <v>45839</v>
      </c>
      <c r="B42" s="9" t="s">
        <v>167</v>
      </c>
      <c r="C42" s="9" t="s">
        <v>138</v>
      </c>
      <c r="D42" s="17">
        <v>155542</v>
      </c>
      <c r="E42" s="9" t="s">
        <v>165</v>
      </c>
      <c r="F42" s="9" t="s">
        <v>166</v>
      </c>
    </row>
    <row r="43" spans="1:6" ht="15" customHeight="1" x14ac:dyDescent="0.3">
      <c r="A43" s="16">
        <v>45839</v>
      </c>
      <c r="B43" s="9" t="s">
        <v>168</v>
      </c>
      <c r="C43" s="9" t="s">
        <v>138</v>
      </c>
      <c r="D43" s="17">
        <v>83129</v>
      </c>
      <c r="E43" s="9" t="s">
        <v>165</v>
      </c>
      <c r="F43" s="9" t="s">
        <v>166</v>
      </c>
    </row>
    <row r="44" spans="1:6" ht="15" customHeight="1" x14ac:dyDescent="0.3">
      <c r="A44" s="16">
        <v>45839</v>
      </c>
      <c r="B44" s="9" t="s">
        <v>169</v>
      </c>
      <c r="C44" s="9" t="s">
        <v>138</v>
      </c>
      <c r="D44" s="17">
        <v>54774</v>
      </c>
      <c r="E44" s="9" t="s">
        <v>165</v>
      </c>
      <c r="F44" s="9" t="s">
        <v>166</v>
      </c>
    </row>
    <row r="45" spans="1:6" ht="15" customHeight="1" x14ac:dyDescent="0.3">
      <c r="A45" s="16">
        <v>45839</v>
      </c>
      <c r="B45" s="9" t="s">
        <v>170</v>
      </c>
      <c r="C45" s="9" t="s">
        <v>138</v>
      </c>
      <c r="D45" s="17">
        <v>42982</v>
      </c>
      <c r="E45" s="9" t="s">
        <v>165</v>
      </c>
      <c r="F45" s="9" t="s">
        <v>166</v>
      </c>
    </row>
    <row r="46" spans="1:6" ht="15" customHeight="1" x14ac:dyDescent="0.3">
      <c r="A46" s="16">
        <v>45839</v>
      </c>
      <c r="B46" s="9" t="s">
        <v>171</v>
      </c>
      <c r="C46" s="9" t="s">
        <v>138</v>
      </c>
      <c r="D46" s="17">
        <v>15942</v>
      </c>
      <c r="E46" s="9" t="s">
        <v>165</v>
      </c>
      <c r="F46" s="9" t="s">
        <v>166</v>
      </c>
    </row>
    <row r="47" spans="1:6" ht="15" customHeight="1" x14ac:dyDescent="0.3">
      <c r="A47" s="16">
        <v>45839</v>
      </c>
      <c r="B47" s="9" t="s">
        <v>172</v>
      </c>
      <c r="C47" s="9" t="s">
        <v>138</v>
      </c>
      <c r="D47" s="17">
        <v>12584</v>
      </c>
      <c r="E47" s="9" t="s">
        <v>165</v>
      </c>
      <c r="F47" s="9" t="s">
        <v>166</v>
      </c>
    </row>
    <row r="48" spans="1:6" ht="15" customHeight="1" x14ac:dyDescent="0.3">
      <c r="A48" s="16">
        <v>45839</v>
      </c>
      <c r="B48" s="9" t="s">
        <v>173</v>
      </c>
      <c r="C48" s="9" t="s">
        <v>143</v>
      </c>
      <c r="D48" s="17">
        <v>2448</v>
      </c>
      <c r="E48" s="9" t="s">
        <v>174</v>
      </c>
      <c r="F48" s="9" t="s">
        <v>175</v>
      </c>
    </row>
    <row r="49" spans="1:6" ht="15" customHeight="1" x14ac:dyDescent="0.3">
      <c r="A49" s="16">
        <v>45839</v>
      </c>
      <c r="B49" s="9" t="s">
        <v>176</v>
      </c>
      <c r="C49" s="9" t="s">
        <v>147</v>
      </c>
      <c r="D49" s="17">
        <v>169</v>
      </c>
      <c r="E49" s="9" t="s">
        <v>177</v>
      </c>
      <c r="F49" s="9" t="s">
        <v>178</v>
      </c>
    </row>
    <row r="50" spans="1:6" ht="15" customHeight="1" x14ac:dyDescent="0.3">
      <c r="A50" s="16">
        <v>45870</v>
      </c>
      <c r="B50" s="9" t="s">
        <v>164</v>
      </c>
      <c r="C50" s="9" t="s">
        <v>138</v>
      </c>
      <c r="D50" s="17">
        <v>232060</v>
      </c>
      <c r="E50" s="9" t="s">
        <v>165</v>
      </c>
      <c r="F50" s="9" t="s">
        <v>166</v>
      </c>
    </row>
    <row r="51" spans="1:6" ht="15" customHeight="1" x14ac:dyDescent="0.3">
      <c r="A51" s="16">
        <v>45870</v>
      </c>
      <c r="B51" s="9" t="s">
        <v>167</v>
      </c>
      <c r="C51" s="9" t="s">
        <v>138</v>
      </c>
      <c r="D51" s="17">
        <v>150415</v>
      </c>
      <c r="E51" s="9" t="s">
        <v>165</v>
      </c>
      <c r="F51" s="9" t="s">
        <v>166</v>
      </c>
    </row>
    <row r="52" spans="1:6" ht="15" customHeight="1" x14ac:dyDescent="0.3">
      <c r="A52" s="16">
        <v>45870</v>
      </c>
      <c r="B52" s="9" t="s">
        <v>168</v>
      </c>
      <c r="C52" s="9" t="s">
        <v>138</v>
      </c>
      <c r="D52" s="17">
        <v>77888</v>
      </c>
      <c r="E52" s="9" t="s">
        <v>165</v>
      </c>
      <c r="F52" s="9" t="s">
        <v>166</v>
      </c>
    </row>
    <row r="53" spans="1:6" ht="15" customHeight="1" x14ac:dyDescent="0.3">
      <c r="A53" s="16">
        <v>45870</v>
      </c>
      <c r="B53" s="9" t="s">
        <v>169</v>
      </c>
      <c r="C53" s="9" t="s">
        <v>138</v>
      </c>
      <c r="D53" s="17">
        <v>54405</v>
      </c>
      <c r="E53" s="9" t="s">
        <v>165</v>
      </c>
      <c r="F53" s="9" t="s">
        <v>166</v>
      </c>
    </row>
    <row r="54" spans="1:6" ht="15" customHeight="1" x14ac:dyDescent="0.3">
      <c r="A54" s="16">
        <v>45870</v>
      </c>
      <c r="B54" s="9" t="s">
        <v>170</v>
      </c>
      <c r="C54" s="9" t="s">
        <v>138</v>
      </c>
      <c r="D54" s="17">
        <v>50669</v>
      </c>
      <c r="E54" s="9" t="s">
        <v>165</v>
      </c>
      <c r="F54" s="9" t="s">
        <v>166</v>
      </c>
    </row>
    <row r="55" spans="1:6" ht="15" customHeight="1" x14ac:dyDescent="0.3">
      <c r="A55" s="16">
        <v>45870</v>
      </c>
      <c r="B55" s="9" t="s">
        <v>171</v>
      </c>
      <c r="C55" s="9" t="s">
        <v>138</v>
      </c>
      <c r="D55" s="17">
        <v>8255</v>
      </c>
      <c r="E55" s="9" t="s">
        <v>165</v>
      </c>
      <c r="F55" s="9" t="s">
        <v>166</v>
      </c>
    </row>
    <row r="56" spans="1:6" ht="15" customHeight="1" x14ac:dyDescent="0.3">
      <c r="A56" s="16">
        <v>45870</v>
      </c>
      <c r="B56" s="9" t="s">
        <v>172</v>
      </c>
      <c r="C56" s="9" t="s">
        <v>138</v>
      </c>
      <c r="D56" s="17">
        <v>13210</v>
      </c>
      <c r="E56" s="9" t="s">
        <v>165</v>
      </c>
      <c r="F56" s="9" t="s">
        <v>166</v>
      </c>
    </row>
    <row r="57" spans="1:6" ht="15" customHeight="1" x14ac:dyDescent="0.3">
      <c r="A57" s="16">
        <v>45870</v>
      </c>
      <c r="B57" s="9" t="s">
        <v>173</v>
      </c>
      <c r="C57" s="9" t="s">
        <v>143</v>
      </c>
      <c r="D57" s="17">
        <v>2634</v>
      </c>
      <c r="E57" s="9" t="s">
        <v>174</v>
      </c>
      <c r="F57" s="9" t="s">
        <v>175</v>
      </c>
    </row>
    <row r="58" spans="1:6" ht="15" customHeight="1" x14ac:dyDescent="0.3">
      <c r="A58" s="16">
        <v>45870</v>
      </c>
      <c r="B58" s="9" t="s">
        <v>176</v>
      </c>
      <c r="C58" s="9" t="s">
        <v>147</v>
      </c>
      <c r="D58" s="17">
        <v>173</v>
      </c>
      <c r="E58" s="9" t="s">
        <v>177</v>
      </c>
      <c r="F58" s="9" t="s">
        <v>178</v>
      </c>
    </row>
    <row r="59" spans="1:6" ht="15" customHeight="1" x14ac:dyDescent="0.3">
      <c r="A59" s="16">
        <v>45901</v>
      </c>
      <c r="B59" s="9" t="s">
        <v>164</v>
      </c>
      <c r="C59" s="9" t="s">
        <v>138</v>
      </c>
      <c r="D59" s="17">
        <v>224732</v>
      </c>
      <c r="E59" s="9" t="s">
        <v>165</v>
      </c>
      <c r="F59" s="9" t="s">
        <v>166</v>
      </c>
    </row>
    <row r="60" spans="1:6" ht="15" customHeight="1" x14ac:dyDescent="0.3">
      <c r="A60" s="16">
        <v>45901</v>
      </c>
      <c r="B60" s="9" t="s">
        <v>167</v>
      </c>
      <c r="C60" s="9" t="s">
        <v>138</v>
      </c>
      <c r="D60" s="17">
        <v>151543</v>
      </c>
      <c r="E60" s="9" t="s">
        <v>165</v>
      </c>
      <c r="F60" s="9" t="s">
        <v>166</v>
      </c>
    </row>
    <row r="61" spans="1:6" ht="15" customHeight="1" x14ac:dyDescent="0.3">
      <c r="A61" s="16">
        <v>45901</v>
      </c>
      <c r="B61" s="9" t="s">
        <v>168</v>
      </c>
      <c r="C61" s="9" t="s">
        <v>138</v>
      </c>
      <c r="D61" s="17">
        <v>76055</v>
      </c>
      <c r="E61" s="9" t="s">
        <v>165</v>
      </c>
      <c r="F61" s="9" t="s">
        <v>166</v>
      </c>
    </row>
    <row r="62" spans="1:6" ht="15" customHeight="1" x14ac:dyDescent="0.3">
      <c r="A62" s="16">
        <v>45901</v>
      </c>
      <c r="B62" s="9" t="s">
        <v>169</v>
      </c>
      <c r="C62" s="9" t="s">
        <v>138</v>
      </c>
      <c r="D62" s="17">
        <v>48367</v>
      </c>
      <c r="E62" s="9" t="s">
        <v>165</v>
      </c>
      <c r="F62" s="9" t="s">
        <v>166</v>
      </c>
    </row>
    <row r="63" spans="1:6" ht="15" customHeight="1" x14ac:dyDescent="0.3">
      <c r="A63" s="16">
        <v>45901</v>
      </c>
      <c r="B63" s="9" t="s">
        <v>170</v>
      </c>
      <c r="C63" s="9" t="s">
        <v>138</v>
      </c>
      <c r="D63" s="17">
        <v>45651</v>
      </c>
      <c r="E63" s="9" t="s">
        <v>165</v>
      </c>
      <c r="F63" s="9" t="s">
        <v>166</v>
      </c>
    </row>
    <row r="64" spans="1:6" ht="15" customHeight="1" x14ac:dyDescent="0.3">
      <c r="A64" s="16">
        <v>45901</v>
      </c>
      <c r="B64" s="9" t="s">
        <v>171</v>
      </c>
      <c r="C64" s="9" t="s">
        <v>138</v>
      </c>
      <c r="D64" s="17">
        <v>11963</v>
      </c>
      <c r="E64" s="9" t="s">
        <v>165</v>
      </c>
      <c r="F64" s="9" t="s">
        <v>166</v>
      </c>
    </row>
    <row r="65" spans="1:6" ht="15" customHeight="1" x14ac:dyDescent="0.3">
      <c r="A65" s="16">
        <v>45901</v>
      </c>
      <c r="B65" s="9" t="s">
        <v>172</v>
      </c>
      <c r="C65" s="9" t="s">
        <v>138</v>
      </c>
      <c r="D65" s="17">
        <v>11136</v>
      </c>
      <c r="E65" s="9" t="s">
        <v>165</v>
      </c>
      <c r="F65" s="9" t="s">
        <v>166</v>
      </c>
    </row>
    <row r="66" spans="1:6" ht="15" customHeight="1" x14ac:dyDescent="0.3">
      <c r="A66" s="16">
        <v>45901</v>
      </c>
      <c r="B66" s="9" t="s">
        <v>173</v>
      </c>
      <c r="C66" s="9" t="s">
        <v>143</v>
      </c>
      <c r="D66" s="17">
        <v>2902</v>
      </c>
      <c r="E66" s="9" t="s">
        <v>174</v>
      </c>
      <c r="F66" s="9" t="s">
        <v>175</v>
      </c>
    </row>
    <row r="67" spans="1:6" ht="15" customHeight="1" x14ac:dyDescent="0.3">
      <c r="A67" s="16">
        <v>45901</v>
      </c>
      <c r="B67" s="9" t="s">
        <v>176</v>
      </c>
      <c r="C67" s="9" t="s">
        <v>147</v>
      </c>
      <c r="D67" s="17">
        <v>158</v>
      </c>
      <c r="E67" s="9" t="s">
        <v>177</v>
      </c>
      <c r="F67" s="9" t="s">
        <v>178</v>
      </c>
    </row>
    <row r="68" spans="1:6" ht="15" customHeight="1" x14ac:dyDescent="0.3">
      <c r="A68" s="16">
        <v>45931</v>
      </c>
      <c r="B68" s="9" t="s">
        <v>164</v>
      </c>
      <c r="C68" s="9" t="s">
        <v>138</v>
      </c>
      <c r="D68" s="17">
        <v>231621</v>
      </c>
      <c r="E68" s="9" t="s">
        <v>165</v>
      </c>
      <c r="F68" s="9" t="s">
        <v>166</v>
      </c>
    </row>
    <row r="69" spans="1:6" ht="15" customHeight="1" x14ac:dyDescent="0.3">
      <c r="A69" s="16">
        <v>45931</v>
      </c>
      <c r="B69" s="9" t="s">
        <v>167</v>
      </c>
      <c r="C69" s="9" t="s">
        <v>138</v>
      </c>
      <c r="D69" s="17">
        <v>150121</v>
      </c>
      <c r="E69" s="9" t="s">
        <v>165</v>
      </c>
      <c r="F69" s="9" t="s">
        <v>166</v>
      </c>
    </row>
    <row r="70" spans="1:6" ht="15" customHeight="1" x14ac:dyDescent="0.3">
      <c r="A70" s="16">
        <v>45931</v>
      </c>
      <c r="B70" s="9" t="s">
        <v>168</v>
      </c>
      <c r="C70" s="9" t="s">
        <v>138</v>
      </c>
      <c r="D70" s="17">
        <v>76437</v>
      </c>
      <c r="E70" s="9" t="s">
        <v>165</v>
      </c>
      <c r="F70" s="9" t="s">
        <v>166</v>
      </c>
    </row>
    <row r="71" spans="1:6" ht="15" customHeight="1" x14ac:dyDescent="0.3">
      <c r="A71" s="16">
        <v>45931</v>
      </c>
      <c r="B71" s="9" t="s">
        <v>169</v>
      </c>
      <c r="C71" s="9" t="s">
        <v>138</v>
      </c>
      <c r="D71" s="17">
        <v>43597</v>
      </c>
      <c r="E71" s="9" t="s">
        <v>165</v>
      </c>
      <c r="F71" s="9" t="s">
        <v>166</v>
      </c>
    </row>
    <row r="72" spans="1:6" ht="15" customHeight="1" x14ac:dyDescent="0.3">
      <c r="A72" s="16">
        <v>45931</v>
      </c>
      <c r="B72" s="9" t="s">
        <v>170</v>
      </c>
      <c r="C72" s="9" t="s">
        <v>138</v>
      </c>
      <c r="D72" s="17">
        <v>41407</v>
      </c>
      <c r="E72" s="9" t="s">
        <v>165</v>
      </c>
      <c r="F72" s="9" t="s">
        <v>166</v>
      </c>
    </row>
    <row r="73" spans="1:6" ht="15" customHeight="1" x14ac:dyDescent="0.3">
      <c r="A73" s="16">
        <v>45931</v>
      </c>
      <c r="B73" s="9" t="s">
        <v>171</v>
      </c>
      <c r="C73" s="9" t="s">
        <v>138</v>
      </c>
      <c r="D73" s="17">
        <v>15408</v>
      </c>
      <c r="E73" s="9" t="s">
        <v>165</v>
      </c>
      <c r="F73" s="9" t="s">
        <v>166</v>
      </c>
    </row>
    <row r="74" spans="1:6" ht="15" customHeight="1" x14ac:dyDescent="0.3">
      <c r="A74" s="16">
        <v>45931</v>
      </c>
      <c r="B74" s="9" t="s">
        <v>172</v>
      </c>
      <c r="C74" s="9" t="s">
        <v>138</v>
      </c>
      <c r="D74" s="17">
        <v>10171</v>
      </c>
      <c r="E74" s="9" t="s">
        <v>165</v>
      </c>
      <c r="F74" s="9" t="s">
        <v>166</v>
      </c>
    </row>
    <row r="75" spans="1:6" ht="15" customHeight="1" x14ac:dyDescent="0.3">
      <c r="A75" s="16">
        <v>45931</v>
      </c>
      <c r="B75" s="9" t="s">
        <v>173</v>
      </c>
      <c r="C75" s="9" t="s">
        <v>143</v>
      </c>
      <c r="D75" s="17">
        <v>2311</v>
      </c>
      <c r="E75" s="9" t="s">
        <v>174</v>
      </c>
      <c r="F75" s="9" t="s">
        <v>175</v>
      </c>
    </row>
    <row r="76" spans="1:6" ht="15" customHeight="1" x14ac:dyDescent="0.3">
      <c r="A76" s="16">
        <v>45931</v>
      </c>
      <c r="B76" s="9" t="s">
        <v>176</v>
      </c>
      <c r="C76" s="9" t="s">
        <v>147</v>
      </c>
      <c r="D76" s="17">
        <v>202</v>
      </c>
      <c r="E76" s="9" t="s">
        <v>177</v>
      </c>
      <c r="F76" s="9" t="s">
        <v>178</v>
      </c>
    </row>
    <row r="77" spans="1:6" ht="15" customHeight="1" x14ac:dyDescent="0.3">
      <c r="A77" s="16">
        <v>45962</v>
      </c>
      <c r="B77" s="9" t="s">
        <v>164</v>
      </c>
      <c r="C77" s="9" t="s">
        <v>138</v>
      </c>
      <c r="D77" s="17">
        <v>230406</v>
      </c>
      <c r="E77" s="9" t="s">
        <v>165</v>
      </c>
      <c r="F77" s="9" t="s">
        <v>166</v>
      </c>
    </row>
    <row r="78" spans="1:6" ht="15" customHeight="1" x14ac:dyDescent="0.3">
      <c r="A78" s="16">
        <v>45962</v>
      </c>
      <c r="B78" s="9" t="s">
        <v>167</v>
      </c>
      <c r="C78" s="9" t="s">
        <v>138</v>
      </c>
      <c r="D78" s="17">
        <v>147075</v>
      </c>
      <c r="E78" s="9" t="s">
        <v>165</v>
      </c>
      <c r="F78" s="9" t="s">
        <v>166</v>
      </c>
    </row>
    <row r="79" spans="1:6" ht="15" customHeight="1" x14ac:dyDescent="0.3">
      <c r="A79" s="16">
        <v>45962</v>
      </c>
      <c r="B79" s="9" t="s">
        <v>168</v>
      </c>
      <c r="C79" s="9" t="s">
        <v>138</v>
      </c>
      <c r="D79" s="17">
        <v>76392</v>
      </c>
      <c r="E79" s="9" t="s">
        <v>165</v>
      </c>
      <c r="F79" s="9" t="s">
        <v>166</v>
      </c>
    </row>
    <row r="80" spans="1:6" ht="15" customHeight="1" x14ac:dyDescent="0.3">
      <c r="A80" s="16">
        <v>45962</v>
      </c>
      <c r="B80" s="9" t="s">
        <v>169</v>
      </c>
      <c r="C80" s="9" t="s">
        <v>138</v>
      </c>
      <c r="D80" s="17">
        <v>34544</v>
      </c>
      <c r="E80" s="9" t="s">
        <v>165</v>
      </c>
      <c r="F80" s="9" t="s">
        <v>166</v>
      </c>
    </row>
    <row r="81" spans="1:6" ht="15" customHeight="1" x14ac:dyDescent="0.3">
      <c r="A81" s="16">
        <v>45962</v>
      </c>
      <c r="B81" s="9" t="s">
        <v>170</v>
      </c>
      <c r="C81" s="9" t="s">
        <v>138</v>
      </c>
      <c r="D81" s="17">
        <v>46470</v>
      </c>
      <c r="E81" s="9" t="s">
        <v>165</v>
      </c>
      <c r="F81" s="9" t="s">
        <v>166</v>
      </c>
    </row>
    <row r="82" spans="1:6" ht="15" customHeight="1" x14ac:dyDescent="0.3">
      <c r="A82" s="16">
        <v>45962</v>
      </c>
      <c r="B82" s="9" t="s">
        <v>171</v>
      </c>
      <c r="C82" s="9" t="s">
        <v>138</v>
      </c>
      <c r="D82" s="17">
        <v>16262</v>
      </c>
      <c r="E82" s="9" t="s">
        <v>165</v>
      </c>
      <c r="F82" s="9" t="s">
        <v>166</v>
      </c>
    </row>
    <row r="83" spans="1:6" ht="15" customHeight="1" x14ac:dyDescent="0.3">
      <c r="A83" s="16">
        <v>45962</v>
      </c>
      <c r="B83" s="9" t="s">
        <v>172</v>
      </c>
      <c r="C83" s="9" t="s">
        <v>138</v>
      </c>
      <c r="D83" s="17">
        <v>10494</v>
      </c>
      <c r="E83" s="9" t="s">
        <v>165</v>
      </c>
      <c r="F83" s="9" t="s">
        <v>166</v>
      </c>
    </row>
    <row r="84" spans="1:6" ht="15" customHeight="1" x14ac:dyDescent="0.3">
      <c r="A84" s="16">
        <v>45962</v>
      </c>
      <c r="B84" s="9" t="s">
        <v>173</v>
      </c>
      <c r="C84" s="9" t="s">
        <v>143</v>
      </c>
      <c r="D84" s="17">
        <v>2312</v>
      </c>
      <c r="E84" s="9" t="s">
        <v>174</v>
      </c>
      <c r="F84" s="9" t="s">
        <v>175</v>
      </c>
    </row>
    <row r="85" spans="1:6" ht="15" customHeight="1" x14ac:dyDescent="0.3">
      <c r="A85" s="16">
        <v>45962</v>
      </c>
      <c r="B85" s="9" t="s">
        <v>176</v>
      </c>
      <c r="C85" s="9" t="s">
        <v>147</v>
      </c>
      <c r="D85" s="17">
        <v>166</v>
      </c>
      <c r="E85" s="9" t="s">
        <v>177</v>
      </c>
      <c r="F85" s="9" t="s">
        <v>178</v>
      </c>
    </row>
    <row r="86" spans="1:6" ht="15" customHeight="1" x14ac:dyDescent="0.3">
      <c r="A86" s="16">
        <v>45992</v>
      </c>
      <c r="B86" s="9" t="s">
        <v>164</v>
      </c>
      <c r="C86" s="9" t="s">
        <v>138</v>
      </c>
      <c r="D86" s="17">
        <v>246048</v>
      </c>
      <c r="E86" s="9" t="s">
        <v>165</v>
      </c>
      <c r="F86" s="9" t="s">
        <v>166</v>
      </c>
    </row>
    <row r="87" spans="1:6" ht="15" customHeight="1" x14ac:dyDescent="0.3">
      <c r="A87" s="16">
        <v>45992</v>
      </c>
      <c r="B87" s="9" t="s">
        <v>167</v>
      </c>
      <c r="C87" s="9" t="s">
        <v>138</v>
      </c>
      <c r="D87" s="17">
        <v>151639</v>
      </c>
      <c r="E87" s="9" t="s">
        <v>165</v>
      </c>
      <c r="F87" s="9" t="s">
        <v>166</v>
      </c>
    </row>
    <row r="88" spans="1:6" ht="15" customHeight="1" x14ac:dyDescent="0.3">
      <c r="A88" s="16">
        <v>45992</v>
      </c>
      <c r="B88" s="9" t="s">
        <v>168</v>
      </c>
      <c r="C88" s="9" t="s">
        <v>138</v>
      </c>
      <c r="D88" s="17">
        <v>77790</v>
      </c>
      <c r="E88" s="9" t="s">
        <v>165</v>
      </c>
      <c r="F88" s="9" t="s">
        <v>166</v>
      </c>
    </row>
    <row r="89" spans="1:6" ht="15" customHeight="1" x14ac:dyDescent="0.3">
      <c r="A89" s="16">
        <v>45992</v>
      </c>
      <c r="B89" s="9" t="s">
        <v>169</v>
      </c>
      <c r="C89" s="9" t="s">
        <v>138</v>
      </c>
      <c r="D89" s="17">
        <v>34150</v>
      </c>
      <c r="E89" s="9" t="s">
        <v>165</v>
      </c>
      <c r="F89" s="9" t="s">
        <v>166</v>
      </c>
    </row>
    <row r="90" spans="1:6" ht="15" customHeight="1" x14ac:dyDescent="0.3">
      <c r="A90" s="16">
        <v>45992</v>
      </c>
      <c r="B90" s="9" t="s">
        <v>170</v>
      </c>
      <c r="C90" s="9" t="s">
        <v>138</v>
      </c>
      <c r="D90" s="17">
        <v>49348</v>
      </c>
      <c r="E90" s="9" t="s">
        <v>165</v>
      </c>
      <c r="F90" s="9" t="s">
        <v>166</v>
      </c>
    </row>
    <row r="91" spans="1:6" ht="15" customHeight="1" x14ac:dyDescent="0.3">
      <c r="A91" s="16">
        <v>45992</v>
      </c>
      <c r="B91" s="9" t="s">
        <v>171</v>
      </c>
      <c r="C91" s="9" t="s">
        <v>138</v>
      </c>
      <c r="D91" s="17">
        <v>12466</v>
      </c>
      <c r="E91" s="9" t="s">
        <v>165</v>
      </c>
      <c r="F91" s="9" t="s">
        <v>166</v>
      </c>
    </row>
    <row r="92" spans="1:6" ht="15" customHeight="1" x14ac:dyDescent="0.3">
      <c r="A92" s="16">
        <v>45992</v>
      </c>
      <c r="B92" s="9" t="s">
        <v>172</v>
      </c>
      <c r="C92" s="9" t="s">
        <v>138</v>
      </c>
      <c r="D92" s="17">
        <v>11162</v>
      </c>
      <c r="E92" s="9" t="s">
        <v>165</v>
      </c>
      <c r="F92" s="9" t="s">
        <v>166</v>
      </c>
    </row>
    <row r="93" spans="1:6" ht="15" customHeight="1" x14ac:dyDescent="0.3">
      <c r="A93" s="16">
        <v>45992</v>
      </c>
      <c r="B93" s="9" t="s">
        <v>173</v>
      </c>
      <c r="C93" s="9" t="s">
        <v>143</v>
      </c>
      <c r="D93" s="17">
        <v>2293</v>
      </c>
      <c r="E93" s="9" t="s">
        <v>174</v>
      </c>
      <c r="F93" s="9" t="s">
        <v>175</v>
      </c>
    </row>
    <row r="94" spans="1:6" ht="15" customHeight="1" x14ac:dyDescent="0.3">
      <c r="A94" s="16">
        <v>45992</v>
      </c>
      <c r="B94" s="9" t="s">
        <v>176</v>
      </c>
      <c r="C94" s="9" t="s">
        <v>147</v>
      </c>
      <c r="D94" s="17">
        <v>171</v>
      </c>
      <c r="E94" s="9" t="s">
        <v>177</v>
      </c>
      <c r="F94" s="9" t="s">
        <v>178</v>
      </c>
    </row>
    <row r="95" spans="1:6" ht="15" customHeight="1" x14ac:dyDescent="0.3">
      <c r="A95" s="16">
        <v>46023</v>
      </c>
      <c r="B95" s="9" t="s">
        <v>164</v>
      </c>
      <c r="C95" s="9" t="s">
        <v>138</v>
      </c>
      <c r="D95" s="17">
        <v>238387</v>
      </c>
      <c r="E95" s="9" t="s">
        <v>165</v>
      </c>
      <c r="F95" s="9" t="s">
        <v>166</v>
      </c>
    </row>
    <row r="96" spans="1:6" ht="15" customHeight="1" x14ac:dyDescent="0.3">
      <c r="A96" s="16">
        <v>46023</v>
      </c>
      <c r="B96" s="9" t="s">
        <v>167</v>
      </c>
      <c r="C96" s="9" t="s">
        <v>138</v>
      </c>
      <c r="D96" s="17">
        <v>154580</v>
      </c>
      <c r="E96" s="9" t="s">
        <v>165</v>
      </c>
      <c r="F96" s="9" t="s">
        <v>166</v>
      </c>
    </row>
    <row r="97" spans="1:6" ht="15" customHeight="1" x14ac:dyDescent="0.3">
      <c r="A97" s="16">
        <v>46023</v>
      </c>
      <c r="B97" s="9" t="s">
        <v>168</v>
      </c>
      <c r="C97" s="9" t="s">
        <v>138</v>
      </c>
      <c r="D97" s="17">
        <v>78622</v>
      </c>
      <c r="E97" s="9" t="s">
        <v>165</v>
      </c>
      <c r="F97" s="9" t="s">
        <v>166</v>
      </c>
    </row>
    <row r="98" spans="1:6" ht="15" customHeight="1" x14ac:dyDescent="0.3">
      <c r="A98" s="16">
        <v>46023</v>
      </c>
      <c r="B98" s="9" t="s">
        <v>169</v>
      </c>
      <c r="C98" s="9" t="s">
        <v>138</v>
      </c>
      <c r="D98" s="17">
        <v>28266</v>
      </c>
      <c r="E98" s="9" t="s">
        <v>165</v>
      </c>
      <c r="F98" s="9" t="s">
        <v>166</v>
      </c>
    </row>
    <row r="99" spans="1:6" ht="15" customHeight="1" x14ac:dyDescent="0.3">
      <c r="A99" s="16">
        <v>46023</v>
      </c>
      <c r="B99" s="9" t="s">
        <v>170</v>
      </c>
      <c r="C99" s="9" t="s">
        <v>138</v>
      </c>
      <c r="D99" s="17">
        <v>48208</v>
      </c>
      <c r="E99" s="9" t="s">
        <v>165</v>
      </c>
      <c r="F99" s="9" t="s">
        <v>166</v>
      </c>
    </row>
    <row r="100" spans="1:6" ht="15" customHeight="1" x14ac:dyDescent="0.3">
      <c r="A100" s="16">
        <v>46023</v>
      </c>
      <c r="B100" s="9" t="s">
        <v>171</v>
      </c>
      <c r="C100" s="9" t="s">
        <v>138</v>
      </c>
      <c r="D100" s="17">
        <v>10220</v>
      </c>
      <c r="E100" s="9" t="s">
        <v>165</v>
      </c>
      <c r="F100" s="9" t="s">
        <v>166</v>
      </c>
    </row>
    <row r="101" spans="1:6" ht="15" customHeight="1" x14ac:dyDescent="0.3">
      <c r="A101" s="16">
        <v>46023</v>
      </c>
      <c r="B101" s="9" t="s">
        <v>172</v>
      </c>
      <c r="C101" s="9" t="s">
        <v>138</v>
      </c>
      <c r="D101" s="17">
        <v>8969</v>
      </c>
      <c r="E101" s="9" t="s">
        <v>165</v>
      </c>
      <c r="F101" s="9" t="s">
        <v>166</v>
      </c>
    </row>
    <row r="102" spans="1:6" ht="15" customHeight="1" x14ac:dyDescent="0.3">
      <c r="A102" s="16">
        <v>46023</v>
      </c>
      <c r="B102" s="9" t="s">
        <v>173</v>
      </c>
      <c r="C102" s="9" t="s">
        <v>143</v>
      </c>
      <c r="D102" s="17">
        <v>2833</v>
      </c>
      <c r="E102" s="9" t="s">
        <v>174</v>
      </c>
      <c r="F102" s="9" t="s">
        <v>175</v>
      </c>
    </row>
    <row r="103" spans="1:6" ht="15" customHeight="1" x14ac:dyDescent="0.3">
      <c r="A103" s="16">
        <v>46023</v>
      </c>
      <c r="B103" s="9" t="s">
        <v>176</v>
      </c>
      <c r="C103" s="9" t="s">
        <v>147</v>
      </c>
      <c r="D103" s="17">
        <v>181</v>
      </c>
      <c r="E103" s="9" t="s">
        <v>177</v>
      </c>
      <c r="F103" s="9" t="s">
        <v>178</v>
      </c>
    </row>
    <row r="104" spans="1:6" ht="15" customHeight="1" x14ac:dyDescent="0.3">
      <c r="A104" s="16">
        <v>46054</v>
      </c>
      <c r="B104" s="9" t="s">
        <v>164</v>
      </c>
      <c r="C104" s="9" t="s">
        <v>138</v>
      </c>
      <c r="D104" s="17">
        <v>219236</v>
      </c>
      <c r="E104" s="9" t="s">
        <v>165</v>
      </c>
      <c r="F104" s="9" t="s">
        <v>166</v>
      </c>
    </row>
    <row r="105" spans="1:6" ht="15" customHeight="1" x14ac:dyDescent="0.3">
      <c r="A105" s="16">
        <v>46054</v>
      </c>
      <c r="B105" s="9" t="s">
        <v>167</v>
      </c>
      <c r="C105" s="9" t="s">
        <v>138</v>
      </c>
      <c r="D105" s="17">
        <v>138364</v>
      </c>
      <c r="E105" s="9" t="s">
        <v>165</v>
      </c>
      <c r="F105" s="9" t="s">
        <v>166</v>
      </c>
    </row>
    <row r="106" spans="1:6" ht="15" customHeight="1" x14ac:dyDescent="0.3">
      <c r="A106" s="16">
        <v>46054</v>
      </c>
      <c r="B106" s="9" t="s">
        <v>168</v>
      </c>
      <c r="C106" s="9" t="s">
        <v>138</v>
      </c>
      <c r="D106" s="17">
        <v>71532</v>
      </c>
      <c r="E106" s="9" t="s">
        <v>165</v>
      </c>
      <c r="F106" s="9" t="s">
        <v>166</v>
      </c>
    </row>
    <row r="107" spans="1:6" ht="15" customHeight="1" x14ac:dyDescent="0.3">
      <c r="A107" s="16">
        <v>46054</v>
      </c>
      <c r="B107" s="9" t="s">
        <v>169</v>
      </c>
      <c r="C107" s="9" t="s">
        <v>138</v>
      </c>
      <c r="D107" s="17">
        <v>30720</v>
      </c>
      <c r="E107" s="9" t="s">
        <v>165</v>
      </c>
      <c r="F107" s="9" t="s">
        <v>166</v>
      </c>
    </row>
    <row r="108" spans="1:6" ht="15" customHeight="1" x14ac:dyDescent="0.3">
      <c r="A108" s="16">
        <v>46054</v>
      </c>
      <c r="B108" s="9" t="s">
        <v>170</v>
      </c>
      <c r="C108" s="9" t="s">
        <v>138</v>
      </c>
      <c r="D108" s="17">
        <v>47297</v>
      </c>
      <c r="E108" s="9" t="s">
        <v>165</v>
      </c>
      <c r="F108" s="9" t="s">
        <v>166</v>
      </c>
    </row>
    <row r="109" spans="1:6" ht="15" customHeight="1" x14ac:dyDescent="0.3">
      <c r="A109" s="16">
        <v>46054</v>
      </c>
      <c r="B109" s="9" t="s">
        <v>171</v>
      </c>
      <c r="C109" s="9" t="s">
        <v>138</v>
      </c>
      <c r="D109" s="17">
        <v>10672</v>
      </c>
      <c r="E109" s="9" t="s">
        <v>165</v>
      </c>
      <c r="F109" s="9" t="s">
        <v>166</v>
      </c>
    </row>
    <row r="110" spans="1:6" ht="15" customHeight="1" x14ac:dyDescent="0.3">
      <c r="A110" s="16">
        <v>46054</v>
      </c>
      <c r="B110" s="9" t="s">
        <v>172</v>
      </c>
      <c r="C110" s="9" t="s">
        <v>138</v>
      </c>
      <c r="D110" s="17">
        <v>9929</v>
      </c>
      <c r="E110" s="9" t="s">
        <v>165</v>
      </c>
      <c r="F110" s="9" t="s">
        <v>166</v>
      </c>
    </row>
    <row r="111" spans="1:6" ht="15" customHeight="1" x14ac:dyDescent="0.3">
      <c r="A111" s="16">
        <v>46054</v>
      </c>
      <c r="B111" s="9" t="s">
        <v>173</v>
      </c>
      <c r="C111" s="9" t="s">
        <v>143</v>
      </c>
      <c r="D111" s="17">
        <v>2888</v>
      </c>
      <c r="E111" s="9" t="s">
        <v>174</v>
      </c>
      <c r="F111" s="9" t="s">
        <v>175</v>
      </c>
    </row>
    <row r="112" spans="1:6" ht="15" customHeight="1" x14ac:dyDescent="0.3">
      <c r="A112" s="16">
        <v>46054</v>
      </c>
      <c r="B112" s="9" t="s">
        <v>176</v>
      </c>
      <c r="C112" s="9" t="s">
        <v>147</v>
      </c>
      <c r="D112" s="17">
        <v>179</v>
      </c>
      <c r="E112" s="9" t="s">
        <v>177</v>
      </c>
      <c r="F112" s="9" t="s">
        <v>178</v>
      </c>
    </row>
    <row r="113" spans="1:6" ht="15" customHeight="1" x14ac:dyDescent="0.3">
      <c r="A113" s="16">
        <v>46082</v>
      </c>
      <c r="B113" s="9" t="s">
        <v>164</v>
      </c>
      <c r="C113" s="9" t="s">
        <v>138</v>
      </c>
      <c r="D113" s="17">
        <v>249888</v>
      </c>
      <c r="E113" s="9" t="s">
        <v>165</v>
      </c>
      <c r="F113" s="9" t="s">
        <v>166</v>
      </c>
    </row>
    <row r="114" spans="1:6" ht="15" customHeight="1" x14ac:dyDescent="0.3">
      <c r="A114" s="16">
        <v>46082</v>
      </c>
      <c r="B114" s="9" t="s">
        <v>167</v>
      </c>
      <c r="C114" s="9" t="s">
        <v>138</v>
      </c>
      <c r="D114" s="17">
        <v>151794</v>
      </c>
      <c r="E114" s="9" t="s">
        <v>165</v>
      </c>
      <c r="F114" s="9" t="s">
        <v>166</v>
      </c>
    </row>
    <row r="115" spans="1:6" ht="15" customHeight="1" x14ac:dyDescent="0.3">
      <c r="A115" s="16">
        <v>46082</v>
      </c>
      <c r="B115" s="9" t="s">
        <v>168</v>
      </c>
      <c r="C115" s="9" t="s">
        <v>138</v>
      </c>
      <c r="D115" s="17">
        <v>80511</v>
      </c>
      <c r="E115" s="9" t="s">
        <v>165</v>
      </c>
      <c r="F115" s="9" t="s">
        <v>166</v>
      </c>
    </row>
    <row r="116" spans="1:6" ht="15" customHeight="1" x14ac:dyDescent="0.3">
      <c r="A116" s="16">
        <v>46082</v>
      </c>
      <c r="B116" s="9" t="s">
        <v>169</v>
      </c>
      <c r="C116" s="9" t="s">
        <v>138</v>
      </c>
      <c r="D116" s="17">
        <v>36988</v>
      </c>
      <c r="E116" s="9" t="s">
        <v>165</v>
      </c>
      <c r="F116" s="9" t="s">
        <v>166</v>
      </c>
    </row>
    <row r="117" spans="1:6" ht="15" customHeight="1" x14ac:dyDescent="0.3">
      <c r="A117" s="16">
        <v>46082</v>
      </c>
      <c r="B117" s="9" t="s">
        <v>170</v>
      </c>
      <c r="C117" s="9" t="s">
        <v>138</v>
      </c>
      <c r="D117" s="17">
        <v>47006</v>
      </c>
      <c r="E117" s="9" t="s">
        <v>165</v>
      </c>
      <c r="F117" s="9" t="s">
        <v>166</v>
      </c>
    </row>
    <row r="118" spans="1:6" ht="15" customHeight="1" x14ac:dyDescent="0.3">
      <c r="A118" s="16">
        <v>46082</v>
      </c>
      <c r="B118" s="9" t="s">
        <v>171</v>
      </c>
      <c r="C118" s="9" t="s">
        <v>138</v>
      </c>
      <c r="D118" s="17">
        <v>13496</v>
      </c>
      <c r="E118" s="9" t="s">
        <v>165</v>
      </c>
      <c r="F118" s="9" t="s">
        <v>166</v>
      </c>
    </row>
    <row r="119" spans="1:6" ht="15" customHeight="1" x14ac:dyDescent="0.3">
      <c r="A119" s="16">
        <v>46082</v>
      </c>
      <c r="B119" s="9" t="s">
        <v>172</v>
      </c>
      <c r="C119" s="9" t="s">
        <v>138</v>
      </c>
      <c r="D119" s="17">
        <v>10479</v>
      </c>
      <c r="E119" s="9" t="s">
        <v>165</v>
      </c>
      <c r="F119" s="9" t="s">
        <v>166</v>
      </c>
    </row>
    <row r="120" spans="1:6" ht="15" customHeight="1" x14ac:dyDescent="0.3">
      <c r="A120" s="16">
        <v>46082</v>
      </c>
      <c r="B120" s="9" t="s">
        <v>173</v>
      </c>
      <c r="C120" s="9" t="s">
        <v>143</v>
      </c>
      <c r="D120" s="17">
        <v>2254</v>
      </c>
      <c r="E120" s="9" t="s">
        <v>174</v>
      </c>
      <c r="F120" s="9" t="s">
        <v>175</v>
      </c>
    </row>
    <row r="121" spans="1:6" ht="15" customHeight="1" x14ac:dyDescent="0.3">
      <c r="A121" s="16">
        <v>46082</v>
      </c>
      <c r="B121" s="9" t="s">
        <v>176</v>
      </c>
      <c r="C121" s="9" t="s">
        <v>147</v>
      </c>
      <c r="D121" s="17">
        <v>189</v>
      </c>
      <c r="E121" s="9" t="s">
        <v>177</v>
      </c>
      <c r="F121" s="9" t="s">
        <v>178</v>
      </c>
    </row>
    <row r="122" spans="1:6" ht="15" customHeight="1" x14ac:dyDescent="0.3">
      <c r="A122" s="16">
        <v>46113</v>
      </c>
      <c r="B122" s="9" t="s">
        <v>164</v>
      </c>
      <c r="C122" s="9" t="s">
        <v>138</v>
      </c>
      <c r="D122" s="17">
        <v>229523</v>
      </c>
      <c r="E122" s="9" t="s">
        <v>165</v>
      </c>
      <c r="F122" s="9" t="s">
        <v>166</v>
      </c>
    </row>
    <row r="123" spans="1:6" ht="15" customHeight="1" x14ac:dyDescent="0.3">
      <c r="A123" s="16">
        <v>46113</v>
      </c>
      <c r="B123" s="9" t="s">
        <v>167</v>
      </c>
      <c r="C123" s="9" t="s">
        <v>138</v>
      </c>
      <c r="D123" s="17">
        <v>144764</v>
      </c>
      <c r="E123" s="9" t="s">
        <v>165</v>
      </c>
      <c r="F123" s="9" t="s">
        <v>166</v>
      </c>
    </row>
    <row r="124" spans="1:6" ht="15" customHeight="1" x14ac:dyDescent="0.3">
      <c r="A124" s="16">
        <v>46113</v>
      </c>
      <c r="B124" s="9" t="s">
        <v>168</v>
      </c>
      <c r="C124" s="9" t="s">
        <v>138</v>
      </c>
      <c r="D124" s="17">
        <v>77847</v>
      </c>
      <c r="E124" s="9" t="s">
        <v>165</v>
      </c>
      <c r="F124" s="9" t="s">
        <v>166</v>
      </c>
    </row>
    <row r="125" spans="1:6" ht="15" customHeight="1" x14ac:dyDescent="0.3">
      <c r="A125" s="16">
        <v>46113</v>
      </c>
      <c r="B125" s="9" t="s">
        <v>169</v>
      </c>
      <c r="C125" s="9" t="s">
        <v>138</v>
      </c>
      <c r="D125" s="17">
        <v>36663</v>
      </c>
      <c r="E125" s="9" t="s">
        <v>165</v>
      </c>
      <c r="F125" s="9" t="s">
        <v>166</v>
      </c>
    </row>
    <row r="126" spans="1:6" ht="15" customHeight="1" x14ac:dyDescent="0.3">
      <c r="A126" s="16">
        <v>46113</v>
      </c>
      <c r="B126" s="9" t="s">
        <v>170</v>
      </c>
      <c r="C126" s="9" t="s">
        <v>138</v>
      </c>
      <c r="D126" s="17">
        <v>43501</v>
      </c>
      <c r="E126" s="9" t="s">
        <v>165</v>
      </c>
      <c r="F126" s="9" t="s">
        <v>166</v>
      </c>
    </row>
    <row r="127" spans="1:6" ht="15" customHeight="1" x14ac:dyDescent="0.3">
      <c r="A127" s="16">
        <v>46113</v>
      </c>
      <c r="B127" s="9" t="s">
        <v>171</v>
      </c>
      <c r="C127" s="9" t="s">
        <v>138</v>
      </c>
      <c r="D127" s="17">
        <v>13087</v>
      </c>
      <c r="E127" s="9" t="s">
        <v>165</v>
      </c>
      <c r="F127" s="9" t="s">
        <v>166</v>
      </c>
    </row>
    <row r="128" spans="1:6" ht="15" customHeight="1" x14ac:dyDescent="0.3">
      <c r="A128" s="16">
        <v>46113</v>
      </c>
      <c r="B128" s="9" t="s">
        <v>172</v>
      </c>
      <c r="C128" s="9" t="s">
        <v>138</v>
      </c>
      <c r="D128" s="17">
        <v>8967</v>
      </c>
      <c r="E128" s="9" t="s">
        <v>165</v>
      </c>
      <c r="F128" s="9" t="s">
        <v>166</v>
      </c>
    </row>
    <row r="129" spans="1:6" ht="15" customHeight="1" x14ac:dyDescent="0.3">
      <c r="A129" s="16">
        <v>46113</v>
      </c>
      <c r="B129" s="9" t="s">
        <v>173</v>
      </c>
      <c r="C129" s="9" t="s">
        <v>143</v>
      </c>
      <c r="D129" s="17">
        <v>2267</v>
      </c>
      <c r="E129" s="9" t="s">
        <v>174</v>
      </c>
      <c r="F129" s="9" t="s">
        <v>175</v>
      </c>
    </row>
    <row r="130" spans="1:6" ht="15" customHeight="1" x14ac:dyDescent="0.3">
      <c r="A130" s="16">
        <v>46113</v>
      </c>
      <c r="B130" s="9" t="s">
        <v>176</v>
      </c>
      <c r="C130" s="9" t="s">
        <v>147</v>
      </c>
      <c r="D130" s="17">
        <v>188</v>
      </c>
      <c r="E130" s="9" t="s">
        <v>177</v>
      </c>
      <c r="F130" s="9" t="s">
        <v>178</v>
      </c>
    </row>
    <row r="131" spans="1:6" ht="15" customHeight="1" x14ac:dyDescent="0.3">
      <c r="A131" s="16">
        <v>46143</v>
      </c>
      <c r="B131" s="9" t="s">
        <v>164</v>
      </c>
      <c r="C131" s="9" t="s">
        <v>138</v>
      </c>
      <c r="D131" s="17">
        <v>238094</v>
      </c>
      <c r="E131" s="9" t="s">
        <v>165</v>
      </c>
      <c r="F131" s="9" t="s">
        <v>166</v>
      </c>
    </row>
    <row r="132" spans="1:6" ht="15" customHeight="1" x14ac:dyDescent="0.3">
      <c r="A132" s="16">
        <v>46143</v>
      </c>
      <c r="B132" s="9" t="s">
        <v>167</v>
      </c>
      <c r="C132" s="9" t="s">
        <v>138</v>
      </c>
      <c r="D132" s="17">
        <v>159195</v>
      </c>
      <c r="E132" s="9" t="s">
        <v>165</v>
      </c>
      <c r="F132" s="9" t="s">
        <v>166</v>
      </c>
    </row>
    <row r="133" spans="1:6" ht="15" customHeight="1" x14ac:dyDescent="0.3">
      <c r="A133" s="16">
        <v>46143</v>
      </c>
      <c r="B133" s="9" t="s">
        <v>168</v>
      </c>
      <c r="C133" s="9" t="s">
        <v>138</v>
      </c>
      <c r="D133" s="17">
        <v>78735</v>
      </c>
      <c r="E133" s="9" t="s">
        <v>165</v>
      </c>
      <c r="F133" s="9" t="s">
        <v>166</v>
      </c>
    </row>
    <row r="134" spans="1:6" ht="15" customHeight="1" x14ac:dyDescent="0.3">
      <c r="A134" s="16">
        <v>46143</v>
      </c>
      <c r="B134" s="9" t="s">
        <v>169</v>
      </c>
      <c r="C134" s="9" t="s">
        <v>138</v>
      </c>
      <c r="D134" s="17">
        <v>43234</v>
      </c>
      <c r="E134" s="9" t="s">
        <v>165</v>
      </c>
      <c r="F134" s="9" t="s">
        <v>166</v>
      </c>
    </row>
    <row r="135" spans="1:6" ht="15" customHeight="1" x14ac:dyDescent="0.3">
      <c r="A135" s="16">
        <v>46143</v>
      </c>
      <c r="B135" s="9" t="s">
        <v>170</v>
      </c>
      <c r="C135" s="9" t="s">
        <v>138</v>
      </c>
      <c r="D135" s="17">
        <v>44793</v>
      </c>
      <c r="E135" s="9" t="s">
        <v>165</v>
      </c>
      <c r="F135" s="9" t="s">
        <v>166</v>
      </c>
    </row>
    <row r="136" spans="1:6" ht="15" customHeight="1" x14ac:dyDescent="0.3">
      <c r="A136" s="16">
        <v>46143</v>
      </c>
      <c r="B136" s="9" t="s">
        <v>171</v>
      </c>
      <c r="C136" s="9" t="s">
        <v>138</v>
      </c>
      <c r="D136" s="17">
        <v>14410</v>
      </c>
      <c r="E136" s="9" t="s">
        <v>165</v>
      </c>
      <c r="F136" s="9" t="s">
        <v>166</v>
      </c>
    </row>
    <row r="137" spans="1:6" ht="15" customHeight="1" x14ac:dyDescent="0.3">
      <c r="A137" s="16">
        <v>46143</v>
      </c>
      <c r="B137" s="9" t="s">
        <v>172</v>
      </c>
      <c r="C137" s="9" t="s">
        <v>138</v>
      </c>
      <c r="D137" s="17">
        <v>9910</v>
      </c>
      <c r="E137" s="9" t="s">
        <v>165</v>
      </c>
      <c r="F137" s="9" t="s">
        <v>166</v>
      </c>
    </row>
    <row r="138" spans="1:6" ht="15" customHeight="1" x14ac:dyDescent="0.3">
      <c r="A138" s="16">
        <v>46143</v>
      </c>
      <c r="B138" s="9" t="s">
        <v>173</v>
      </c>
      <c r="C138" s="9" t="s">
        <v>143</v>
      </c>
      <c r="D138" s="17">
        <v>2958</v>
      </c>
      <c r="E138" s="9" t="s">
        <v>174</v>
      </c>
      <c r="F138" s="9" t="s">
        <v>175</v>
      </c>
    </row>
    <row r="139" spans="1:6" ht="15" customHeight="1" x14ac:dyDescent="0.3">
      <c r="A139" s="16">
        <v>46143</v>
      </c>
      <c r="B139" s="9" t="s">
        <v>176</v>
      </c>
      <c r="C139" s="9" t="s">
        <v>147</v>
      </c>
      <c r="D139" s="17">
        <v>187</v>
      </c>
      <c r="E139" s="9" t="s">
        <v>177</v>
      </c>
      <c r="F139" s="9" t="s">
        <v>178</v>
      </c>
    </row>
    <row r="140" spans="1:6" ht="15" customHeight="1" x14ac:dyDescent="0.3">
      <c r="A140" s="16">
        <v>46174</v>
      </c>
      <c r="B140" s="9" t="s">
        <v>164</v>
      </c>
      <c r="C140" s="9" t="s">
        <v>138</v>
      </c>
      <c r="D140" s="17">
        <v>230318</v>
      </c>
      <c r="E140" s="9" t="s">
        <v>165</v>
      </c>
      <c r="F140" s="9" t="s">
        <v>166</v>
      </c>
    </row>
    <row r="141" spans="1:6" ht="15" customHeight="1" x14ac:dyDescent="0.3">
      <c r="A141" s="16">
        <v>46174</v>
      </c>
      <c r="B141" s="9" t="s">
        <v>167</v>
      </c>
      <c r="C141" s="9" t="s">
        <v>138</v>
      </c>
      <c r="D141" s="17">
        <v>148739</v>
      </c>
      <c r="E141" s="9" t="s">
        <v>165</v>
      </c>
      <c r="F141" s="9" t="s">
        <v>166</v>
      </c>
    </row>
    <row r="142" spans="1:6" ht="15" customHeight="1" x14ac:dyDescent="0.3">
      <c r="A142" s="16">
        <v>46174</v>
      </c>
      <c r="B142" s="9" t="s">
        <v>168</v>
      </c>
      <c r="C142" s="9" t="s">
        <v>138</v>
      </c>
      <c r="D142" s="17">
        <v>75662</v>
      </c>
      <c r="E142" s="9" t="s">
        <v>165</v>
      </c>
      <c r="F142" s="9" t="s">
        <v>166</v>
      </c>
    </row>
    <row r="143" spans="1:6" ht="15" customHeight="1" x14ac:dyDescent="0.3">
      <c r="A143" s="16">
        <v>46174</v>
      </c>
      <c r="B143" s="9" t="s">
        <v>169</v>
      </c>
      <c r="C143" s="9" t="s">
        <v>138</v>
      </c>
      <c r="D143" s="17">
        <v>50910</v>
      </c>
      <c r="E143" s="9" t="s">
        <v>165</v>
      </c>
      <c r="F143" s="9" t="s">
        <v>166</v>
      </c>
    </row>
    <row r="144" spans="1:6" ht="15" customHeight="1" x14ac:dyDescent="0.3">
      <c r="A144" s="16">
        <v>46174</v>
      </c>
      <c r="B144" s="9" t="s">
        <v>170</v>
      </c>
      <c r="C144" s="9" t="s">
        <v>138</v>
      </c>
      <c r="D144" s="17">
        <v>45160</v>
      </c>
      <c r="E144" s="9" t="s">
        <v>165</v>
      </c>
      <c r="F144" s="9" t="s">
        <v>166</v>
      </c>
    </row>
    <row r="145" spans="1:6" ht="15" customHeight="1" x14ac:dyDescent="0.3">
      <c r="A145" s="16">
        <v>46174</v>
      </c>
      <c r="B145" s="9" t="s">
        <v>171</v>
      </c>
      <c r="C145" s="9" t="s">
        <v>138</v>
      </c>
      <c r="D145" s="17">
        <v>8724</v>
      </c>
      <c r="E145" s="9" t="s">
        <v>165</v>
      </c>
      <c r="F145" s="9" t="s">
        <v>166</v>
      </c>
    </row>
    <row r="146" spans="1:6" ht="15" customHeight="1" x14ac:dyDescent="0.3">
      <c r="A146" s="16">
        <v>46174</v>
      </c>
      <c r="B146" s="9" t="s">
        <v>172</v>
      </c>
      <c r="C146" s="9" t="s">
        <v>138</v>
      </c>
      <c r="D146" s="17">
        <v>9465</v>
      </c>
      <c r="E146" s="9" t="s">
        <v>165</v>
      </c>
      <c r="F146" s="9" t="s">
        <v>166</v>
      </c>
    </row>
    <row r="147" spans="1:6" ht="15" customHeight="1" x14ac:dyDescent="0.3">
      <c r="A147" s="16">
        <v>46174</v>
      </c>
      <c r="B147" s="9" t="s">
        <v>173</v>
      </c>
      <c r="C147" s="9" t="s">
        <v>143</v>
      </c>
      <c r="D147" s="17">
        <v>2681</v>
      </c>
      <c r="E147" s="9" t="s">
        <v>174</v>
      </c>
      <c r="F147" s="9" t="s">
        <v>175</v>
      </c>
    </row>
    <row r="148" spans="1:6" ht="15" customHeight="1" x14ac:dyDescent="0.3">
      <c r="A148" s="16">
        <v>46174</v>
      </c>
      <c r="B148" s="9" t="s">
        <v>176</v>
      </c>
      <c r="C148" s="9" t="s">
        <v>147</v>
      </c>
      <c r="D148" s="17">
        <v>149</v>
      </c>
      <c r="E148" s="9" t="s">
        <v>177</v>
      </c>
      <c r="F148" s="9" t="s">
        <v>178</v>
      </c>
    </row>
    <row r="149" spans="1:6" ht="15" customHeight="1" x14ac:dyDescent="0.3">
      <c r="A149" s="16">
        <v>46204</v>
      </c>
      <c r="B149" s="9" t="s">
        <v>164</v>
      </c>
      <c r="C149" s="9" t="s">
        <v>138</v>
      </c>
      <c r="D149" s="17">
        <v>279083</v>
      </c>
      <c r="E149" s="9" t="s">
        <v>165</v>
      </c>
      <c r="F149" s="9" t="s">
        <v>166</v>
      </c>
    </row>
    <row r="150" spans="1:6" ht="15" customHeight="1" x14ac:dyDescent="0.3">
      <c r="A150" s="16">
        <v>46204</v>
      </c>
      <c r="B150" s="9" t="s">
        <v>167</v>
      </c>
      <c r="C150" s="9" t="s">
        <v>138</v>
      </c>
      <c r="D150" s="17">
        <v>207732</v>
      </c>
      <c r="E150" s="9" t="s">
        <v>165</v>
      </c>
      <c r="F150" s="9" t="s">
        <v>166</v>
      </c>
    </row>
    <row r="151" spans="1:6" ht="15" customHeight="1" x14ac:dyDescent="0.3">
      <c r="A151" s="16">
        <v>46204</v>
      </c>
      <c r="B151" s="9" t="s">
        <v>168</v>
      </c>
      <c r="C151" s="9" t="s">
        <v>138</v>
      </c>
      <c r="D151" s="17">
        <v>101173</v>
      </c>
      <c r="E151" s="9" t="s">
        <v>165</v>
      </c>
      <c r="F151" s="9" t="s">
        <v>166</v>
      </c>
    </row>
    <row r="152" spans="1:6" ht="15" customHeight="1" x14ac:dyDescent="0.3">
      <c r="A152" s="16">
        <v>46204</v>
      </c>
      <c r="B152" s="9" t="s">
        <v>169</v>
      </c>
      <c r="C152" s="9" t="s">
        <v>138</v>
      </c>
      <c r="D152" s="17">
        <v>69857</v>
      </c>
      <c r="E152" s="9" t="s">
        <v>165</v>
      </c>
      <c r="F152" s="9" t="s">
        <v>166</v>
      </c>
    </row>
    <row r="153" spans="1:6" ht="15" customHeight="1" x14ac:dyDescent="0.3">
      <c r="A153" s="16">
        <v>46204</v>
      </c>
      <c r="B153" s="9" t="s">
        <v>170</v>
      </c>
      <c r="C153" s="9" t="s">
        <v>138</v>
      </c>
      <c r="D153" s="17">
        <v>45232</v>
      </c>
      <c r="E153" s="9" t="s">
        <v>165</v>
      </c>
      <c r="F153" s="9" t="s">
        <v>166</v>
      </c>
    </row>
    <row r="154" spans="1:6" ht="15" customHeight="1" x14ac:dyDescent="0.3">
      <c r="A154" s="16">
        <v>46204</v>
      </c>
      <c r="B154" s="9" t="s">
        <v>171</v>
      </c>
      <c r="C154" s="9" t="s">
        <v>138</v>
      </c>
      <c r="D154" s="17">
        <v>15426</v>
      </c>
      <c r="E154" s="9" t="s">
        <v>165</v>
      </c>
      <c r="F154" s="9" t="s">
        <v>166</v>
      </c>
    </row>
    <row r="155" spans="1:6" ht="15" customHeight="1" x14ac:dyDescent="0.3">
      <c r="A155" s="16">
        <v>46204</v>
      </c>
      <c r="B155" s="9" t="s">
        <v>172</v>
      </c>
      <c r="C155" s="9" t="s">
        <v>138</v>
      </c>
      <c r="D155" s="17">
        <v>9196</v>
      </c>
      <c r="E155" s="9" t="s">
        <v>165</v>
      </c>
      <c r="F155" s="9" t="s">
        <v>166</v>
      </c>
    </row>
    <row r="156" spans="1:6" ht="15" customHeight="1" x14ac:dyDescent="0.3">
      <c r="A156" s="16">
        <v>46204</v>
      </c>
      <c r="B156" s="9" t="s">
        <v>173</v>
      </c>
      <c r="C156" s="9" t="s">
        <v>143</v>
      </c>
      <c r="D156" s="17">
        <v>2940</v>
      </c>
      <c r="E156" s="9" t="s">
        <v>174</v>
      </c>
      <c r="F156" s="9" t="s">
        <v>175</v>
      </c>
    </row>
    <row r="157" spans="1:6" ht="15" customHeight="1" x14ac:dyDescent="0.3">
      <c r="A157" s="16">
        <v>46204</v>
      </c>
      <c r="B157" s="9" t="s">
        <v>176</v>
      </c>
      <c r="C157" s="9" t="s">
        <v>147</v>
      </c>
      <c r="D157" s="17">
        <v>211</v>
      </c>
      <c r="E157" s="9" t="s">
        <v>177</v>
      </c>
      <c r="F157" s="9" t="s">
        <v>178</v>
      </c>
    </row>
    <row r="158" spans="1:6" ht="15" customHeight="1" x14ac:dyDescent="0.3">
      <c r="A158" s="16">
        <v>46235</v>
      </c>
      <c r="B158" s="9" t="s">
        <v>164</v>
      </c>
      <c r="C158" s="9" t="s">
        <v>138</v>
      </c>
      <c r="D158" s="17">
        <v>314757</v>
      </c>
      <c r="E158" s="9" t="s">
        <v>165</v>
      </c>
      <c r="F158" s="9" t="s">
        <v>166</v>
      </c>
    </row>
    <row r="159" spans="1:6" ht="15" customHeight="1" x14ac:dyDescent="0.3">
      <c r="A159" s="16">
        <v>46235</v>
      </c>
      <c r="B159" s="9" t="s">
        <v>167</v>
      </c>
      <c r="C159" s="9" t="s">
        <v>138</v>
      </c>
      <c r="D159" s="17">
        <v>228777</v>
      </c>
      <c r="E159" s="9" t="s">
        <v>165</v>
      </c>
      <c r="F159" s="9" t="s">
        <v>166</v>
      </c>
    </row>
    <row r="160" spans="1:6" ht="15" customHeight="1" x14ac:dyDescent="0.3">
      <c r="A160" s="16">
        <v>46235</v>
      </c>
      <c r="B160" s="9" t="s">
        <v>168</v>
      </c>
      <c r="C160" s="9" t="s">
        <v>138</v>
      </c>
      <c r="D160" s="17">
        <v>110260</v>
      </c>
      <c r="E160" s="9" t="s">
        <v>165</v>
      </c>
      <c r="F160" s="9" t="s">
        <v>166</v>
      </c>
    </row>
    <row r="161" spans="1:6" ht="15" customHeight="1" x14ac:dyDescent="0.3">
      <c r="A161" s="16">
        <v>46235</v>
      </c>
      <c r="B161" s="9" t="s">
        <v>169</v>
      </c>
      <c r="C161" s="9" t="s">
        <v>138</v>
      </c>
      <c r="D161" s="17">
        <v>75932</v>
      </c>
      <c r="E161" s="9" t="s">
        <v>165</v>
      </c>
      <c r="F161" s="9" t="s">
        <v>166</v>
      </c>
    </row>
    <row r="162" spans="1:6" ht="15" customHeight="1" x14ac:dyDescent="0.3">
      <c r="A162" s="16">
        <v>46235</v>
      </c>
      <c r="B162" s="9" t="s">
        <v>170</v>
      </c>
      <c r="C162" s="9" t="s">
        <v>138</v>
      </c>
      <c r="D162" s="17">
        <v>48406</v>
      </c>
      <c r="E162" s="9" t="s">
        <v>165</v>
      </c>
      <c r="F162" s="9" t="s">
        <v>166</v>
      </c>
    </row>
    <row r="163" spans="1:6" ht="15" customHeight="1" x14ac:dyDescent="0.3">
      <c r="A163" s="16">
        <v>46235</v>
      </c>
      <c r="B163" s="9" t="s">
        <v>171</v>
      </c>
      <c r="C163" s="9" t="s">
        <v>138</v>
      </c>
      <c r="D163" s="17">
        <v>15834</v>
      </c>
      <c r="E163" s="9" t="s">
        <v>165</v>
      </c>
      <c r="F163" s="9" t="s">
        <v>166</v>
      </c>
    </row>
    <row r="164" spans="1:6" ht="15" customHeight="1" x14ac:dyDescent="0.3">
      <c r="A164" s="16">
        <v>46235</v>
      </c>
      <c r="B164" s="9" t="s">
        <v>172</v>
      </c>
      <c r="C164" s="9" t="s">
        <v>138</v>
      </c>
      <c r="D164" s="17">
        <v>10863</v>
      </c>
      <c r="E164" s="9" t="s">
        <v>165</v>
      </c>
      <c r="F164" s="9" t="s">
        <v>166</v>
      </c>
    </row>
    <row r="165" spans="1:6" ht="15" customHeight="1" x14ac:dyDescent="0.3">
      <c r="A165" s="16">
        <v>46235</v>
      </c>
      <c r="B165" s="9" t="s">
        <v>173</v>
      </c>
      <c r="C165" s="9" t="s">
        <v>143</v>
      </c>
      <c r="D165" s="17">
        <v>2835</v>
      </c>
      <c r="E165" s="9" t="s">
        <v>174</v>
      </c>
      <c r="F165" s="9" t="s">
        <v>175</v>
      </c>
    </row>
    <row r="166" spans="1:6" ht="15" customHeight="1" x14ac:dyDescent="0.3">
      <c r="A166" s="16">
        <v>46235</v>
      </c>
      <c r="B166" s="9" t="s">
        <v>176</v>
      </c>
      <c r="C166" s="9" t="s">
        <v>147</v>
      </c>
      <c r="D166" s="17">
        <v>175</v>
      </c>
      <c r="E166" s="9" t="s">
        <v>177</v>
      </c>
      <c r="F166" s="9" t="s">
        <v>178</v>
      </c>
    </row>
    <row r="167" spans="1:6" ht="15" customHeight="1" x14ac:dyDescent="0.3">
      <c r="A167" s="16">
        <v>46266</v>
      </c>
      <c r="B167" s="9" t="s">
        <v>164</v>
      </c>
      <c r="C167" s="9" t="s">
        <v>138</v>
      </c>
      <c r="D167" s="17">
        <v>288038</v>
      </c>
      <c r="E167" s="9" t="s">
        <v>165</v>
      </c>
      <c r="F167" s="9" t="s">
        <v>166</v>
      </c>
    </row>
    <row r="168" spans="1:6" ht="15" customHeight="1" x14ac:dyDescent="0.3">
      <c r="A168" s="16">
        <v>46266</v>
      </c>
      <c r="B168" s="9" t="s">
        <v>167</v>
      </c>
      <c r="C168" s="9" t="s">
        <v>138</v>
      </c>
      <c r="D168" s="17">
        <v>209010</v>
      </c>
      <c r="E168" s="9" t="s">
        <v>165</v>
      </c>
      <c r="F168" s="9" t="s">
        <v>166</v>
      </c>
    </row>
    <row r="169" spans="1:6" ht="15" customHeight="1" x14ac:dyDescent="0.3">
      <c r="A169" s="16">
        <v>46266</v>
      </c>
      <c r="B169" s="9" t="s">
        <v>168</v>
      </c>
      <c r="C169" s="9" t="s">
        <v>138</v>
      </c>
      <c r="D169" s="17">
        <v>95995</v>
      </c>
      <c r="E169" s="9" t="s">
        <v>165</v>
      </c>
      <c r="F169" s="9" t="s">
        <v>166</v>
      </c>
    </row>
    <row r="170" spans="1:6" ht="15" customHeight="1" x14ac:dyDescent="0.3">
      <c r="A170" s="16">
        <v>46266</v>
      </c>
      <c r="B170" s="9" t="s">
        <v>169</v>
      </c>
      <c r="C170" s="9" t="s">
        <v>138</v>
      </c>
      <c r="D170" s="17">
        <v>66228</v>
      </c>
      <c r="E170" s="9" t="s">
        <v>165</v>
      </c>
      <c r="F170" s="9" t="s">
        <v>166</v>
      </c>
    </row>
    <row r="171" spans="1:6" ht="15" customHeight="1" x14ac:dyDescent="0.3">
      <c r="A171" s="16">
        <v>46266</v>
      </c>
      <c r="B171" s="9" t="s">
        <v>170</v>
      </c>
      <c r="C171" s="9" t="s">
        <v>138</v>
      </c>
      <c r="D171" s="17">
        <v>48729</v>
      </c>
      <c r="E171" s="9" t="s">
        <v>165</v>
      </c>
      <c r="F171" s="9" t="s">
        <v>166</v>
      </c>
    </row>
    <row r="172" spans="1:6" ht="15" customHeight="1" x14ac:dyDescent="0.3">
      <c r="A172" s="16">
        <v>46266</v>
      </c>
      <c r="B172" s="9" t="s">
        <v>171</v>
      </c>
      <c r="C172" s="9" t="s">
        <v>138</v>
      </c>
      <c r="D172" s="17">
        <v>18311</v>
      </c>
      <c r="E172" s="9" t="s">
        <v>165</v>
      </c>
      <c r="F172" s="9" t="s">
        <v>166</v>
      </c>
    </row>
    <row r="173" spans="1:6" ht="15" customHeight="1" x14ac:dyDescent="0.3">
      <c r="A173" s="16">
        <v>46266</v>
      </c>
      <c r="B173" s="9" t="s">
        <v>172</v>
      </c>
      <c r="C173" s="9" t="s">
        <v>138</v>
      </c>
      <c r="D173" s="17">
        <v>10324</v>
      </c>
      <c r="E173" s="9" t="s">
        <v>165</v>
      </c>
      <c r="F173" s="9" t="s">
        <v>166</v>
      </c>
    </row>
    <row r="174" spans="1:6" ht="15" customHeight="1" x14ac:dyDescent="0.3">
      <c r="A174" s="16">
        <v>46266</v>
      </c>
      <c r="B174" s="9" t="s">
        <v>173</v>
      </c>
      <c r="C174" s="9" t="s">
        <v>143</v>
      </c>
      <c r="D174" s="17">
        <v>2923</v>
      </c>
      <c r="E174" s="9" t="s">
        <v>174</v>
      </c>
      <c r="F174" s="9" t="s">
        <v>175</v>
      </c>
    </row>
    <row r="175" spans="1:6" ht="15" customHeight="1" x14ac:dyDescent="0.3">
      <c r="A175" s="16">
        <v>46266</v>
      </c>
      <c r="B175" s="9" t="s">
        <v>176</v>
      </c>
      <c r="C175" s="9" t="s">
        <v>147</v>
      </c>
      <c r="D175" s="17">
        <v>201</v>
      </c>
      <c r="E175" s="9" t="s">
        <v>177</v>
      </c>
      <c r="F175" s="9" t="s">
        <v>178</v>
      </c>
    </row>
    <row r="176" spans="1:6" ht="15" customHeight="1" x14ac:dyDescent="0.3">
      <c r="A176" s="16">
        <v>46296</v>
      </c>
      <c r="B176" s="9" t="s">
        <v>164</v>
      </c>
      <c r="C176" s="9" t="s">
        <v>138</v>
      </c>
      <c r="D176" s="17">
        <v>287926</v>
      </c>
      <c r="E176" s="9" t="s">
        <v>165</v>
      </c>
      <c r="F176" s="9" t="s">
        <v>166</v>
      </c>
    </row>
    <row r="177" spans="1:6" ht="15" customHeight="1" x14ac:dyDescent="0.3">
      <c r="A177" s="16">
        <v>46296</v>
      </c>
      <c r="B177" s="9" t="s">
        <v>167</v>
      </c>
      <c r="C177" s="9" t="s">
        <v>138</v>
      </c>
      <c r="D177" s="17">
        <v>226684</v>
      </c>
      <c r="E177" s="9" t="s">
        <v>165</v>
      </c>
      <c r="F177" s="9" t="s">
        <v>166</v>
      </c>
    </row>
    <row r="178" spans="1:6" ht="15" customHeight="1" x14ac:dyDescent="0.3">
      <c r="A178" s="16">
        <v>46296</v>
      </c>
      <c r="B178" s="9" t="s">
        <v>168</v>
      </c>
      <c r="C178" s="9" t="s">
        <v>138</v>
      </c>
      <c r="D178" s="17">
        <v>98976</v>
      </c>
      <c r="E178" s="9" t="s">
        <v>165</v>
      </c>
      <c r="F178" s="9" t="s">
        <v>166</v>
      </c>
    </row>
    <row r="179" spans="1:6" ht="15" customHeight="1" x14ac:dyDescent="0.3">
      <c r="A179" s="16">
        <v>46296</v>
      </c>
      <c r="B179" s="9" t="s">
        <v>169</v>
      </c>
      <c r="C179" s="9" t="s">
        <v>138</v>
      </c>
      <c r="D179" s="17">
        <v>60265</v>
      </c>
      <c r="E179" s="9" t="s">
        <v>165</v>
      </c>
      <c r="F179" s="9" t="s">
        <v>166</v>
      </c>
    </row>
    <row r="180" spans="1:6" ht="15" customHeight="1" x14ac:dyDescent="0.3">
      <c r="A180" s="16">
        <v>46296</v>
      </c>
      <c r="B180" s="9" t="s">
        <v>170</v>
      </c>
      <c r="C180" s="9" t="s">
        <v>138</v>
      </c>
      <c r="D180" s="17">
        <v>40631</v>
      </c>
      <c r="E180" s="9" t="s">
        <v>165</v>
      </c>
      <c r="F180" s="9" t="s">
        <v>166</v>
      </c>
    </row>
    <row r="181" spans="1:6" ht="15" customHeight="1" x14ac:dyDescent="0.3">
      <c r="A181" s="16">
        <v>46296</v>
      </c>
      <c r="B181" s="9" t="s">
        <v>171</v>
      </c>
      <c r="C181" s="9" t="s">
        <v>138</v>
      </c>
      <c r="D181" s="17">
        <v>16423</v>
      </c>
      <c r="E181" s="9" t="s">
        <v>165</v>
      </c>
      <c r="F181" s="9" t="s">
        <v>166</v>
      </c>
    </row>
    <row r="182" spans="1:6" ht="15" customHeight="1" x14ac:dyDescent="0.3">
      <c r="A182" s="16">
        <v>46296</v>
      </c>
      <c r="B182" s="9" t="s">
        <v>172</v>
      </c>
      <c r="C182" s="9" t="s">
        <v>138</v>
      </c>
      <c r="D182" s="17">
        <v>10798</v>
      </c>
      <c r="E182" s="9" t="s">
        <v>165</v>
      </c>
      <c r="F182" s="9" t="s">
        <v>166</v>
      </c>
    </row>
    <row r="183" spans="1:6" ht="15" customHeight="1" x14ac:dyDescent="0.3">
      <c r="A183" s="16">
        <v>46296</v>
      </c>
      <c r="B183" s="9" t="s">
        <v>173</v>
      </c>
      <c r="C183" s="9" t="s">
        <v>143</v>
      </c>
      <c r="D183" s="17">
        <v>2836</v>
      </c>
      <c r="E183" s="9" t="s">
        <v>174</v>
      </c>
      <c r="F183" s="9" t="s">
        <v>175</v>
      </c>
    </row>
    <row r="184" spans="1:6" ht="15" customHeight="1" x14ac:dyDescent="0.3">
      <c r="A184" s="16">
        <v>46296</v>
      </c>
      <c r="B184" s="9" t="s">
        <v>176</v>
      </c>
      <c r="C184" s="9" t="s">
        <v>147</v>
      </c>
      <c r="D184" s="17">
        <v>160</v>
      </c>
      <c r="E184" s="9" t="s">
        <v>177</v>
      </c>
      <c r="F184" s="9" t="s">
        <v>178</v>
      </c>
    </row>
    <row r="185" spans="1:6" ht="15" customHeight="1" x14ac:dyDescent="0.3">
      <c r="A185" s="16">
        <v>46327</v>
      </c>
      <c r="B185" s="9" t="s">
        <v>164</v>
      </c>
      <c r="C185" s="9" t="s">
        <v>138</v>
      </c>
      <c r="D185" s="17">
        <v>275392</v>
      </c>
      <c r="E185" s="9" t="s">
        <v>165</v>
      </c>
      <c r="F185" s="9" t="s">
        <v>166</v>
      </c>
    </row>
    <row r="186" spans="1:6" ht="15" customHeight="1" x14ac:dyDescent="0.3">
      <c r="A186" s="16">
        <v>46327</v>
      </c>
      <c r="B186" s="9" t="s">
        <v>167</v>
      </c>
      <c r="C186" s="9" t="s">
        <v>138</v>
      </c>
      <c r="D186" s="17">
        <v>219160</v>
      </c>
      <c r="E186" s="9" t="s">
        <v>165</v>
      </c>
      <c r="F186" s="9" t="s">
        <v>166</v>
      </c>
    </row>
    <row r="187" spans="1:6" ht="15" customHeight="1" x14ac:dyDescent="0.3">
      <c r="A187" s="16">
        <v>46327</v>
      </c>
      <c r="B187" s="9" t="s">
        <v>168</v>
      </c>
      <c r="C187" s="9" t="s">
        <v>138</v>
      </c>
      <c r="D187" s="17">
        <v>86366</v>
      </c>
      <c r="E187" s="9" t="s">
        <v>165</v>
      </c>
      <c r="F187" s="9" t="s">
        <v>166</v>
      </c>
    </row>
    <row r="188" spans="1:6" ht="15" customHeight="1" x14ac:dyDescent="0.3">
      <c r="A188" s="16">
        <v>46327</v>
      </c>
      <c r="B188" s="9" t="s">
        <v>169</v>
      </c>
      <c r="C188" s="9" t="s">
        <v>138</v>
      </c>
      <c r="D188" s="17">
        <v>47167</v>
      </c>
      <c r="E188" s="9" t="s">
        <v>165</v>
      </c>
      <c r="F188" s="9" t="s">
        <v>166</v>
      </c>
    </row>
    <row r="189" spans="1:6" ht="15" customHeight="1" x14ac:dyDescent="0.3">
      <c r="A189" s="16">
        <v>46327</v>
      </c>
      <c r="B189" s="9" t="s">
        <v>170</v>
      </c>
      <c r="C189" s="9" t="s">
        <v>138</v>
      </c>
      <c r="D189" s="17">
        <v>45808</v>
      </c>
      <c r="E189" s="9" t="s">
        <v>165</v>
      </c>
      <c r="F189" s="9" t="s">
        <v>166</v>
      </c>
    </row>
    <row r="190" spans="1:6" ht="15" customHeight="1" x14ac:dyDescent="0.3">
      <c r="A190" s="16">
        <v>46327</v>
      </c>
      <c r="B190" s="9" t="s">
        <v>171</v>
      </c>
      <c r="C190" s="9" t="s">
        <v>138</v>
      </c>
      <c r="D190" s="17">
        <v>13956</v>
      </c>
      <c r="E190" s="9" t="s">
        <v>165</v>
      </c>
      <c r="F190" s="9" t="s">
        <v>166</v>
      </c>
    </row>
    <row r="191" spans="1:6" ht="15" customHeight="1" x14ac:dyDescent="0.3">
      <c r="A191" s="16">
        <v>46327</v>
      </c>
      <c r="B191" s="9" t="s">
        <v>172</v>
      </c>
      <c r="C191" s="9" t="s">
        <v>138</v>
      </c>
      <c r="D191" s="17">
        <v>9813</v>
      </c>
      <c r="E191" s="9" t="s">
        <v>165</v>
      </c>
      <c r="F191" s="9" t="s">
        <v>166</v>
      </c>
    </row>
    <row r="192" spans="1:6" ht="15" customHeight="1" x14ac:dyDescent="0.3">
      <c r="A192" s="16">
        <v>46327</v>
      </c>
      <c r="B192" s="9" t="s">
        <v>173</v>
      </c>
      <c r="C192" s="9" t="s">
        <v>143</v>
      </c>
      <c r="D192" s="17">
        <v>2328</v>
      </c>
      <c r="E192" s="9" t="s">
        <v>174</v>
      </c>
      <c r="F192" s="9" t="s">
        <v>175</v>
      </c>
    </row>
    <row r="193" spans="1:6" ht="15" customHeight="1" x14ac:dyDescent="0.3">
      <c r="A193" s="16">
        <v>46327</v>
      </c>
      <c r="B193" s="9" t="s">
        <v>176</v>
      </c>
      <c r="C193" s="9" t="s">
        <v>147</v>
      </c>
      <c r="D193" s="17">
        <v>176</v>
      </c>
      <c r="E193" s="9" t="s">
        <v>177</v>
      </c>
      <c r="F193" s="9" t="s">
        <v>178</v>
      </c>
    </row>
    <row r="194" spans="1:6" ht="15" customHeight="1" x14ac:dyDescent="0.3">
      <c r="A194" s="16">
        <v>46357</v>
      </c>
      <c r="B194" s="9" t="s">
        <v>164</v>
      </c>
      <c r="C194" s="9" t="s">
        <v>138</v>
      </c>
      <c r="D194" s="17">
        <v>286521</v>
      </c>
      <c r="E194" s="9" t="s">
        <v>165</v>
      </c>
      <c r="F194" s="9" t="s">
        <v>166</v>
      </c>
    </row>
    <row r="195" spans="1:6" ht="15" customHeight="1" x14ac:dyDescent="0.3">
      <c r="A195" s="16">
        <v>46357</v>
      </c>
      <c r="B195" s="9" t="s">
        <v>167</v>
      </c>
      <c r="C195" s="9" t="s">
        <v>138</v>
      </c>
      <c r="D195" s="17">
        <v>197345</v>
      </c>
      <c r="E195" s="9" t="s">
        <v>165</v>
      </c>
      <c r="F195" s="9" t="s">
        <v>166</v>
      </c>
    </row>
    <row r="196" spans="1:6" ht="15" customHeight="1" x14ac:dyDescent="0.3">
      <c r="A196" s="16">
        <v>46357</v>
      </c>
      <c r="B196" s="9" t="s">
        <v>168</v>
      </c>
      <c r="C196" s="9" t="s">
        <v>138</v>
      </c>
      <c r="D196" s="17">
        <v>79474</v>
      </c>
      <c r="E196" s="9" t="s">
        <v>165</v>
      </c>
      <c r="F196" s="9" t="s">
        <v>166</v>
      </c>
    </row>
    <row r="197" spans="1:6" ht="15" customHeight="1" x14ac:dyDescent="0.3">
      <c r="A197" s="16">
        <v>46357</v>
      </c>
      <c r="B197" s="9" t="s">
        <v>169</v>
      </c>
      <c r="C197" s="9" t="s">
        <v>138</v>
      </c>
      <c r="D197" s="17">
        <v>38953</v>
      </c>
      <c r="E197" s="9" t="s">
        <v>165</v>
      </c>
      <c r="F197" s="9" t="s">
        <v>166</v>
      </c>
    </row>
    <row r="198" spans="1:6" ht="15" customHeight="1" x14ac:dyDescent="0.3">
      <c r="A198" s="16">
        <v>46357</v>
      </c>
      <c r="B198" s="9" t="s">
        <v>170</v>
      </c>
      <c r="C198" s="9" t="s">
        <v>138</v>
      </c>
      <c r="D198" s="17">
        <v>49119</v>
      </c>
      <c r="E198" s="9" t="s">
        <v>165</v>
      </c>
      <c r="F198" s="9" t="s">
        <v>166</v>
      </c>
    </row>
    <row r="199" spans="1:6" ht="15" customHeight="1" x14ac:dyDescent="0.3">
      <c r="A199" s="16">
        <v>46357</v>
      </c>
      <c r="B199" s="9" t="s">
        <v>171</v>
      </c>
      <c r="C199" s="9" t="s">
        <v>138</v>
      </c>
      <c r="D199" s="17">
        <v>13206</v>
      </c>
      <c r="E199" s="9" t="s">
        <v>165</v>
      </c>
      <c r="F199" s="9" t="s">
        <v>166</v>
      </c>
    </row>
    <row r="200" spans="1:6" ht="15" customHeight="1" x14ac:dyDescent="0.3">
      <c r="A200" s="16">
        <v>46357</v>
      </c>
      <c r="B200" s="9" t="s">
        <v>172</v>
      </c>
      <c r="C200" s="9" t="s">
        <v>138</v>
      </c>
      <c r="D200" s="17">
        <v>11356</v>
      </c>
      <c r="E200" s="9" t="s">
        <v>165</v>
      </c>
      <c r="F200" s="9" t="s">
        <v>166</v>
      </c>
    </row>
    <row r="201" spans="1:6" ht="15" customHeight="1" x14ac:dyDescent="0.3">
      <c r="A201" s="16">
        <v>46357</v>
      </c>
      <c r="B201" s="9" t="s">
        <v>173</v>
      </c>
      <c r="C201" s="9" t="s">
        <v>143</v>
      </c>
      <c r="D201" s="17">
        <v>2348</v>
      </c>
      <c r="E201" s="9" t="s">
        <v>174</v>
      </c>
      <c r="F201" s="9" t="s">
        <v>175</v>
      </c>
    </row>
    <row r="202" spans="1:6" ht="15" customHeight="1" x14ac:dyDescent="0.3">
      <c r="A202" s="16">
        <v>46357</v>
      </c>
      <c r="B202" s="9" t="s">
        <v>176</v>
      </c>
      <c r="C202" s="9" t="s">
        <v>147</v>
      </c>
      <c r="D202" s="17">
        <v>189</v>
      </c>
      <c r="E202" s="9" t="s">
        <v>177</v>
      </c>
      <c r="F202" s="9" t="s">
        <v>178</v>
      </c>
    </row>
  </sheetData>
  <conditionalFormatting sqref="F5:F402">
    <cfRule type="expression" dxfId="9" priority="1">
      <formula>ISNUMBER(SEARCH("Estimado",F5))</formula>
    </cfRule>
    <cfRule type="expression" dxfId="8" priority="2">
      <formula>ISNUMBER(SEARCH("Medido",F5))</formula>
    </cfRule>
  </conditionalFormatting>
  <dataValidations count="1">
    <dataValidation type="list" allowBlank="1" showErrorMessage="1" errorTitle="Valor inválido" error="Valor fora da lista controlada (ver folha Listas)." sqref="B5:B402" xr:uid="{00000000-0002-0000-0300-000000000000}">
      <formula1>lst_Uso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0" customWidth="1"/>
    <col min="3" max="3" width="16" customWidth="1"/>
    <col min="4" max="4" width="24" customWidth="1"/>
    <col min="5" max="5" width="11" customWidth="1"/>
    <col min="6" max="6" width="8" customWidth="1"/>
    <col min="7" max="7" width="7" customWidth="1"/>
    <col min="8" max="8" width="9" customWidth="1"/>
    <col min="9" max="9" width="10" customWidth="1"/>
    <col min="10" max="11" width="9" customWidth="1"/>
    <col min="12" max="12" width="7" customWidth="1"/>
    <col min="13" max="14" width="16" customWidth="1"/>
  </cols>
  <sheetData>
    <row r="1" spans="1:14" ht="17.399999999999999" x14ac:dyDescent="0.3">
      <c r="A1" s="1" t="s">
        <v>179</v>
      </c>
    </row>
    <row r="2" spans="1:14" x14ac:dyDescent="0.3">
      <c r="A2" s="2" t="s">
        <v>180</v>
      </c>
    </row>
    <row r="4" spans="1:14" ht="39.6" x14ac:dyDescent="0.3">
      <c r="A4" s="8" t="s">
        <v>162</v>
      </c>
      <c r="B4" s="8" t="s">
        <v>181</v>
      </c>
      <c r="C4" s="8" t="s">
        <v>127</v>
      </c>
      <c r="D4" s="8" t="s">
        <v>182</v>
      </c>
      <c r="E4" s="11" t="s">
        <v>135</v>
      </c>
      <c r="F4" s="11" t="s">
        <v>183</v>
      </c>
      <c r="G4" s="11" t="s">
        <v>184</v>
      </c>
      <c r="H4" s="11" t="s">
        <v>185</v>
      </c>
      <c r="I4" s="11" t="s">
        <v>186</v>
      </c>
      <c r="J4" s="11" t="s">
        <v>187</v>
      </c>
      <c r="K4" s="11" t="s">
        <v>188</v>
      </c>
      <c r="L4" s="11" t="s">
        <v>189</v>
      </c>
      <c r="M4" s="8" t="s">
        <v>163</v>
      </c>
      <c r="N4" s="8" t="s">
        <v>190</v>
      </c>
    </row>
    <row r="5" spans="1:14" ht="30" customHeight="1" x14ac:dyDescent="0.3">
      <c r="A5" s="9" t="s">
        <v>164</v>
      </c>
      <c r="B5" s="9" t="s">
        <v>191</v>
      </c>
      <c r="C5" s="9" t="s">
        <v>192</v>
      </c>
      <c r="D5" s="9" t="s">
        <v>193</v>
      </c>
      <c r="E5" s="13">
        <f>IF(A5="","",SUMIFS(tbl_consumo_uso[kWh],tbl_consumo_uso[ID_Uso],A5,tbl_consumo_uso[Mes],"&gt;="&amp;DATE(2026,1,1)))</f>
        <v>3137163</v>
      </c>
      <c r="F5" s="14">
        <f t="shared" ref="F5:F13" si="0">IF(A5="","",E5/SUM($E$5:$E$13))</f>
        <v>0.40139538103262906</v>
      </c>
      <c r="G5" s="18">
        <f t="shared" ref="G5:G13" si="1">IF(A5="","",RANK(E5,$E$5:$E$13,0))</f>
        <v>1</v>
      </c>
      <c r="H5" s="14">
        <f t="shared" ref="H5:H13" si="2">IF(A5="","",SUMIF($E$5:$E$13,"&gt;="&amp;E5)/SUM($E$5:$E$13))</f>
        <v>0.40139538103262906</v>
      </c>
      <c r="I5" s="13">
        <f>IF(A5="","",SUMPRODUCT(ISNUMBER(SEARCH(A5&amp;";",tbl_oportunidades[Usos_Afetados]&amp;";"))*tbl_oportunidades[Poupanca_MWh_Parcela]))</f>
        <v>327.48672000000005</v>
      </c>
      <c r="J5" s="19" t="str">
        <f t="shared" ref="J5:J13" si="3">IF(A5="","",IF(F5&gt;=crit_use_pct,"Sim","Não"))</f>
        <v>Sim</v>
      </c>
      <c r="K5" s="19" t="str">
        <f t="shared" ref="K5:K13" si="4">IF(A5="","",IF(I5&gt;=crit_use_pot,"Sim","Não"))</f>
        <v>Sim</v>
      </c>
      <c r="L5" s="19" t="str">
        <f t="shared" ref="L5:L13" si="5">IF(A5="","",IF(OR(J5="Sim",K5="Sim"),"USE","—"))</f>
        <v>USE</v>
      </c>
      <c r="M5" s="9" t="s">
        <v>166</v>
      </c>
      <c r="N5" s="9" t="s">
        <v>194</v>
      </c>
    </row>
    <row r="6" spans="1:14" ht="30" customHeight="1" x14ac:dyDescent="0.3">
      <c r="A6" s="9" t="s">
        <v>167</v>
      </c>
      <c r="B6" s="9" t="s">
        <v>195</v>
      </c>
      <c r="C6" s="9" t="s">
        <v>192</v>
      </c>
      <c r="D6" s="9" t="s">
        <v>196</v>
      </c>
      <c r="E6" s="13">
        <f>IF(A6="","",SUMIFS(tbl_consumo_uso[kWh],tbl_consumo_uso[ID_Uso],A6,tbl_consumo_uso[Mes],"&gt;="&amp;DATE(2026,1,1)))</f>
        <v>2186144</v>
      </c>
      <c r="F6" s="14">
        <f t="shared" si="0"/>
        <v>0.27971390197837848</v>
      </c>
      <c r="G6" s="18">
        <f t="shared" si="1"/>
        <v>2</v>
      </c>
      <c r="H6" s="14">
        <f t="shared" si="2"/>
        <v>0.68110928301100759</v>
      </c>
      <c r="I6" s="13">
        <f>IF(A6="","",SUMPRODUCT(ISNUMBER(SEARCH(A6&amp;";",tbl_oportunidades[Usos_Afetados]&amp;";"))*tbl_oportunidades[Poupanca_MWh_Parcela]))</f>
        <v>392.08402999999998</v>
      </c>
      <c r="J6" s="19" t="str">
        <f t="shared" si="3"/>
        <v>Sim</v>
      </c>
      <c r="K6" s="19" t="str">
        <f t="shared" si="4"/>
        <v>Sim</v>
      </c>
      <c r="L6" s="19" t="str">
        <f t="shared" si="5"/>
        <v>USE</v>
      </c>
      <c r="M6" s="9" t="s">
        <v>166</v>
      </c>
      <c r="N6" s="9" t="s">
        <v>197</v>
      </c>
    </row>
    <row r="7" spans="1:14" ht="30" customHeight="1" x14ac:dyDescent="0.3">
      <c r="A7" s="9" t="s">
        <v>168</v>
      </c>
      <c r="B7" s="9" t="s">
        <v>198</v>
      </c>
      <c r="C7" s="9" t="s">
        <v>192</v>
      </c>
      <c r="D7" s="9" t="s">
        <v>199</v>
      </c>
      <c r="E7" s="13">
        <f>IF(A7="","",SUMIFS(tbl_consumo_uso[kWh],tbl_consumo_uso[ID_Uso],A7,tbl_consumo_uso[Mes],"&gt;="&amp;DATE(2026,1,1)))</f>
        <v>1035153</v>
      </c>
      <c r="F7" s="14">
        <f t="shared" si="0"/>
        <v>0.13244630032359461</v>
      </c>
      <c r="G7" s="18">
        <f t="shared" si="1"/>
        <v>3</v>
      </c>
      <c r="H7" s="14">
        <f t="shared" si="2"/>
        <v>0.81355558333460221</v>
      </c>
      <c r="I7" s="13">
        <f>IF(A7="","",SUMPRODUCT(ISNUMBER(SEARCH(A7&amp;";",tbl_oportunidades[Usos_Afetados]&amp;";"))*tbl_oportunidades[Poupanca_MWh_Parcela]))</f>
        <v>331.24895999999995</v>
      </c>
      <c r="J7" s="19" t="str">
        <f t="shared" si="3"/>
        <v>Sim</v>
      </c>
      <c r="K7" s="19" t="str">
        <f t="shared" si="4"/>
        <v>Sim</v>
      </c>
      <c r="L7" s="19" t="str">
        <f t="shared" si="5"/>
        <v>USE</v>
      </c>
      <c r="M7" s="9" t="s">
        <v>166</v>
      </c>
      <c r="N7" s="9" t="s">
        <v>200</v>
      </c>
    </row>
    <row r="8" spans="1:14" ht="30" customHeight="1" x14ac:dyDescent="0.3">
      <c r="A8" s="9" t="s">
        <v>169</v>
      </c>
      <c r="B8" s="9" t="s">
        <v>201</v>
      </c>
      <c r="C8" s="9" t="s">
        <v>192</v>
      </c>
      <c r="D8" s="9" t="s">
        <v>202</v>
      </c>
      <c r="E8" s="13">
        <f>IF(A8="","",SUMIFS(tbl_consumo_uso[kWh],tbl_consumo_uso[ID_Uso],A8,tbl_consumo_uso[Mes],"&gt;="&amp;DATE(2026,1,1)))</f>
        <v>585183</v>
      </c>
      <c r="F8" s="14">
        <f t="shared" si="0"/>
        <v>7.4873302171043377E-2</v>
      </c>
      <c r="G8" s="18">
        <f t="shared" si="1"/>
        <v>4</v>
      </c>
      <c r="H8" s="14">
        <f t="shared" si="2"/>
        <v>0.88842888550564558</v>
      </c>
      <c r="I8" s="13">
        <f>IF(A8="","",SUMPRODUCT(ISNUMBER(SEARCH(A8&amp;";",tbl_oportunidades[Usos_Afetados]&amp;";"))*tbl_oportunidades[Poupanca_MWh_Parcela]))</f>
        <v>245.77686</v>
      </c>
      <c r="J8" s="19" t="str">
        <f t="shared" si="3"/>
        <v>Não</v>
      </c>
      <c r="K8" s="19" t="str">
        <f t="shared" si="4"/>
        <v>Sim</v>
      </c>
      <c r="L8" s="19" t="str">
        <f t="shared" si="5"/>
        <v>USE</v>
      </c>
      <c r="M8" s="9" t="s">
        <v>166</v>
      </c>
      <c r="N8" s="9"/>
    </row>
    <row r="9" spans="1:14" ht="30" customHeight="1" x14ac:dyDescent="0.3">
      <c r="A9" s="9" t="s">
        <v>170</v>
      </c>
      <c r="B9" s="9" t="s">
        <v>203</v>
      </c>
      <c r="C9" s="9" t="s">
        <v>192</v>
      </c>
      <c r="D9" s="9" t="s">
        <v>204</v>
      </c>
      <c r="E9" s="13">
        <f>IF(A9="","",SUMIFS(tbl_consumo_uso[kWh],tbl_consumo_uso[ID_Uso],A9,tbl_consumo_uso[Mes],"&gt;="&amp;DATE(2026,1,1)))</f>
        <v>553890</v>
      </c>
      <c r="F9" s="14">
        <f t="shared" si="0"/>
        <v>7.0869408953300447E-2</v>
      </c>
      <c r="G9" s="18">
        <f t="shared" si="1"/>
        <v>5</v>
      </c>
      <c r="H9" s="14">
        <f t="shared" si="2"/>
        <v>0.95929829445894599</v>
      </c>
      <c r="I9" s="13">
        <f>IF(A9="","",SUMPRODUCT(ISNUMBER(SEARCH(A9&amp;";",tbl_oportunidades[Usos_Afetados]&amp;";"))*tbl_oportunidades[Poupanca_MWh_Parcela]))</f>
        <v>88.622399999999999</v>
      </c>
      <c r="J9" s="19" t="str">
        <f t="shared" si="3"/>
        <v>Não</v>
      </c>
      <c r="K9" s="19" t="str">
        <f t="shared" si="4"/>
        <v>Não</v>
      </c>
      <c r="L9" s="19" t="str">
        <f t="shared" si="5"/>
        <v>—</v>
      </c>
      <c r="M9" s="9" t="s">
        <v>166</v>
      </c>
      <c r="N9" s="9" t="s">
        <v>205</v>
      </c>
    </row>
    <row r="10" spans="1:14" ht="30" customHeight="1" x14ac:dyDescent="0.3">
      <c r="A10" s="9" t="s">
        <v>171</v>
      </c>
      <c r="B10" s="9" t="s">
        <v>206</v>
      </c>
      <c r="C10" s="9" t="s">
        <v>192</v>
      </c>
      <c r="D10" s="9" t="s">
        <v>207</v>
      </c>
      <c r="E10" s="13">
        <f>IF(A10="","",SUMIFS(tbl_consumo_uso[kWh],tbl_consumo_uso[ID_Uso],A10,tbl_consumo_uso[Mes],"&gt;="&amp;DATE(2026,1,1)))</f>
        <v>163765</v>
      </c>
      <c r="F10" s="14">
        <f t="shared" si="0"/>
        <v>2.0953490327027476E-2</v>
      </c>
      <c r="G10" s="18">
        <f t="shared" si="1"/>
        <v>6</v>
      </c>
      <c r="H10" s="14">
        <f t="shared" si="2"/>
        <v>0.98025178478597341</v>
      </c>
      <c r="I10" s="13">
        <f>IF(A10="","",SUMPRODUCT(ISNUMBER(SEARCH(A10&amp;";",tbl_oportunidades[Usos_Afetados]&amp;";"))*tbl_oportunidades[Poupanca_MWh_Parcela]))</f>
        <v>28.035705</v>
      </c>
      <c r="J10" s="19" t="str">
        <f t="shared" si="3"/>
        <v>Não</v>
      </c>
      <c r="K10" s="19" t="str">
        <f t="shared" si="4"/>
        <v>Não</v>
      </c>
      <c r="L10" s="19" t="str">
        <f t="shared" si="5"/>
        <v>—</v>
      </c>
      <c r="M10" s="9" t="s">
        <v>166</v>
      </c>
      <c r="N10" s="9"/>
    </row>
    <row r="11" spans="1:14" ht="30" customHeight="1" x14ac:dyDescent="0.3">
      <c r="A11" s="9" t="s">
        <v>172</v>
      </c>
      <c r="B11" s="9" t="s">
        <v>208</v>
      </c>
      <c r="C11" s="9" t="s">
        <v>192</v>
      </c>
      <c r="D11" s="9" t="s">
        <v>209</v>
      </c>
      <c r="E11" s="13">
        <f>IF(A11="","",SUMIFS(tbl_consumo_uso[kWh],tbl_consumo_uso[ID_Uso],A11,tbl_consumo_uso[Mes],"&gt;="&amp;DATE(2026,1,1)))</f>
        <v>120069</v>
      </c>
      <c r="F11" s="14">
        <f t="shared" si="0"/>
        <v>1.536265154383331E-2</v>
      </c>
      <c r="G11" s="18">
        <f t="shared" si="1"/>
        <v>7</v>
      </c>
      <c r="H11" s="14">
        <f t="shared" si="2"/>
        <v>0.99561443632980673</v>
      </c>
      <c r="I11" s="13">
        <f>IF(A11="","",SUMPRODUCT(ISNUMBER(SEARCH(A11&amp;";",tbl_oportunidades[Usos_Afetados]&amp;";"))*tbl_oportunidades[Poupanca_MWh_Parcela]))</f>
        <v>28.035705</v>
      </c>
      <c r="J11" s="19" t="str">
        <f t="shared" si="3"/>
        <v>Não</v>
      </c>
      <c r="K11" s="19" t="str">
        <f t="shared" si="4"/>
        <v>Não</v>
      </c>
      <c r="L11" s="19" t="str">
        <f t="shared" si="5"/>
        <v>—</v>
      </c>
      <c r="M11" s="9" t="s">
        <v>166</v>
      </c>
      <c r="N11" s="9" t="s">
        <v>210</v>
      </c>
    </row>
    <row r="12" spans="1:14" ht="30" customHeight="1" x14ac:dyDescent="0.3">
      <c r="A12" s="9" t="s">
        <v>173</v>
      </c>
      <c r="B12" s="9" t="s">
        <v>211</v>
      </c>
      <c r="C12" s="9" t="s">
        <v>212</v>
      </c>
      <c r="D12" s="9" t="s">
        <v>213</v>
      </c>
      <c r="E12" s="13">
        <f>IF(A12="","",SUMIFS(tbl_consumo_uso[kWh],tbl_consumo_uso[ID_Uso],A12,tbl_consumo_uso[Mes],"&gt;="&amp;DATE(2026,1,1)))</f>
        <v>32091</v>
      </c>
      <c r="F12" s="14">
        <f t="shared" si="0"/>
        <v>4.1059961413283594E-3</v>
      </c>
      <c r="G12" s="18">
        <f t="shared" si="1"/>
        <v>8</v>
      </c>
      <c r="H12" s="14">
        <f t="shared" si="2"/>
        <v>0.99972043247113518</v>
      </c>
      <c r="I12" s="13">
        <f>IF(A12="","",SUMPRODUCT(ISNUMBER(SEARCH(A12&amp;";",tbl_oportunidades[Usos_Afetados]&amp;";"))*tbl_oportunidades[Poupanca_MWh_Parcela]))</f>
        <v>0</v>
      </c>
      <c r="J12" s="19" t="str">
        <f t="shared" si="3"/>
        <v>Não</v>
      </c>
      <c r="K12" s="19" t="str">
        <f t="shared" si="4"/>
        <v>Não</v>
      </c>
      <c r="L12" s="19" t="str">
        <f t="shared" si="5"/>
        <v>—</v>
      </c>
      <c r="M12" s="9" t="s">
        <v>175</v>
      </c>
      <c r="N12" s="9"/>
    </row>
    <row r="13" spans="1:14" ht="30" customHeight="1" x14ac:dyDescent="0.3">
      <c r="A13" s="9" t="s">
        <v>176</v>
      </c>
      <c r="B13" s="9" t="s">
        <v>214</v>
      </c>
      <c r="C13" s="9" t="s">
        <v>215</v>
      </c>
      <c r="D13" s="9" t="s">
        <v>216</v>
      </c>
      <c r="E13" s="13">
        <f>IF(A13="","",SUMIFS(tbl_consumo_uso[kWh],tbl_consumo_uso[ID_Uso],A13,tbl_consumo_uso[Mes],"&gt;="&amp;DATE(2026,1,1)))</f>
        <v>2185</v>
      </c>
      <c r="F13" s="14">
        <f t="shared" si="0"/>
        <v>2.7956752886486752E-4</v>
      </c>
      <c r="G13" s="18">
        <f t="shared" si="1"/>
        <v>9</v>
      </c>
      <c r="H13" s="14">
        <f t="shared" si="2"/>
        <v>1</v>
      </c>
      <c r="I13" s="13">
        <f>IF(A13="","",SUMPRODUCT(ISNUMBER(SEARCH(A13&amp;";",tbl_oportunidades[Usos_Afetados]&amp;";"))*tbl_oportunidades[Poupanca_MWh_Parcela]))</f>
        <v>0</v>
      </c>
      <c r="J13" s="19" t="str">
        <f t="shared" si="3"/>
        <v>Não</v>
      </c>
      <c r="K13" s="19" t="str">
        <f t="shared" si="4"/>
        <v>Não</v>
      </c>
      <c r="L13" s="19" t="str">
        <f t="shared" si="5"/>
        <v>—</v>
      </c>
      <c r="M13" s="9" t="s">
        <v>178</v>
      </c>
      <c r="N13" s="9"/>
    </row>
  </sheetData>
  <conditionalFormatting sqref="J5:K213">
    <cfRule type="expression" dxfId="7" priority="2">
      <formula>ISNUMBER(SEARCH("Sim",J5))</formula>
    </cfRule>
  </conditionalFormatting>
  <conditionalFormatting sqref="L5:L213">
    <cfRule type="expression" dxfId="6" priority="1">
      <formula>ISNUMBER(SEARCH("USE",L5))</formula>
    </cfRule>
  </conditionalFormatting>
  <pageMargins left="0.75" right="0.75" top="1" bottom="1" header="0.5" footer="0.5"/>
  <pageSetup fitToHeight="0" orientation="landscape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8" customWidth="1"/>
    <col min="4" max="4" width="9" customWidth="1"/>
    <col min="5" max="5" width="40" customWidth="1"/>
    <col min="6" max="6" width="34" customWidth="1"/>
    <col min="7" max="8" width="44" customWidth="1"/>
    <col min="9" max="9" width="10" customWidth="1"/>
  </cols>
  <sheetData>
    <row r="1" spans="1:9" ht="17.399999999999999" x14ac:dyDescent="0.3">
      <c r="A1" s="1" t="s">
        <v>217</v>
      </c>
    </row>
    <row r="4" spans="1:9" ht="26.4" x14ac:dyDescent="0.3">
      <c r="A4" s="8" t="s">
        <v>218</v>
      </c>
      <c r="B4" s="8" t="s">
        <v>162</v>
      </c>
      <c r="C4" s="11" t="s">
        <v>219</v>
      </c>
      <c r="D4" s="11" t="s">
        <v>220</v>
      </c>
      <c r="E4" s="8" t="s">
        <v>221</v>
      </c>
      <c r="F4" s="8" t="s">
        <v>222</v>
      </c>
      <c r="G4" s="8" t="s">
        <v>223</v>
      </c>
      <c r="H4" s="8" t="s">
        <v>224</v>
      </c>
      <c r="I4" s="8" t="s">
        <v>225</v>
      </c>
    </row>
    <row r="5" spans="1:9" ht="60" customHeight="1" x14ac:dyDescent="0.3">
      <c r="A5" s="9" t="s">
        <v>226</v>
      </c>
      <c r="B5" s="9" t="s">
        <v>164</v>
      </c>
      <c r="C5" s="14">
        <f>IF(A5="","",IFERROR(INDEX(tbl_usos[Pct_Total],MATCH(B5,tbl_usos[ID_Uso],0)),""))</f>
        <v>0.40139538103262906</v>
      </c>
      <c r="D5" s="19" t="str">
        <f>IF(A5="","",IFERROR(INDEX(tbl_usos[E_USE],MATCH(B5,tbl_usos[ID_Uso],0)),""))</f>
        <v>USE</v>
      </c>
      <c r="E5" s="9" t="s">
        <v>227</v>
      </c>
      <c r="F5" s="9" t="s">
        <v>228</v>
      </c>
      <c r="G5" s="9" t="s">
        <v>229</v>
      </c>
      <c r="H5" s="9" t="s">
        <v>230</v>
      </c>
      <c r="I5" s="9" t="s">
        <v>231</v>
      </c>
    </row>
    <row r="6" spans="1:9" ht="60" customHeight="1" x14ac:dyDescent="0.3">
      <c r="A6" s="9" t="s">
        <v>232</v>
      </c>
      <c r="B6" s="9" t="s">
        <v>167</v>
      </c>
      <c r="C6" s="14">
        <f>IF(A6="","",IFERROR(INDEX(tbl_usos[Pct_Total],MATCH(B6,tbl_usos[ID_Uso],0)),""))</f>
        <v>0.27971390197837848</v>
      </c>
      <c r="D6" s="19" t="str">
        <f>IF(A6="","",IFERROR(INDEX(tbl_usos[E_USE],MATCH(B6,tbl_usos[ID_Uso],0)),""))</f>
        <v>USE</v>
      </c>
      <c r="E6" s="9" t="s">
        <v>233</v>
      </c>
      <c r="F6" s="9" t="s">
        <v>234</v>
      </c>
      <c r="G6" s="9" t="s">
        <v>235</v>
      </c>
      <c r="H6" s="9" t="s">
        <v>236</v>
      </c>
      <c r="I6" s="9" t="s">
        <v>237</v>
      </c>
    </row>
    <row r="7" spans="1:9" ht="60" customHeight="1" x14ac:dyDescent="0.3">
      <c r="A7" s="9" t="s">
        <v>238</v>
      </c>
      <c r="B7" s="9" t="s">
        <v>168</v>
      </c>
      <c r="C7" s="14">
        <f>IF(A7="","",IFERROR(INDEX(tbl_usos[Pct_Total],MATCH(B7,tbl_usos[ID_Uso],0)),""))</f>
        <v>0.13244630032359461</v>
      </c>
      <c r="D7" s="19" t="str">
        <f>IF(A7="","",IFERROR(INDEX(tbl_usos[E_USE],MATCH(B7,tbl_usos[ID_Uso],0)),""))</f>
        <v>USE</v>
      </c>
      <c r="E7" s="9" t="s">
        <v>239</v>
      </c>
      <c r="F7" s="9" t="s">
        <v>240</v>
      </c>
      <c r="G7" s="9" t="s">
        <v>241</v>
      </c>
      <c r="H7" s="9" t="s">
        <v>242</v>
      </c>
      <c r="I7" s="9" t="s">
        <v>243</v>
      </c>
    </row>
    <row r="8" spans="1:9" ht="60" customHeight="1" x14ac:dyDescent="0.3">
      <c r="A8" s="9" t="s">
        <v>244</v>
      </c>
      <c r="B8" s="9" t="s">
        <v>169</v>
      </c>
      <c r="C8" s="14">
        <f>IF(A8="","",IFERROR(INDEX(tbl_usos[Pct_Total],MATCH(B8,tbl_usos[ID_Uso],0)),""))</f>
        <v>7.4873302171043377E-2</v>
      </c>
      <c r="D8" s="19" t="str">
        <f>IF(A8="","",IFERROR(INDEX(tbl_usos[E_USE],MATCH(B8,tbl_usos[ID_Uso],0)),""))</f>
        <v>USE</v>
      </c>
      <c r="E8" s="9" t="s">
        <v>245</v>
      </c>
      <c r="F8" s="9" t="s">
        <v>246</v>
      </c>
      <c r="G8" s="9" t="s">
        <v>247</v>
      </c>
      <c r="H8" s="9" t="s">
        <v>248</v>
      </c>
      <c r="I8" s="9" t="s">
        <v>249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2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7" customWidth="1"/>
    <col min="3" max="3" width="8" customWidth="1"/>
    <col min="4" max="4" width="30" customWidth="1"/>
    <col min="5" max="5" width="11" customWidth="1"/>
    <col min="6" max="6" width="7" customWidth="1"/>
    <col min="7" max="9" width="9" customWidth="1"/>
    <col min="10" max="11" width="8" customWidth="1"/>
    <col min="12" max="14" width="9" customWidth="1"/>
    <col min="15" max="16" width="10" customWidth="1"/>
    <col min="17" max="17" width="11" customWidth="1"/>
    <col min="18" max="18" width="9" customWidth="1"/>
    <col min="19" max="19" width="12" customWidth="1"/>
  </cols>
  <sheetData>
    <row r="1" spans="1:19" ht="17.399999999999999" x14ac:dyDescent="0.3">
      <c r="A1" s="1" t="s">
        <v>250</v>
      </c>
    </row>
    <row r="2" spans="1:19" x14ac:dyDescent="0.3">
      <c r="A2" s="2" t="s">
        <v>251</v>
      </c>
    </row>
    <row r="4" spans="1:19" ht="39.6" x14ac:dyDescent="0.3">
      <c r="A4" s="8" t="s">
        <v>252</v>
      </c>
      <c r="B4" s="8" t="s">
        <v>253</v>
      </c>
      <c r="C4" s="8" t="s">
        <v>254</v>
      </c>
      <c r="D4" s="8" t="s">
        <v>255</v>
      </c>
      <c r="E4" s="8" t="s">
        <v>256</v>
      </c>
      <c r="F4" s="8" t="s">
        <v>257</v>
      </c>
      <c r="G4" s="8" t="s">
        <v>258</v>
      </c>
      <c r="H4" s="8" t="s">
        <v>259</v>
      </c>
      <c r="I4" s="8" t="s">
        <v>260</v>
      </c>
      <c r="J4" s="8" t="s">
        <v>261</v>
      </c>
      <c r="K4" s="11" t="s">
        <v>262</v>
      </c>
      <c r="L4" s="11" t="s">
        <v>263</v>
      </c>
      <c r="M4" s="11" t="s">
        <v>264</v>
      </c>
      <c r="N4" s="11" t="s">
        <v>265</v>
      </c>
      <c r="O4" s="11" t="s">
        <v>266</v>
      </c>
      <c r="P4" s="11" t="s">
        <v>135</v>
      </c>
      <c r="Q4" s="11" t="s">
        <v>267</v>
      </c>
      <c r="R4" s="11" t="s">
        <v>268</v>
      </c>
      <c r="S4" s="11" t="s">
        <v>269</v>
      </c>
    </row>
    <row r="5" spans="1:19" ht="16.05" customHeight="1" x14ac:dyDescent="0.3">
      <c r="A5" s="9" t="s">
        <v>270</v>
      </c>
      <c r="B5" s="9" t="s">
        <v>164</v>
      </c>
      <c r="C5" s="20">
        <v>2023</v>
      </c>
      <c r="D5" s="9" t="s">
        <v>271</v>
      </c>
      <c r="E5" s="16">
        <v>46181</v>
      </c>
      <c r="F5" s="20">
        <v>48</v>
      </c>
      <c r="G5" s="9" t="s">
        <v>272</v>
      </c>
      <c r="H5" s="12">
        <v>41.7</v>
      </c>
      <c r="I5" s="12">
        <v>12.8</v>
      </c>
      <c r="J5" s="12">
        <v>0.6</v>
      </c>
      <c r="K5" s="21">
        <f t="shared" ref="K5:K27" si="0">IF(A5="","",I5/H5)</f>
        <v>0.30695443645083931</v>
      </c>
      <c r="L5" s="21">
        <f t="shared" ref="L5:L27" si="1">IF(A5="","",H5/AVERAGEIFS($H$5:$H$27,$B$5:$B$27,B5)-1)</f>
        <v>-0.21734234234234218</v>
      </c>
      <c r="M5" s="13">
        <f>IF(A5="","",SUMIFS(tbl_energia_maquina[Horas_Marcha],tbl_energia_maquina[ID_Maquina],A5,tbl_energia_maquina[Mes],"&gt;="&amp;DATE(2026,1,1)))</f>
        <v>6448.1</v>
      </c>
      <c r="N5" s="13">
        <f>IF(A5="","",SUMIFS(tbl_energia_maquina[Horas_Paragem],tbl_energia_maquina[ID_Maquina],A5,tbl_energia_maquina[Mes],"&gt;="&amp;DATE(2026,1,1)))</f>
        <v>860.5</v>
      </c>
      <c r="O5" s="13">
        <f t="shared" ref="O5:O27" si="2">IF(A5="","",I5*N5)</f>
        <v>11014.400000000001</v>
      </c>
      <c r="P5" s="13">
        <f>IF(A5="","",SUMIFS(tbl_energia_maquina[kWh_Rateado],tbl_energia_maquina[ID_Maquina],A5,tbl_energia_maquina[Mes],"&gt;="&amp;DATE(2026,1,1)))</f>
        <v>262616</v>
      </c>
      <c r="Q5" s="13">
        <f>IF(A5="","",SUMIFS(tbl_energia_maquina[Unid],tbl_energia_maquina[ID_Maquina],A5,tbl_energia_maquina[Mes],"&gt;="&amp;DATE(2026,1,1)))</f>
        <v>3879448</v>
      </c>
      <c r="R5" s="15">
        <f t="shared" ref="R5:R27" si="3">IF(OR(A5="",Q5=0),"",P5/Q5*1000)</f>
        <v>67.694166798987908</v>
      </c>
      <c r="S5" s="19" t="str">
        <f t="shared" ref="S5:S27" si="4">IF(A5="","",IF(AND(L5&gt;0.15,K5&gt;0.5),"Alta",IF(OR(L5&gt;0.15,K5&gt;0.5),"Média","Baixa")))</f>
        <v>Baixa</v>
      </c>
    </row>
    <row r="6" spans="1:19" ht="16.05" customHeight="1" x14ac:dyDescent="0.3">
      <c r="A6" s="9" t="s">
        <v>273</v>
      </c>
      <c r="B6" s="9" t="s">
        <v>164</v>
      </c>
      <c r="C6" s="20">
        <v>2014</v>
      </c>
      <c r="D6" s="9" t="s">
        <v>274</v>
      </c>
      <c r="E6" s="16">
        <v>46181</v>
      </c>
      <c r="F6" s="20">
        <v>48</v>
      </c>
      <c r="G6" s="9" t="s">
        <v>272</v>
      </c>
      <c r="H6" s="12">
        <v>64.7</v>
      </c>
      <c r="I6" s="12">
        <v>39.1</v>
      </c>
      <c r="J6" s="12">
        <v>0.6</v>
      </c>
      <c r="K6" s="21">
        <f t="shared" si="0"/>
        <v>0.60432766615146827</v>
      </c>
      <c r="L6" s="21">
        <f t="shared" si="1"/>
        <v>0.21433933933933957</v>
      </c>
      <c r="M6" s="13">
        <f>IF(A6="","",SUMIFS(tbl_energia_maquina[Horas_Marcha],tbl_energia_maquina[ID_Maquina],A6,tbl_energia_maquina[Mes],"&gt;="&amp;DATE(2026,1,1)))</f>
        <v>6424.7999999999993</v>
      </c>
      <c r="N6" s="13">
        <f>IF(A6="","",SUMIFS(tbl_energia_maquina[Horas_Paragem],tbl_energia_maquina[ID_Maquina],A6,tbl_energia_maquina[Mes],"&gt;="&amp;DATE(2026,1,1)))</f>
        <v>847.19999999999993</v>
      </c>
      <c r="O6" s="13">
        <f t="shared" si="2"/>
        <v>33125.519999999997</v>
      </c>
      <c r="P6" s="13">
        <f>IF(A6="","",SUMIFS(tbl_energia_maquina[kWh_Rateado],tbl_energia_maquina[ID_Maquina],A6,tbl_energia_maquina[Mes],"&gt;="&amp;DATE(2026,1,1)))</f>
        <v>421037</v>
      </c>
      <c r="Q6" s="13">
        <f>IF(A6="","",SUMIFS(tbl_energia_maquina[Unid],tbl_energia_maquina[ID_Maquina],A6,tbl_energia_maquina[Mes],"&gt;="&amp;DATE(2026,1,1)))</f>
        <v>3867914</v>
      </c>
      <c r="R6" s="15">
        <f t="shared" si="3"/>
        <v>108.8537645873202</v>
      </c>
      <c r="S6" s="19" t="str">
        <f t="shared" si="4"/>
        <v>Alta</v>
      </c>
    </row>
    <row r="7" spans="1:19" ht="16.05" customHeight="1" x14ac:dyDescent="0.3">
      <c r="A7" s="9" t="s">
        <v>275</v>
      </c>
      <c r="B7" s="9" t="s">
        <v>164</v>
      </c>
      <c r="C7" s="20">
        <v>2012</v>
      </c>
      <c r="D7" s="9" t="s">
        <v>274</v>
      </c>
      <c r="E7" s="16">
        <v>46181</v>
      </c>
      <c r="F7" s="20">
        <v>48</v>
      </c>
      <c r="G7" s="9" t="s">
        <v>272</v>
      </c>
      <c r="H7" s="12">
        <v>66.8</v>
      </c>
      <c r="I7" s="12">
        <v>41</v>
      </c>
      <c r="J7" s="12">
        <v>0.6</v>
      </c>
      <c r="K7" s="21">
        <f t="shared" si="0"/>
        <v>0.61377245508982037</v>
      </c>
      <c r="L7" s="21">
        <f t="shared" si="1"/>
        <v>0.25375375375375375</v>
      </c>
      <c r="M7" s="13">
        <f>IF(A7="","",SUMIFS(tbl_energia_maquina[Horas_Marcha],tbl_energia_maquina[ID_Maquina],A7,tbl_energia_maquina[Mes],"&gt;="&amp;DATE(2026,1,1)))</f>
        <v>6433.7999999999993</v>
      </c>
      <c r="N7" s="13">
        <f>IF(A7="","",SUMIFS(tbl_energia_maquina[Horas_Paragem],tbl_energia_maquina[ID_Maquina],A7,tbl_energia_maquina[Mes],"&gt;="&amp;DATE(2026,1,1)))</f>
        <v>827.9</v>
      </c>
      <c r="O7" s="13">
        <f t="shared" si="2"/>
        <v>33943.9</v>
      </c>
      <c r="P7" s="13">
        <f>IF(A7="","",SUMIFS(tbl_energia_maquina[kWh_Rateado],tbl_energia_maquina[ID_Maquina],A7,tbl_energia_maquina[Mes],"&gt;="&amp;DATE(2026,1,1)))</f>
        <v>435092</v>
      </c>
      <c r="Q7" s="13">
        <f>IF(A7="","",SUMIFS(tbl_energia_maquina[Unid],tbl_energia_maquina[ID_Maquina],A7,tbl_energia_maquina[Mes],"&gt;="&amp;DATE(2026,1,1)))</f>
        <v>2622738</v>
      </c>
      <c r="R7" s="15">
        <f t="shared" si="3"/>
        <v>165.89228508528112</v>
      </c>
      <c r="S7" s="19" t="str">
        <f t="shared" si="4"/>
        <v>Alta</v>
      </c>
    </row>
    <row r="8" spans="1:19" ht="16.05" customHeight="1" x14ac:dyDescent="0.3">
      <c r="A8" s="9" t="s">
        <v>276</v>
      </c>
      <c r="B8" s="9" t="s">
        <v>164</v>
      </c>
      <c r="C8" s="20">
        <v>2024</v>
      </c>
      <c r="D8" s="9" t="s">
        <v>271</v>
      </c>
      <c r="E8" s="16">
        <v>46183</v>
      </c>
      <c r="F8" s="20">
        <v>48</v>
      </c>
      <c r="G8" s="9" t="s">
        <v>272</v>
      </c>
      <c r="H8" s="12">
        <v>39.700000000000003</v>
      </c>
      <c r="I8" s="12">
        <v>11.2</v>
      </c>
      <c r="J8" s="12">
        <v>0.6</v>
      </c>
      <c r="K8" s="21">
        <f t="shared" si="0"/>
        <v>0.28211586901763219</v>
      </c>
      <c r="L8" s="21">
        <f t="shared" si="1"/>
        <v>-0.2548798798798797</v>
      </c>
      <c r="M8" s="13">
        <f>IF(A8="","",SUMIFS(tbl_energia_maquina[Horas_Marcha],tbl_energia_maquina[ID_Maquina],A8,tbl_energia_maquina[Mes],"&gt;="&amp;DATE(2026,1,1)))</f>
        <v>6368.3000000000011</v>
      </c>
      <c r="N8" s="13">
        <f>IF(A8="","",SUMIFS(tbl_energia_maquina[Horas_Paragem],tbl_energia_maquina[ID_Maquina],A8,tbl_energia_maquina[Mes],"&gt;="&amp;DATE(2026,1,1)))</f>
        <v>890.49999999999989</v>
      </c>
      <c r="O8" s="13">
        <f t="shared" si="2"/>
        <v>9973.5999999999985</v>
      </c>
      <c r="P8" s="13">
        <f>IF(A8="","",SUMIFS(tbl_energia_maquina[kWh_Rateado],tbl_energia_maquina[ID_Maquina],A8,tbl_energia_maquina[Mes],"&gt;="&amp;DATE(2026,1,1)))</f>
        <v>246616</v>
      </c>
      <c r="Q8" s="13">
        <f>IF(A8="","",SUMIFS(tbl_energia_maquina[Unid],tbl_energia_maquina[ID_Maquina],A8,tbl_energia_maquina[Mes],"&gt;="&amp;DATE(2026,1,1)))</f>
        <v>2367890</v>
      </c>
      <c r="R8" s="15">
        <f t="shared" si="3"/>
        <v>104.15010832428871</v>
      </c>
      <c r="S8" s="19" t="str">
        <f t="shared" si="4"/>
        <v>Baixa</v>
      </c>
    </row>
    <row r="9" spans="1:19" ht="16.05" customHeight="1" x14ac:dyDescent="0.3">
      <c r="A9" s="9" t="s">
        <v>277</v>
      </c>
      <c r="B9" s="9" t="s">
        <v>164</v>
      </c>
      <c r="C9" s="20">
        <v>2011</v>
      </c>
      <c r="D9" s="9" t="s">
        <v>274</v>
      </c>
      <c r="E9" s="16">
        <v>46183</v>
      </c>
      <c r="F9" s="20">
        <v>48</v>
      </c>
      <c r="G9" s="9" t="s">
        <v>272</v>
      </c>
      <c r="H9" s="12">
        <v>60.2</v>
      </c>
      <c r="I9" s="12">
        <v>36.700000000000003</v>
      </c>
      <c r="J9" s="12">
        <v>0.6</v>
      </c>
      <c r="K9" s="21">
        <f t="shared" si="0"/>
        <v>0.60963455149501666</v>
      </c>
      <c r="L9" s="21">
        <f t="shared" si="1"/>
        <v>0.12987987987988014</v>
      </c>
      <c r="M9" s="13">
        <f>IF(A9="","",SUMIFS(tbl_energia_maquina[Horas_Marcha],tbl_energia_maquina[ID_Maquina],A9,tbl_energia_maquina[Mes],"&gt;="&amp;DATE(2026,1,1)))</f>
        <v>5616.7999999999984</v>
      </c>
      <c r="N9" s="13">
        <f>IF(A9="","",SUMIFS(tbl_energia_maquina[Horas_Paragem],tbl_energia_maquina[ID_Maquina],A9,tbl_energia_maquina[Mes],"&gt;="&amp;DATE(2026,1,1)))</f>
        <v>1251.7</v>
      </c>
      <c r="O9" s="13">
        <f t="shared" si="2"/>
        <v>45937.390000000007</v>
      </c>
      <c r="P9" s="13">
        <f>IF(A9="","",SUMIFS(tbl_energia_maquina[kWh_Rateado],tbl_energia_maquina[ID_Maquina],A9,tbl_energia_maquina[Mes],"&gt;="&amp;DATE(2026,1,1)))</f>
        <v>360279</v>
      </c>
      <c r="Q9" s="13">
        <f>IF(A9="","",SUMIFS(tbl_energia_maquina[Unid],tbl_energia_maquina[ID_Maquina],A9,tbl_energia_maquina[Mes],"&gt;="&amp;DATE(2026,1,1)))</f>
        <v>2295014</v>
      </c>
      <c r="R9" s="15">
        <f t="shared" si="3"/>
        <v>156.98335609281685</v>
      </c>
      <c r="S9" s="19" t="str">
        <f t="shared" si="4"/>
        <v>Média</v>
      </c>
    </row>
    <row r="10" spans="1:19" ht="16.05" customHeight="1" x14ac:dyDescent="0.3">
      <c r="A10" s="9" t="s">
        <v>278</v>
      </c>
      <c r="B10" s="9" t="s">
        <v>164</v>
      </c>
      <c r="C10" s="20">
        <v>2015</v>
      </c>
      <c r="D10" s="9" t="s">
        <v>274</v>
      </c>
      <c r="E10" s="16">
        <v>46183</v>
      </c>
      <c r="F10" s="20">
        <v>48</v>
      </c>
      <c r="G10" s="9" t="s">
        <v>272</v>
      </c>
      <c r="H10" s="12">
        <v>63.3</v>
      </c>
      <c r="I10" s="12">
        <v>41.5</v>
      </c>
      <c r="J10" s="12">
        <v>0.6</v>
      </c>
      <c r="K10" s="21">
        <f t="shared" si="0"/>
        <v>0.65560821484992104</v>
      </c>
      <c r="L10" s="21">
        <f t="shared" si="1"/>
        <v>0.18806306306306309</v>
      </c>
      <c r="M10" s="13">
        <f>IF(A10="","",SUMIFS(tbl_energia_maquina[Horas_Marcha],tbl_energia_maquina[ID_Maquina],A10,tbl_energia_maquina[Mes],"&gt;="&amp;DATE(2026,1,1)))</f>
        <v>6515.7</v>
      </c>
      <c r="N10" s="13">
        <f>IF(A10="","",SUMIFS(tbl_energia_maquina[Horas_Paragem],tbl_energia_maquina[ID_Maquina],A10,tbl_energia_maquina[Mes],"&gt;="&amp;DATE(2026,1,1)))</f>
        <v>787.09999999999991</v>
      </c>
      <c r="O10" s="13">
        <f t="shared" si="2"/>
        <v>32664.649999999998</v>
      </c>
      <c r="P10" s="13">
        <f>IF(A10="","",SUMIFS(tbl_energia_maquina[kWh_Rateado],tbl_energia_maquina[ID_Maquina],A10,tbl_energia_maquina[Mes],"&gt;="&amp;DATE(2026,1,1)))</f>
        <v>417682</v>
      </c>
      <c r="Q10" s="13">
        <f>IF(A10="","",SUMIFS(tbl_energia_maquina[Unid],tbl_energia_maquina[ID_Maquina],A10,tbl_energia_maquina[Mes],"&gt;="&amp;DATE(2026,1,1)))</f>
        <v>2884304</v>
      </c>
      <c r="R10" s="15">
        <f t="shared" si="3"/>
        <v>144.8120586456906</v>
      </c>
      <c r="S10" s="19" t="str">
        <f t="shared" si="4"/>
        <v>Alta</v>
      </c>
    </row>
    <row r="11" spans="1:19" ht="16.05" customHeight="1" x14ac:dyDescent="0.3">
      <c r="A11" s="9" t="s">
        <v>279</v>
      </c>
      <c r="B11" s="9" t="s">
        <v>164</v>
      </c>
      <c r="C11" s="20">
        <v>2018</v>
      </c>
      <c r="D11" s="9" t="s">
        <v>280</v>
      </c>
      <c r="E11" s="16">
        <v>46185</v>
      </c>
      <c r="F11" s="20">
        <v>48</v>
      </c>
      <c r="G11" s="9" t="s">
        <v>272</v>
      </c>
      <c r="H11" s="12">
        <v>50.6</v>
      </c>
      <c r="I11" s="12">
        <v>23.7</v>
      </c>
      <c r="J11" s="12">
        <v>0.6</v>
      </c>
      <c r="K11" s="21">
        <f t="shared" si="0"/>
        <v>0.46837944664031617</v>
      </c>
      <c r="L11" s="21">
        <f t="shared" si="1"/>
        <v>-5.0300300300300194E-2</v>
      </c>
      <c r="M11" s="13">
        <f>IF(A11="","",SUMIFS(tbl_energia_maquina[Horas_Marcha],tbl_energia_maquina[ID_Maquina],A11,tbl_energia_maquina[Mes],"&gt;="&amp;DATE(2026,1,1)))</f>
        <v>6518.0000000000009</v>
      </c>
      <c r="N11" s="13">
        <f>IF(A11="","",SUMIFS(tbl_energia_maquina[Horas_Paragem],tbl_energia_maquina[ID_Maquina],A11,tbl_energia_maquina[Mes],"&gt;="&amp;DATE(2026,1,1)))</f>
        <v>781.70000000000016</v>
      </c>
      <c r="O11" s="13">
        <f t="shared" si="2"/>
        <v>18526.290000000005</v>
      </c>
      <c r="P11" s="13">
        <f>IF(A11="","",SUMIFS(tbl_energia_maquina[kWh_Rateado],tbl_energia_maquina[ID_Maquina],A11,tbl_energia_maquina[Mes],"&gt;="&amp;DATE(2026,1,1)))</f>
        <v>326871</v>
      </c>
      <c r="Q11" s="13">
        <f>IF(A11="","",SUMIFS(tbl_energia_maquina[Unid],tbl_energia_maquina[ID_Maquina],A11,tbl_energia_maquina[Mes],"&gt;="&amp;DATE(2026,1,1)))</f>
        <v>3338136</v>
      </c>
      <c r="R11" s="15">
        <f t="shared" si="3"/>
        <v>97.920216551991885</v>
      </c>
      <c r="S11" s="19" t="str">
        <f t="shared" si="4"/>
        <v>Baixa</v>
      </c>
    </row>
    <row r="12" spans="1:19" ht="16.05" customHeight="1" x14ac:dyDescent="0.3">
      <c r="A12" s="9" t="s">
        <v>281</v>
      </c>
      <c r="B12" s="9" t="s">
        <v>164</v>
      </c>
      <c r="C12" s="20">
        <v>2012</v>
      </c>
      <c r="D12" s="9" t="s">
        <v>274</v>
      </c>
      <c r="E12" s="16">
        <v>46185</v>
      </c>
      <c r="F12" s="20">
        <v>48</v>
      </c>
      <c r="G12" s="9" t="s">
        <v>272</v>
      </c>
      <c r="H12" s="12">
        <v>62.8</v>
      </c>
      <c r="I12" s="12">
        <v>38.6</v>
      </c>
      <c r="J12" s="12">
        <v>0.6</v>
      </c>
      <c r="K12" s="21">
        <f t="shared" si="0"/>
        <v>0.61464968152866251</v>
      </c>
      <c r="L12" s="21">
        <f t="shared" si="1"/>
        <v>0.1786786786786787</v>
      </c>
      <c r="M12" s="13">
        <f>IF(A12="","",SUMIFS(tbl_energia_maquina[Horas_Marcha],tbl_energia_maquina[ID_Maquina],A12,tbl_energia_maquina[Mes],"&gt;="&amp;DATE(2026,1,1)))</f>
        <v>6390.9</v>
      </c>
      <c r="N12" s="13">
        <f>IF(A12="","",SUMIFS(tbl_energia_maquina[Horas_Paragem],tbl_energia_maquina[ID_Maquina],A12,tbl_energia_maquina[Mes],"&gt;="&amp;DATE(2026,1,1)))</f>
        <v>860.59999999999991</v>
      </c>
      <c r="O12" s="13">
        <f t="shared" si="2"/>
        <v>33219.159999999996</v>
      </c>
      <c r="P12" s="13">
        <f>IF(A12="","",SUMIFS(tbl_energia_maquina[kWh_Rateado],tbl_energia_maquina[ID_Maquina],A12,tbl_energia_maquina[Mes],"&gt;="&amp;DATE(2026,1,1)))</f>
        <v>407662</v>
      </c>
      <c r="Q12" s="13">
        <f>IF(A12="","",SUMIFS(tbl_energia_maquina[Unid],tbl_energia_maquina[ID_Maquina],A12,tbl_energia_maquina[Mes],"&gt;="&amp;DATE(2026,1,1)))</f>
        <v>3494722</v>
      </c>
      <c r="R12" s="15">
        <f t="shared" si="3"/>
        <v>116.65076649873724</v>
      </c>
      <c r="S12" s="19" t="str">
        <f t="shared" si="4"/>
        <v>Alta</v>
      </c>
    </row>
    <row r="13" spans="1:19" ht="16.05" customHeight="1" x14ac:dyDescent="0.3">
      <c r="A13" s="9" t="s">
        <v>282</v>
      </c>
      <c r="B13" s="9" t="s">
        <v>164</v>
      </c>
      <c r="C13" s="20">
        <v>2026</v>
      </c>
      <c r="D13" s="9" t="s">
        <v>271</v>
      </c>
      <c r="E13" s="16">
        <v>46185</v>
      </c>
      <c r="F13" s="20">
        <v>48</v>
      </c>
      <c r="G13" s="9" t="s">
        <v>272</v>
      </c>
      <c r="H13" s="12">
        <v>40.700000000000003</v>
      </c>
      <c r="I13" s="12">
        <v>11.8</v>
      </c>
      <c r="J13" s="12">
        <v>0.6</v>
      </c>
      <c r="K13" s="21">
        <f t="shared" si="0"/>
        <v>0.28992628992628994</v>
      </c>
      <c r="L13" s="21">
        <f t="shared" si="1"/>
        <v>-0.23611111111111094</v>
      </c>
      <c r="M13" s="13">
        <f>IF(A13="","",SUMIFS(tbl_energia_maquina[Horas_Marcha],tbl_energia_maquina[ID_Maquina],A13,tbl_energia_maquina[Mes],"&gt;="&amp;DATE(2026,1,1)))</f>
        <v>3177.2</v>
      </c>
      <c r="N13" s="13">
        <f>IF(A13="","",SUMIFS(tbl_energia_maquina[Horas_Paragem],tbl_energia_maquina[ID_Maquina],A13,tbl_energia_maquina[Mes],"&gt;="&amp;DATE(2026,1,1)))</f>
        <v>393.3</v>
      </c>
      <c r="O13" s="13">
        <f t="shared" si="2"/>
        <v>4640.9400000000005</v>
      </c>
      <c r="P13" s="13">
        <f>IF(A13="","",SUMIFS(tbl_energia_maquina[kWh_Rateado],tbl_energia_maquina[ID_Maquina],A13,tbl_energia_maquina[Mes],"&gt;="&amp;DATE(2026,1,1)))</f>
        <v>127775</v>
      </c>
      <c r="Q13" s="13">
        <f>IF(A13="","",SUMIFS(tbl_energia_maquina[Unid],tbl_energia_maquina[ID_Maquina],A13,tbl_energia_maquina[Mes],"&gt;="&amp;DATE(2026,1,1)))</f>
        <v>1371597</v>
      </c>
      <c r="R13" s="15">
        <f t="shared" si="3"/>
        <v>93.157829887350289</v>
      </c>
      <c r="S13" s="19" t="str">
        <f t="shared" si="4"/>
        <v>Baixa</v>
      </c>
    </row>
    <row r="14" spans="1:19" ht="16.05" customHeight="1" x14ac:dyDescent="0.3">
      <c r="A14" s="9" t="s">
        <v>283</v>
      </c>
      <c r="B14" s="9" t="s">
        <v>164</v>
      </c>
      <c r="C14" s="20">
        <v>2026</v>
      </c>
      <c r="D14" s="9" t="s">
        <v>271</v>
      </c>
      <c r="E14" s="16">
        <v>46187</v>
      </c>
      <c r="F14" s="20">
        <v>48</v>
      </c>
      <c r="G14" s="9" t="s">
        <v>272</v>
      </c>
      <c r="H14" s="12">
        <v>42.3</v>
      </c>
      <c r="I14" s="12">
        <v>12.8</v>
      </c>
      <c r="J14" s="12">
        <v>0.6</v>
      </c>
      <c r="K14" s="21">
        <f t="shared" si="0"/>
        <v>0.30260047281323882</v>
      </c>
      <c r="L14" s="21">
        <f t="shared" si="1"/>
        <v>-0.20608108108108103</v>
      </c>
      <c r="M14" s="13">
        <f>IF(A14="","",SUMIFS(tbl_energia_maquina[Horas_Marcha],tbl_energia_maquina[ID_Maquina],A14,tbl_energia_maquina[Mes],"&gt;="&amp;DATE(2026,1,1)))</f>
        <v>3128.9</v>
      </c>
      <c r="N14" s="13">
        <f>IF(A14="","",SUMIFS(tbl_energia_maquina[Horas_Paragem],tbl_energia_maquina[ID_Maquina],A14,tbl_energia_maquina[Mes],"&gt;="&amp;DATE(2026,1,1)))</f>
        <v>435.6</v>
      </c>
      <c r="O14" s="13">
        <f t="shared" si="2"/>
        <v>5575.68</v>
      </c>
      <c r="P14" s="13">
        <f>IF(A14="","",SUMIFS(tbl_energia_maquina[kWh_Rateado],tbl_energia_maquina[ID_Maquina],A14,tbl_energia_maquina[Mes],"&gt;="&amp;DATE(2026,1,1)))</f>
        <v>131531</v>
      </c>
      <c r="Q14" s="13">
        <f>IF(A14="","",SUMIFS(tbl_energia_maquina[Unid],tbl_energia_maquina[ID_Maquina],A14,tbl_energia_maquina[Mes],"&gt;="&amp;DATE(2026,1,1)))</f>
        <v>1194772</v>
      </c>
      <c r="R14" s="15">
        <f t="shared" si="3"/>
        <v>110.08878681455542</v>
      </c>
      <c r="S14" s="19" t="str">
        <f t="shared" si="4"/>
        <v>Baixa</v>
      </c>
    </row>
    <row r="15" spans="1:19" ht="16.05" customHeight="1" x14ac:dyDescent="0.3">
      <c r="A15" s="9" t="s">
        <v>284</v>
      </c>
      <c r="B15" s="9" t="s">
        <v>167</v>
      </c>
      <c r="C15" s="20">
        <v>2023</v>
      </c>
      <c r="D15" s="9" t="s">
        <v>285</v>
      </c>
      <c r="E15" s="16">
        <v>46187</v>
      </c>
      <c r="F15" s="20">
        <v>48</v>
      </c>
      <c r="G15" s="9" t="s">
        <v>272</v>
      </c>
      <c r="H15" s="12">
        <v>31.4</v>
      </c>
      <c r="I15" s="12">
        <v>6.6</v>
      </c>
      <c r="J15" s="12">
        <v>0.6</v>
      </c>
      <c r="K15" s="21">
        <f t="shared" si="0"/>
        <v>0.21019108280254778</v>
      </c>
      <c r="L15" s="21">
        <f t="shared" si="1"/>
        <v>-0.25592417061611383</v>
      </c>
      <c r="M15" s="13">
        <f>IF(A15="","",SUMIFS(tbl_energia_maquina[Horas_Marcha],tbl_energia_maquina[ID_Maquina],A15,tbl_energia_maquina[Mes],"&gt;="&amp;DATE(2026,1,1)))</f>
        <v>6626.9</v>
      </c>
      <c r="N15" s="13">
        <f>IF(A15="","",SUMIFS(tbl_energia_maquina[Horas_Paragem],tbl_energia_maquina[ID_Maquina],A15,tbl_energia_maquina[Mes],"&gt;="&amp;DATE(2026,1,1)))</f>
        <v>853.49999999999989</v>
      </c>
      <c r="O15" s="13">
        <f t="shared" si="2"/>
        <v>5633.0999999999985</v>
      </c>
      <c r="P15" s="13">
        <f>IF(A15="","",SUMIFS(tbl_energia_maquina[kWh_Rateado],tbl_energia_maquina[ID_Maquina],A15,tbl_energia_maquina[Mes],"&gt;="&amp;DATE(2026,1,1)))</f>
        <v>201333</v>
      </c>
      <c r="Q15" s="13">
        <f>IF(A15="","",SUMIFS(tbl_energia_maquina[Unid],tbl_energia_maquina[ID_Maquina],A15,tbl_energia_maquina[Mes],"&gt;="&amp;DATE(2026,1,1)))</f>
        <v>7803037</v>
      </c>
      <c r="R15" s="15">
        <f t="shared" si="3"/>
        <v>25.801876884602748</v>
      </c>
      <c r="S15" s="19" t="str">
        <f t="shared" si="4"/>
        <v>Baixa</v>
      </c>
    </row>
    <row r="16" spans="1:19" ht="16.05" customHeight="1" x14ac:dyDescent="0.3">
      <c r="A16" s="9" t="s">
        <v>286</v>
      </c>
      <c r="B16" s="9" t="s">
        <v>167</v>
      </c>
      <c r="C16" s="20">
        <v>2011</v>
      </c>
      <c r="D16" s="9" t="s">
        <v>287</v>
      </c>
      <c r="E16" s="16">
        <v>46187</v>
      </c>
      <c r="F16" s="20">
        <v>48</v>
      </c>
      <c r="G16" s="9" t="s">
        <v>272</v>
      </c>
      <c r="H16" s="12">
        <v>62.3</v>
      </c>
      <c r="I16" s="12">
        <v>48.4</v>
      </c>
      <c r="J16" s="12">
        <v>0.6</v>
      </c>
      <c r="K16" s="21">
        <f t="shared" si="0"/>
        <v>0.7768860353130016</v>
      </c>
      <c r="L16" s="21">
        <f t="shared" si="1"/>
        <v>0.47630331753554489</v>
      </c>
      <c r="M16" s="13">
        <f>IF(A16="","",SUMIFS(tbl_energia_maquina[Horas_Marcha],tbl_energia_maquina[ID_Maquina],A16,tbl_energia_maquina[Mes],"&gt;="&amp;DATE(2026,1,1)))</f>
        <v>6592.5999999999985</v>
      </c>
      <c r="N16" s="13">
        <f>IF(A16="","",SUMIFS(tbl_energia_maquina[Horas_Paragem],tbl_energia_maquina[ID_Maquina],A16,tbl_energia_maquina[Mes],"&gt;="&amp;DATE(2026,1,1)))</f>
        <v>876.4</v>
      </c>
      <c r="O16" s="13">
        <f t="shared" si="2"/>
        <v>42417.759999999995</v>
      </c>
      <c r="P16" s="13">
        <f>IF(A16="","",SUMIFS(tbl_energia_maquina[kWh_Rateado],tbl_energia_maquina[ID_Maquina],A16,tbl_energia_maquina[Mes],"&gt;="&amp;DATE(2026,1,1)))</f>
        <v>426726</v>
      </c>
      <c r="Q16" s="13">
        <f>IF(A16="","",SUMIFS(tbl_energia_maquina[Unid],tbl_energia_maquina[ID_Maquina],A16,tbl_energia_maquina[Mes],"&gt;="&amp;DATE(2026,1,1)))</f>
        <v>5164303</v>
      </c>
      <c r="R16" s="15">
        <f t="shared" si="3"/>
        <v>82.629930892900745</v>
      </c>
      <c r="S16" s="19" t="str">
        <f t="shared" si="4"/>
        <v>Alta</v>
      </c>
    </row>
    <row r="17" spans="1:19" ht="16.05" customHeight="1" x14ac:dyDescent="0.3">
      <c r="A17" s="9" t="s">
        <v>288</v>
      </c>
      <c r="B17" s="9" t="s">
        <v>167</v>
      </c>
      <c r="C17" s="20">
        <v>2021</v>
      </c>
      <c r="D17" s="9" t="s">
        <v>289</v>
      </c>
      <c r="E17" s="16">
        <v>46189</v>
      </c>
      <c r="F17" s="20">
        <v>48</v>
      </c>
      <c r="G17" s="9" t="s">
        <v>272</v>
      </c>
      <c r="H17" s="12">
        <v>42.9</v>
      </c>
      <c r="I17" s="12">
        <v>18.3</v>
      </c>
      <c r="J17" s="12">
        <v>0.6</v>
      </c>
      <c r="K17" s="21">
        <f t="shared" si="0"/>
        <v>0.42657342657342662</v>
      </c>
      <c r="L17" s="21">
        <f t="shared" si="1"/>
        <v>1.6587677725118377E-2</v>
      </c>
      <c r="M17" s="13">
        <f>IF(A17="","",SUMIFS(tbl_energia_maquina[Horas_Marcha],tbl_energia_maquina[ID_Maquina],A17,tbl_energia_maquina[Mes],"&gt;="&amp;DATE(2026,1,1)))</f>
        <v>6541.9999999999991</v>
      </c>
      <c r="N17" s="13">
        <f>IF(A17="","",SUMIFS(tbl_energia_maquina[Horas_Paragem],tbl_energia_maquina[ID_Maquina],A17,tbl_energia_maquina[Mes],"&gt;="&amp;DATE(2026,1,1)))</f>
        <v>825.89999999999986</v>
      </c>
      <c r="O17" s="13">
        <f t="shared" si="2"/>
        <v>15113.969999999998</v>
      </c>
      <c r="P17" s="13">
        <f>IF(A17="","",SUMIFS(tbl_energia_maquina[kWh_Rateado],tbl_energia_maquina[ID_Maquina],A17,tbl_energia_maquina[Mes],"&gt;="&amp;DATE(2026,1,1)))</f>
        <v>278651</v>
      </c>
      <c r="Q17" s="13">
        <f>IF(A17="","",SUMIFS(tbl_energia_maquina[Unid],tbl_energia_maquina[ID_Maquina],A17,tbl_energia_maquina[Mes],"&gt;="&amp;DATE(2026,1,1)))</f>
        <v>9603720</v>
      </c>
      <c r="R17" s="15">
        <f t="shared" si="3"/>
        <v>29.014902558591881</v>
      </c>
      <c r="S17" s="19" t="str">
        <f t="shared" si="4"/>
        <v>Baixa</v>
      </c>
    </row>
    <row r="18" spans="1:19" ht="16.05" customHeight="1" x14ac:dyDescent="0.3">
      <c r="A18" s="9" t="s">
        <v>290</v>
      </c>
      <c r="B18" s="9" t="s">
        <v>167</v>
      </c>
      <c r="C18" s="20">
        <v>2012</v>
      </c>
      <c r="D18" s="9" t="s">
        <v>287</v>
      </c>
      <c r="E18" s="16">
        <v>46189</v>
      </c>
      <c r="F18" s="20">
        <v>48</v>
      </c>
      <c r="G18" s="9" t="s">
        <v>272</v>
      </c>
      <c r="H18" s="12">
        <v>62.2</v>
      </c>
      <c r="I18" s="12">
        <v>44.5</v>
      </c>
      <c r="J18" s="12">
        <v>0.6</v>
      </c>
      <c r="K18" s="21">
        <f t="shared" si="0"/>
        <v>0.71543408360128613</v>
      </c>
      <c r="L18" s="21">
        <f t="shared" si="1"/>
        <v>0.47393364928909953</v>
      </c>
      <c r="M18" s="13">
        <f>IF(A18="","",SUMIFS(tbl_energia_maquina[Horas_Marcha],tbl_energia_maquina[ID_Maquina],A18,tbl_energia_maquina[Mes],"&gt;="&amp;DATE(2026,1,1)))</f>
        <v>6668.4999999999991</v>
      </c>
      <c r="N18" s="13">
        <f>IF(A18="","",SUMIFS(tbl_energia_maquina[Horas_Paragem],tbl_energia_maquina[ID_Maquina],A18,tbl_energia_maquina[Mes],"&gt;="&amp;DATE(2026,1,1)))</f>
        <v>819.6</v>
      </c>
      <c r="O18" s="13">
        <f t="shared" si="2"/>
        <v>36472.200000000004</v>
      </c>
      <c r="P18" s="13">
        <f>IF(A18="","",SUMIFS(tbl_energia_maquina[kWh_Rateado],tbl_energia_maquina[ID_Maquina],A18,tbl_energia_maquina[Mes],"&gt;="&amp;DATE(2026,1,1)))</f>
        <v>425280</v>
      </c>
      <c r="Q18" s="13">
        <f>IF(A18="","",SUMIFS(tbl_energia_maquina[Unid],tbl_energia_maquina[ID_Maquina],A18,tbl_energia_maquina[Mes],"&gt;="&amp;DATE(2026,1,1)))</f>
        <v>6176540</v>
      </c>
      <c r="R18" s="15">
        <f t="shared" si="3"/>
        <v>68.85408335411087</v>
      </c>
      <c r="S18" s="19" t="str">
        <f t="shared" si="4"/>
        <v>Alta</v>
      </c>
    </row>
    <row r="19" spans="1:19" ht="16.05" customHeight="1" x14ac:dyDescent="0.3">
      <c r="A19" s="9" t="s">
        <v>291</v>
      </c>
      <c r="B19" s="9" t="s">
        <v>167</v>
      </c>
      <c r="C19" s="20">
        <v>2022</v>
      </c>
      <c r="D19" s="9" t="s">
        <v>289</v>
      </c>
      <c r="E19" s="16">
        <v>46189</v>
      </c>
      <c r="F19" s="20">
        <v>48</v>
      </c>
      <c r="G19" s="9" t="s">
        <v>272</v>
      </c>
      <c r="H19" s="12">
        <v>41.3</v>
      </c>
      <c r="I19" s="12">
        <v>18.3</v>
      </c>
      <c r="J19" s="12">
        <v>0.6</v>
      </c>
      <c r="K19" s="21">
        <f t="shared" si="0"/>
        <v>0.44309927360774826</v>
      </c>
      <c r="L19" s="21">
        <f t="shared" si="1"/>
        <v>-2.1327014218009643E-2</v>
      </c>
      <c r="M19" s="13">
        <f>IF(A19="","",SUMIFS(tbl_energia_maquina[Horas_Marcha],tbl_energia_maquina[ID_Maquina],A19,tbl_energia_maquina[Mes],"&gt;="&amp;DATE(2026,1,1)))</f>
        <v>6486.2999999999993</v>
      </c>
      <c r="N19" s="13">
        <f>IF(A19="","",SUMIFS(tbl_energia_maquina[Horas_Paragem],tbl_energia_maquina[ID_Maquina],A19,tbl_energia_maquina[Mes],"&gt;="&amp;DATE(2026,1,1)))</f>
        <v>864.4</v>
      </c>
      <c r="O19" s="13">
        <f t="shared" si="2"/>
        <v>15818.52</v>
      </c>
      <c r="P19" s="13">
        <f>IF(A19="","",SUMIFS(tbl_energia_maquina[kWh_Rateado],tbl_energia_maquina[ID_Maquina],A19,tbl_energia_maquina[Mes],"&gt;="&amp;DATE(2026,1,1)))</f>
        <v>267522</v>
      </c>
      <c r="Q19" s="13">
        <f>IF(A19="","",SUMIFS(tbl_energia_maquina[Unid],tbl_energia_maquina[ID_Maquina],A19,tbl_energia_maquina[Mes],"&gt;="&amp;DATE(2026,1,1)))</f>
        <v>5105472</v>
      </c>
      <c r="R19" s="15">
        <f t="shared" si="3"/>
        <v>52.399072994622244</v>
      </c>
      <c r="S19" s="19" t="str">
        <f t="shared" si="4"/>
        <v>Baixa</v>
      </c>
    </row>
    <row r="20" spans="1:19" ht="16.05" customHeight="1" x14ac:dyDescent="0.3">
      <c r="A20" s="9" t="s">
        <v>292</v>
      </c>
      <c r="B20" s="9" t="s">
        <v>167</v>
      </c>
      <c r="C20" s="20">
        <v>2022</v>
      </c>
      <c r="D20" s="9" t="s">
        <v>289</v>
      </c>
      <c r="E20" s="16">
        <v>46191</v>
      </c>
      <c r="F20" s="20">
        <v>48</v>
      </c>
      <c r="G20" s="9" t="s">
        <v>272</v>
      </c>
      <c r="H20" s="12">
        <v>42.8</v>
      </c>
      <c r="I20" s="12">
        <v>18.2</v>
      </c>
      <c r="J20" s="12">
        <v>0.6</v>
      </c>
      <c r="K20" s="21">
        <f t="shared" si="0"/>
        <v>0.42523364485981308</v>
      </c>
      <c r="L20" s="21">
        <f t="shared" si="1"/>
        <v>1.42180094786728E-2</v>
      </c>
      <c r="M20" s="13">
        <f>IF(A20="","",SUMIFS(tbl_energia_maquina[Horas_Marcha],tbl_energia_maquina[ID_Maquina],A20,tbl_energia_maquina[Mes],"&gt;="&amp;DATE(2026,1,1)))</f>
        <v>6492.5</v>
      </c>
      <c r="N20" s="13">
        <f>IF(A20="","",SUMIFS(tbl_energia_maquina[Horas_Paragem],tbl_energia_maquina[ID_Maquina],A20,tbl_energia_maquina[Mes],"&gt;="&amp;DATE(2026,1,1)))</f>
        <v>840.19999999999993</v>
      </c>
      <c r="O20" s="13">
        <f t="shared" si="2"/>
        <v>15291.639999999998</v>
      </c>
      <c r="P20" s="13">
        <f>IF(A20="","",SUMIFS(tbl_energia_maquina[kWh_Rateado],tbl_energia_maquina[ID_Maquina],A20,tbl_energia_maquina[Mes],"&gt;="&amp;DATE(2026,1,1)))</f>
        <v>276103</v>
      </c>
      <c r="Q20" s="13">
        <f>IF(A20="","",SUMIFS(tbl_energia_maquina[Unid],tbl_energia_maquina[ID_Maquina],A20,tbl_energia_maquina[Mes],"&gt;="&amp;DATE(2026,1,1)))</f>
        <v>3223755</v>
      </c>
      <c r="R20" s="15">
        <f t="shared" si="3"/>
        <v>85.646396826061533</v>
      </c>
      <c r="S20" s="19" t="str">
        <f t="shared" si="4"/>
        <v>Baixa</v>
      </c>
    </row>
    <row r="21" spans="1:19" ht="16.05" customHeight="1" x14ac:dyDescent="0.3">
      <c r="A21" s="9" t="s">
        <v>293</v>
      </c>
      <c r="B21" s="9" t="s">
        <v>167</v>
      </c>
      <c r="C21" s="20">
        <v>2026</v>
      </c>
      <c r="D21" s="9" t="s">
        <v>285</v>
      </c>
      <c r="E21" s="16">
        <v>46191</v>
      </c>
      <c r="F21" s="20">
        <v>48</v>
      </c>
      <c r="G21" s="9" t="s">
        <v>272</v>
      </c>
      <c r="H21" s="12">
        <v>32.9</v>
      </c>
      <c r="I21" s="12">
        <v>7.3</v>
      </c>
      <c r="J21" s="12">
        <v>0.6</v>
      </c>
      <c r="K21" s="21">
        <f t="shared" si="0"/>
        <v>0.22188449848024316</v>
      </c>
      <c r="L21" s="21">
        <f t="shared" si="1"/>
        <v>-0.22037914691943139</v>
      </c>
      <c r="M21" s="13">
        <f>IF(A21="","",SUMIFS(tbl_energia_maquina[Horas_Marcha],tbl_energia_maquina[ID_Maquina],A21,tbl_energia_maquina[Mes],"&gt;="&amp;DATE(2026,1,1)))</f>
        <v>3110.3</v>
      </c>
      <c r="N21" s="13">
        <f>IF(A21="","",SUMIFS(tbl_energia_maquina[Horas_Paragem],tbl_energia_maquina[ID_Maquina],A21,tbl_energia_maquina[Mes],"&gt;="&amp;DATE(2026,1,1)))</f>
        <v>500.1</v>
      </c>
      <c r="O21" s="13">
        <f t="shared" si="2"/>
        <v>3650.73</v>
      </c>
      <c r="P21" s="13">
        <f>IF(A21="","",SUMIFS(tbl_energia_maquina[kWh_Rateado],tbl_energia_maquina[ID_Maquina],A21,tbl_energia_maquina[Mes],"&gt;="&amp;DATE(2026,1,1)))</f>
        <v>104220</v>
      </c>
      <c r="Q21" s="13">
        <f>IF(A21="","",SUMIFS(tbl_energia_maquina[Unid],tbl_energia_maquina[ID_Maquina],A21,tbl_energia_maquina[Mes],"&gt;="&amp;DATE(2026,1,1)))</f>
        <v>2524114</v>
      </c>
      <c r="R21" s="15">
        <f t="shared" si="3"/>
        <v>41.289735725090075</v>
      </c>
      <c r="S21" s="19" t="str">
        <f t="shared" si="4"/>
        <v>Baixa</v>
      </c>
    </row>
    <row r="22" spans="1:19" ht="16.05" customHeight="1" x14ac:dyDescent="0.3">
      <c r="A22" s="9" t="s">
        <v>294</v>
      </c>
      <c r="B22" s="9" t="s">
        <v>167</v>
      </c>
      <c r="C22" s="20">
        <v>2026</v>
      </c>
      <c r="D22" s="9" t="s">
        <v>285</v>
      </c>
      <c r="E22" s="16">
        <v>46191</v>
      </c>
      <c r="F22" s="20">
        <v>48</v>
      </c>
      <c r="G22" s="9" t="s">
        <v>272</v>
      </c>
      <c r="H22" s="12">
        <v>30.8</v>
      </c>
      <c r="I22" s="12">
        <v>7.2</v>
      </c>
      <c r="J22" s="12">
        <v>0.6</v>
      </c>
      <c r="K22" s="21">
        <f t="shared" si="0"/>
        <v>0.23376623376623376</v>
      </c>
      <c r="L22" s="21">
        <f t="shared" si="1"/>
        <v>-0.27014218009478674</v>
      </c>
      <c r="M22" s="13">
        <f>IF(A22="","",SUMIFS(tbl_energia_maquina[Horas_Marcha],tbl_energia_maquina[ID_Maquina],A22,tbl_energia_maquina[Mes],"&gt;="&amp;DATE(2026,1,1)))</f>
        <v>6689</v>
      </c>
      <c r="N22" s="13">
        <f>IF(A22="","",SUMIFS(tbl_energia_maquina[Horas_Paragem],tbl_energia_maquina[ID_Maquina],A22,tbl_energia_maquina[Mes],"&gt;="&amp;DATE(2026,1,1)))</f>
        <v>541</v>
      </c>
      <c r="O22" s="13">
        <f t="shared" si="2"/>
        <v>3895.2000000000003</v>
      </c>
      <c r="P22" s="13">
        <f>IF(A22="","",SUMIFS(tbl_energia_maquina[kWh_Rateado],tbl_energia_maquina[ID_Maquina],A22,tbl_energia_maquina[Mes],"&gt;="&amp;DATE(2026,1,1)))</f>
        <v>206305</v>
      </c>
      <c r="Q22" s="13">
        <f>IF(A22="","",SUMIFS(tbl_energia_maquina[Unid],tbl_energia_maquina[ID_Maquina],A22,tbl_energia_maquina[Mes],"&gt;="&amp;DATE(2026,1,1)))</f>
        <v>6151155</v>
      </c>
      <c r="R22" s="15">
        <f t="shared" si="3"/>
        <v>33.539229624355102</v>
      </c>
      <c r="S22" s="19" t="str">
        <f t="shared" si="4"/>
        <v>Baixa</v>
      </c>
    </row>
    <row r="23" spans="1:19" ht="16.05" customHeight="1" x14ac:dyDescent="0.3">
      <c r="A23" s="9" t="s">
        <v>295</v>
      </c>
      <c r="B23" s="9" t="s">
        <v>167</v>
      </c>
      <c r="C23" s="20">
        <v>2026</v>
      </c>
      <c r="D23" s="9" t="s">
        <v>296</v>
      </c>
      <c r="E23" s="16">
        <v>46193</v>
      </c>
      <c r="F23" s="20">
        <v>48</v>
      </c>
      <c r="G23" s="9" t="s">
        <v>272</v>
      </c>
      <c r="H23" s="12">
        <v>33.200000000000003</v>
      </c>
      <c r="I23" s="12">
        <v>7.4</v>
      </c>
      <c r="J23" s="12">
        <v>0.6</v>
      </c>
      <c r="K23" s="21">
        <f t="shared" si="0"/>
        <v>0.22289156626506024</v>
      </c>
      <c r="L23" s="21">
        <f t="shared" si="1"/>
        <v>-0.21327014218009477</v>
      </c>
      <c r="M23" s="13">
        <f>IF(A23="","",SUMIFS(tbl_energia_maquina[Horas_Marcha],tbl_energia_maquina[ID_Maquina],A23,tbl_energia_maquina[Mes],"&gt;="&amp;DATE(2026,1,1)))</f>
        <v>0</v>
      </c>
      <c r="N23" s="13">
        <f>IF(A23="","",SUMIFS(tbl_energia_maquina[Horas_Paragem],tbl_energia_maquina[ID_Maquina],A23,tbl_energia_maquina[Mes],"&gt;="&amp;DATE(2026,1,1)))</f>
        <v>0</v>
      </c>
      <c r="O23" s="13">
        <f t="shared" si="2"/>
        <v>0</v>
      </c>
      <c r="P23" s="13">
        <f>IF(A23="","",SUMIFS(tbl_energia_maquina[kWh_Rateado],tbl_energia_maquina[ID_Maquina],A23,tbl_energia_maquina[Mes],"&gt;="&amp;DATE(2026,1,1)))</f>
        <v>0</v>
      </c>
      <c r="Q23" s="13">
        <f>IF(A23="","",SUMIFS(tbl_energia_maquina[Unid],tbl_energia_maquina[ID_Maquina],A23,tbl_energia_maquina[Mes],"&gt;="&amp;DATE(2026,1,1)))</f>
        <v>0</v>
      </c>
      <c r="R23" s="15" t="str">
        <f t="shared" si="3"/>
        <v/>
      </c>
      <c r="S23" s="19" t="str">
        <f t="shared" si="4"/>
        <v>Baixa</v>
      </c>
    </row>
    <row r="24" spans="1:19" ht="16.05" customHeight="1" x14ac:dyDescent="0.3">
      <c r="A24" s="9" t="s">
        <v>297</v>
      </c>
      <c r="B24" s="9" t="s">
        <v>171</v>
      </c>
      <c r="C24" s="20">
        <v>2013</v>
      </c>
      <c r="D24" s="9" t="s">
        <v>298</v>
      </c>
      <c r="E24" s="16">
        <v>46193</v>
      </c>
      <c r="F24" s="20">
        <v>48</v>
      </c>
      <c r="G24" s="9" t="s">
        <v>272</v>
      </c>
      <c r="H24" s="12">
        <v>17.7</v>
      </c>
      <c r="I24" s="12">
        <v>6.4</v>
      </c>
      <c r="J24" s="12">
        <v>0.2</v>
      </c>
      <c r="K24" s="21">
        <f t="shared" si="0"/>
        <v>0.36158192090395486</v>
      </c>
      <c r="L24" s="21">
        <f t="shared" si="1"/>
        <v>-1.6666666666666718E-2</v>
      </c>
      <c r="M24" s="13">
        <f>IF(A24="","",SUMIFS(tbl_energia_maquina[Horas_Marcha],tbl_energia_maquina[ID_Maquina],A24,tbl_energia_maquina[Mes],"&gt;="&amp;DATE(2026,1,1)))</f>
        <v>4846.0999999999995</v>
      </c>
      <c r="N24" s="13">
        <f>IF(A24="","",SUMIFS(tbl_energia_maquina[Horas_Paragem],tbl_energia_maquina[ID_Maquina],A24,tbl_energia_maquina[Mes],"&gt;="&amp;DATE(2026,1,1)))</f>
        <v>896.10000000000014</v>
      </c>
      <c r="O24" s="13">
        <f t="shared" si="2"/>
        <v>5735.0400000000009</v>
      </c>
      <c r="P24" s="13">
        <f>IF(A24="","",SUMIFS(tbl_energia_maquina[kWh_Rateado],tbl_energia_maquina[ID_Maquina],A24,tbl_energia_maquina[Mes],"&gt;="&amp;DATE(2026,1,1)))</f>
        <v>87878</v>
      </c>
      <c r="Q24" s="13">
        <f>IF(A24="","",SUMIFS(tbl_energia_maquina[Unid],tbl_energia_maquina[ID_Maquina],A24,tbl_energia_maquina[Mes],"&gt;="&amp;DATE(2026,1,1)))</f>
        <v>2408373</v>
      </c>
      <c r="R24" s="15">
        <f t="shared" si="3"/>
        <v>36.488533960478712</v>
      </c>
      <c r="S24" s="19" t="str">
        <f t="shared" si="4"/>
        <v>Baixa</v>
      </c>
    </row>
    <row r="25" spans="1:19" ht="16.05" customHeight="1" x14ac:dyDescent="0.3">
      <c r="A25" s="9" t="s">
        <v>299</v>
      </c>
      <c r="B25" s="9" t="s">
        <v>171</v>
      </c>
      <c r="C25" s="20">
        <v>2013</v>
      </c>
      <c r="D25" s="9" t="s">
        <v>298</v>
      </c>
      <c r="E25" s="16">
        <v>46193</v>
      </c>
      <c r="F25" s="20">
        <v>48</v>
      </c>
      <c r="G25" s="9" t="s">
        <v>272</v>
      </c>
      <c r="H25" s="12">
        <v>18.3</v>
      </c>
      <c r="I25" s="12">
        <v>6.4</v>
      </c>
      <c r="J25" s="12">
        <v>0.2</v>
      </c>
      <c r="K25" s="21">
        <f t="shared" si="0"/>
        <v>0.34972677595628415</v>
      </c>
      <c r="L25" s="21">
        <f t="shared" si="1"/>
        <v>1.6666666666666607E-2</v>
      </c>
      <c r="M25" s="13">
        <f>IF(A25="","",SUMIFS(tbl_energia_maquina[Horas_Marcha],tbl_energia_maquina[ID_Maquina],A25,tbl_energia_maquina[Mes],"&gt;="&amp;DATE(2026,1,1)))</f>
        <v>4160.8999999999996</v>
      </c>
      <c r="N25" s="13">
        <f>IF(A25="","",SUMIFS(tbl_energia_maquina[Horas_Paragem],tbl_energia_maquina[ID_Maquina],A25,tbl_energia_maquina[Mes],"&gt;="&amp;DATE(2026,1,1)))</f>
        <v>580.89999999999986</v>
      </c>
      <c r="O25" s="13">
        <f t="shared" si="2"/>
        <v>3717.7599999999993</v>
      </c>
      <c r="P25" s="13">
        <f>IF(A25="","",SUMIFS(tbl_energia_maquina[kWh_Rateado],tbl_energia_maquina[ID_Maquina],A25,tbl_energia_maquina[Mes],"&gt;="&amp;DATE(2026,1,1)))</f>
        <v>75887</v>
      </c>
      <c r="Q25" s="13">
        <f>IF(A25="","",SUMIFS(tbl_energia_maquina[Unid],tbl_energia_maquina[ID_Maquina],A25,tbl_energia_maquina[Mes],"&gt;="&amp;DATE(2026,1,1)))</f>
        <v>2116976</v>
      </c>
      <c r="R25" s="15">
        <f t="shared" si="3"/>
        <v>35.846887258051112</v>
      </c>
      <c r="S25" s="19" t="str">
        <f t="shared" si="4"/>
        <v>Baixa</v>
      </c>
    </row>
    <row r="26" spans="1:19" ht="16.05" customHeight="1" x14ac:dyDescent="0.3">
      <c r="A26" s="9" t="s">
        <v>300</v>
      </c>
      <c r="B26" s="9" t="s">
        <v>172</v>
      </c>
      <c r="C26" s="20">
        <v>2023</v>
      </c>
      <c r="D26" s="9" t="s">
        <v>301</v>
      </c>
      <c r="E26" s="16">
        <v>46195</v>
      </c>
      <c r="F26" s="20">
        <v>48</v>
      </c>
      <c r="G26" s="9" t="s">
        <v>272</v>
      </c>
      <c r="H26" s="12">
        <v>8.9</v>
      </c>
      <c r="I26" s="12">
        <v>4.5</v>
      </c>
      <c r="J26" s="12">
        <v>0.2</v>
      </c>
      <c r="K26" s="21">
        <f t="shared" si="0"/>
        <v>0.5056179775280899</v>
      </c>
      <c r="L26" s="21">
        <f t="shared" si="1"/>
        <v>-1.1111111111111072E-2</v>
      </c>
      <c r="M26" s="13">
        <f>IF(A26="","",SUMIFS(tbl_energia_maquina[Horas_Marcha],tbl_energia_maquina[ID_Maquina],A26,tbl_energia_maquina[Mes],"&gt;="&amp;DATE(2026,1,1)))</f>
        <v>6777.5000000000009</v>
      </c>
      <c r="N26" s="13">
        <f>IF(A26="","",SUMIFS(tbl_energia_maquina[Horas_Paragem],tbl_energia_maquina[ID_Maquina],A26,tbl_energia_maquina[Mes],"&gt;="&amp;DATE(2026,1,1)))</f>
        <v>938.5</v>
      </c>
      <c r="O26" s="13">
        <f t="shared" si="2"/>
        <v>4223.25</v>
      </c>
      <c r="P26" s="13">
        <f>IF(A26="","",SUMIFS(tbl_energia_maquina[kWh_Rateado],tbl_energia_maquina[ID_Maquina],A26,tbl_energia_maquina[Mes],"&gt;="&amp;DATE(2026,1,1)))</f>
        <v>60452</v>
      </c>
      <c r="Q26" s="13">
        <f>IF(A26="","",SUMIFS(tbl_energia_maquina[Unid],tbl_energia_maquina[ID_Maquina],A26,tbl_energia_maquina[Mes],"&gt;="&amp;DATE(2026,1,1)))</f>
        <v>3163985</v>
      </c>
      <c r="R26" s="15">
        <f t="shared" si="3"/>
        <v>19.106285269999699</v>
      </c>
      <c r="S26" s="19" t="str">
        <f t="shared" si="4"/>
        <v>Média</v>
      </c>
    </row>
    <row r="27" spans="1:19" ht="16.05" customHeight="1" x14ac:dyDescent="0.3">
      <c r="A27" s="9" t="s">
        <v>302</v>
      </c>
      <c r="B27" s="9" t="s">
        <v>172</v>
      </c>
      <c r="C27" s="20">
        <v>2021</v>
      </c>
      <c r="D27" s="9" t="s">
        <v>301</v>
      </c>
      <c r="E27" s="16">
        <v>46195</v>
      </c>
      <c r="F27" s="20">
        <v>48</v>
      </c>
      <c r="G27" s="9" t="s">
        <v>272</v>
      </c>
      <c r="H27" s="12">
        <v>9.1</v>
      </c>
      <c r="I27" s="12">
        <v>5.0999999999999996</v>
      </c>
      <c r="J27" s="12">
        <v>0.2</v>
      </c>
      <c r="K27" s="21">
        <f t="shared" si="0"/>
        <v>0.56043956043956045</v>
      </c>
      <c r="L27" s="21">
        <f t="shared" si="1"/>
        <v>1.1111111111111072E-2</v>
      </c>
      <c r="M27" s="13">
        <f>IF(A27="","",SUMIFS(tbl_energia_maquina[Horas_Marcha],tbl_energia_maquina[ID_Maquina],A27,tbl_energia_maquina[Mes],"&gt;="&amp;DATE(2026,1,1)))</f>
        <v>6511.9</v>
      </c>
      <c r="N27" s="13">
        <f>IF(A27="","",SUMIFS(tbl_energia_maquina[Horas_Paragem],tbl_energia_maquina[ID_Maquina],A27,tbl_energia_maquina[Mes],"&gt;="&amp;DATE(2026,1,1)))</f>
        <v>883.29999999999984</v>
      </c>
      <c r="O27" s="13">
        <f t="shared" si="2"/>
        <v>4504.829999999999</v>
      </c>
      <c r="P27" s="13">
        <f>IF(A27="","",SUMIFS(tbl_energia_maquina[kWh_Rateado],tbl_energia_maquina[ID_Maquina],A27,tbl_energia_maquina[Mes],"&gt;="&amp;DATE(2026,1,1)))</f>
        <v>59613</v>
      </c>
      <c r="Q27" s="13">
        <f>IF(A27="","",SUMIFS(tbl_energia_maquina[Unid],tbl_energia_maquina[ID_Maquina],A27,tbl_energia_maquina[Mes],"&gt;="&amp;DATE(2026,1,1)))</f>
        <v>3071363</v>
      </c>
      <c r="R27" s="15">
        <f t="shared" si="3"/>
        <v>19.409298086875435</v>
      </c>
      <c r="S27" s="19" t="str">
        <f t="shared" si="4"/>
        <v>Média</v>
      </c>
    </row>
  </sheetData>
  <conditionalFormatting sqref="S5:S227">
    <cfRule type="expression" dxfId="5" priority="1">
      <formula>ISNUMBER(SEARCH("Alta",S5))</formula>
    </cfRule>
    <cfRule type="expression" dxfId="4" priority="2">
      <formula>ISNUMBER(SEARCH("Média",S5))</formula>
    </cfRule>
    <cfRule type="expression" dxfId="3" priority="3">
      <formula>ISNUMBER(SEARCH("Baixa",S5))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35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0" customWidth="1"/>
    <col min="3" max="3" width="7" customWidth="1"/>
    <col min="4" max="4" width="11" customWidth="1"/>
    <col min="5" max="6" width="9" customWidth="1"/>
    <col min="7" max="7" width="10" customWidth="1"/>
    <col min="8" max="8" width="9" customWidth="1"/>
  </cols>
  <sheetData>
    <row r="1" spans="1:8" ht="17.399999999999999" x14ac:dyDescent="0.3">
      <c r="A1" s="1" t="s">
        <v>303</v>
      </c>
    </row>
    <row r="2" spans="1:8" x14ac:dyDescent="0.3">
      <c r="A2" s="2" t="s">
        <v>304</v>
      </c>
    </row>
    <row r="4" spans="1:8" ht="26.4" x14ac:dyDescent="0.3">
      <c r="A4" s="8" t="s">
        <v>161</v>
      </c>
      <c r="B4" s="8" t="s">
        <v>252</v>
      </c>
      <c r="C4" s="8" t="s">
        <v>253</v>
      </c>
      <c r="D4" s="8" t="s">
        <v>305</v>
      </c>
      <c r="E4" s="8" t="s">
        <v>306</v>
      </c>
      <c r="F4" s="8" t="s">
        <v>307</v>
      </c>
      <c r="G4" s="8" t="s">
        <v>308</v>
      </c>
      <c r="H4" s="11" t="s">
        <v>268</v>
      </c>
    </row>
    <row r="5" spans="1:8" ht="15" customHeight="1" x14ac:dyDescent="0.3">
      <c r="A5" s="16">
        <v>45839</v>
      </c>
      <c r="B5" s="9" t="s">
        <v>300</v>
      </c>
      <c r="C5" s="9" t="s">
        <v>172</v>
      </c>
      <c r="D5" s="17">
        <v>459038</v>
      </c>
      <c r="E5" s="12">
        <v>976.4</v>
      </c>
      <c r="F5" s="12">
        <v>97</v>
      </c>
      <c r="G5" s="17">
        <v>8961</v>
      </c>
      <c r="H5" s="15">
        <f t="shared" ref="H5:H68" si="0">IF(OR(A5="",D5=0),"",G5/D5*1000)</f>
        <v>19.521259677848018</v>
      </c>
    </row>
    <row r="6" spans="1:8" ht="15" customHeight="1" x14ac:dyDescent="0.3">
      <c r="A6" s="16">
        <v>45839</v>
      </c>
      <c r="B6" s="9" t="s">
        <v>302</v>
      </c>
      <c r="C6" s="9" t="s">
        <v>172</v>
      </c>
      <c r="D6" s="17">
        <v>175076</v>
      </c>
      <c r="E6" s="12">
        <v>377.8</v>
      </c>
      <c r="F6" s="12">
        <v>49.2</v>
      </c>
      <c r="G6" s="17">
        <v>3623</v>
      </c>
      <c r="H6" s="15">
        <f t="shared" si="0"/>
        <v>20.693870090703467</v>
      </c>
    </row>
    <row r="7" spans="1:8" ht="15" customHeight="1" x14ac:dyDescent="0.3">
      <c r="A7" s="16">
        <v>45839</v>
      </c>
      <c r="B7" s="9" t="s">
        <v>284</v>
      </c>
      <c r="C7" s="9" t="s">
        <v>167</v>
      </c>
      <c r="D7" s="17">
        <v>672434</v>
      </c>
      <c r="E7" s="12">
        <v>578.1</v>
      </c>
      <c r="F7" s="12">
        <v>69.2</v>
      </c>
      <c r="G7" s="17">
        <v>16800</v>
      </c>
      <c r="H7" s="15">
        <f t="shared" si="0"/>
        <v>24.983864587453937</v>
      </c>
    </row>
    <row r="8" spans="1:8" ht="15" customHeight="1" x14ac:dyDescent="0.3">
      <c r="A8" s="16">
        <v>45839</v>
      </c>
      <c r="B8" s="9" t="s">
        <v>286</v>
      </c>
      <c r="C8" s="9" t="s">
        <v>167</v>
      </c>
      <c r="D8" s="17">
        <v>456601</v>
      </c>
      <c r="E8" s="12">
        <v>575</v>
      </c>
      <c r="F8" s="12">
        <v>70.099999999999994</v>
      </c>
      <c r="G8" s="17">
        <v>35402</v>
      </c>
      <c r="H8" s="15">
        <f t="shared" si="0"/>
        <v>77.533776754759629</v>
      </c>
    </row>
    <row r="9" spans="1:8" ht="15" customHeight="1" x14ac:dyDescent="0.3">
      <c r="A9" s="16">
        <v>45839</v>
      </c>
      <c r="B9" s="9" t="s">
        <v>288</v>
      </c>
      <c r="C9" s="9" t="s">
        <v>167</v>
      </c>
      <c r="D9" s="17">
        <v>774850</v>
      </c>
      <c r="E9" s="12">
        <v>533.9</v>
      </c>
      <c r="F9" s="12">
        <v>91.1</v>
      </c>
      <c r="G9" s="17">
        <v>22183</v>
      </c>
      <c r="H9" s="15">
        <f t="shared" si="0"/>
        <v>28.628766858101567</v>
      </c>
    </row>
    <row r="10" spans="1:8" ht="15" customHeight="1" x14ac:dyDescent="0.3">
      <c r="A10" s="16">
        <v>45839</v>
      </c>
      <c r="B10" s="9" t="s">
        <v>290</v>
      </c>
      <c r="C10" s="9" t="s">
        <v>167</v>
      </c>
      <c r="D10" s="17">
        <v>420938</v>
      </c>
      <c r="E10" s="12">
        <v>608.1</v>
      </c>
      <c r="F10" s="12">
        <v>55</v>
      </c>
      <c r="G10" s="17">
        <v>36356</v>
      </c>
      <c r="H10" s="15">
        <f t="shared" si="0"/>
        <v>86.369013964051703</v>
      </c>
    </row>
    <row r="11" spans="1:8" ht="15" customHeight="1" x14ac:dyDescent="0.3">
      <c r="A11" s="16">
        <v>45839</v>
      </c>
      <c r="B11" s="9" t="s">
        <v>291</v>
      </c>
      <c r="C11" s="9" t="s">
        <v>167</v>
      </c>
      <c r="D11" s="17">
        <v>422000</v>
      </c>
      <c r="E11" s="12">
        <v>534.6</v>
      </c>
      <c r="F11" s="12">
        <v>86.5</v>
      </c>
      <c r="G11" s="17">
        <v>21359</v>
      </c>
      <c r="H11" s="15">
        <f t="shared" si="0"/>
        <v>50.613744075829388</v>
      </c>
    </row>
    <row r="12" spans="1:8" ht="15" customHeight="1" x14ac:dyDescent="0.3">
      <c r="A12" s="16">
        <v>45839</v>
      </c>
      <c r="B12" s="9" t="s">
        <v>292</v>
      </c>
      <c r="C12" s="9" t="s">
        <v>167</v>
      </c>
      <c r="D12" s="17">
        <v>289637</v>
      </c>
      <c r="E12" s="12">
        <v>577.70000000000005</v>
      </c>
      <c r="F12" s="12">
        <v>68.3</v>
      </c>
      <c r="G12" s="17">
        <v>23442</v>
      </c>
      <c r="H12" s="15">
        <f t="shared" si="0"/>
        <v>80.935792043143664</v>
      </c>
    </row>
    <row r="13" spans="1:8" ht="15" customHeight="1" x14ac:dyDescent="0.3">
      <c r="A13" s="16">
        <v>45839</v>
      </c>
      <c r="B13" s="9" t="s">
        <v>270</v>
      </c>
      <c r="C13" s="9" t="s">
        <v>164</v>
      </c>
      <c r="D13" s="17">
        <v>350093</v>
      </c>
      <c r="E13" s="12">
        <v>581.29999999999995</v>
      </c>
      <c r="F13" s="12">
        <v>62.3</v>
      </c>
      <c r="G13" s="17">
        <v>23662</v>
      </c>
      <c r="H13" s="15">
        <f t="shared" si="0"/>
        <v>67.587755253604044</v>
      </c>
    </row>
    <row r="14" spans="1:8" ht="15" customHeight="1" x14ac:dyDescent="0.3">
      <c r="A14" s="16">
        <v>45839</v>
      </c>
      <c r="B14" s="9" t="s">
        <v>273</v>
      </c>
      <c r="C14" s="9" t="s">
        <v>164</v>
      </c>
      <c r="D14" s="17">
        <v>331542</v>
      </c>
      <c r="E14" s="12">
        <v>555.79999999999995</v>
      </c>
      <c r="F14" s="12">
        <v>77.2</v>
      </c>
      <c r="G14" s="17">
        <v>36836</v>
      </c>
      <c r="H14" s="15">
        <f t="shared" si="0"/>
        <v>111.10507869289563</v>
      </c>
    </row>
    <row r="15" spans="1:8" ht="15" customHeight="1" x14ac:dyDescent="0.3">
      <c r="A15" s="16">
        <v>45839</v>
      </c>
      <c r="B15" s="9" t="s">
        <v>275</v>
      </c>
      <c r="C15" s="9" t="s">
        <v>164</v>
      </c>
      <c r="D15" s="17">
        <v>250884</v>
      </c>
      <c r="E15" s="12">
        <v>585.70000000000005</v>
      </c>
      <c r="F15" s="12">
        <v>58.5</v>
      </c>
      <c r="G15" s="17">
        <v>39240</v>
      </c>
      <c r="H15" s="15">
        <f t="shared" si="0"/>
        <v>156.40694504233034</v>
      </c>
    </row>
    <row r="16" spans="1:8" ht="15" customHeight="1" x14ac:dyDescent="0.3">
      <c r="A16" s="16">
        <v>45839</v>
      </c>
      <c r="B16" s="9" t="s">
        <v>276</v>
      </c>
      <c r="C16" s="9" t="s">
        <v>164</v>
      </c>
      <c r="D16" s="17">
        <v>273606</v>
      </c>
      <c r="E16" s="12">
        <v>592.70000000000005</v>
      </c>
      <c r="F16" s="12">
        <v>52.9</v>
      </c>
      <c r="G16" s="17">
        <v>22797</v>
      </c>
      <c r="H16" s="15">
        <f t="shared" si="0"/>
        <v>83.320541216201406</v>
      </c>
    </row>
    <row r="17" spans="1:8" ht="15" customHeight="1" x14ac:dyDescent="0.3">
      <c r="A17" s="16">
        <v>45839</v>
      </c>
      <c r="B17" s="9" t="s">
        <v>277</v>
      </c>
      <c r="C17" s="9" t="s">
        <v>164</v>
      </c>
      <c r="D17" s="17">
        <v>188043</v>
      </c>
      <c r="E17" s="12">
        <v>503.2</v>
      </c>
      <c r="F17" s="12">
        <v>99</v>
      </c>
      <c r="G17" s="17">
        <v>32058</v>
      </c>
      <c r="H17" s="15">
        <f t="shared" si="0"/>
        <v>170.48228330754137</v>
      </c>
    </row>
    <row r="18" spans="1:8" ht="15" customHeight="1" x14ac:dyDescent="0.3">
      <c r="A18" s="16">
        <v>45839</v>
      </c>
      <c r="B18" s="9" t="s">
        <v>278</v>
      </c>
      <c r="C18" s="9" t="s">
        <v>164</v>
      </c>
      <c r="D18" s="17">
        <v>253967</v>
      </c>
      <c r="E18" s="12">
        <v>567.1</v>
      </c>
      <c r="F18" s="12">
        <v>68</v>
      </c>
      <c r="G18" s="17">
        <v>36592</v>
      </c>
      <c r="H18" s="15">
        <f t="shared" si="0"/>
        <v>144.08171140345004</v>
      </c>
    </row>
    <row r="19" spans="1:8" ht="15" customHeight="1" x14ac:dyDescent="0.3">
      <c r="A19" s="16">
        <v>45839</v>
      </c>
      <c r="B19" s="9" t="s">
        <v>279</v>
      </c>
      <c r="C19" s="9" t="s">
        <v>164</v>
      </c>
      <c r="D19" s="17">
        <v>284205</v>
      </c>
      <c r="E19" s="12">
        <v>563.6</v>
      </c>
      <c r="F19" s="12">
        <v>64</v>
      </c>
      <c r="G19" s="17">
        <v>28383</v>
      </c>
      <c r="H19" s="15">
        <f t="shared" si="0"/>
        <v>99.868052989919249</v>
      </c>
    </row>
    <row r="20" spans="1:8" ht="15" customHeight="1" x14ac:dyDescent="0.3">
      <c r="A20" s="16">
        <v>45839</v>
      </c>
      <c r="B20" s="9" t="s">
        <v>281</v>
      </c>
      <c r="C20" s="9" t="s">
        <v>164</v>
      </c>
      <c r="D20" s="17">
        <v>304274</v>
      </c>
      <c r="E20" s="12">
        <v>577.9</v>
      </c>
      <c r="F20" s="12">
        <v>56.8</v>
      </c>
      <c r="G20" s="17">
        <v>36366</v>
      </c>
      <c r="H20" s="15">
        <f t="shared" si="0"/>
        <v>119.5172771909529</v>
      </c>
    </row>
    <row r="21" spans="1:8" ht="15" customHeight="1" x14ac:dyDescent="0.3">
      <c r="A21" s="16">
        <v>45839</v>
      </c>
      <c r="B21" s="9" t="s">
        <v>297</v>
      </c>
      <c r="C21" s="9" t="s">
        <v>171</v>
      </c>
      <c r="D21" s="17">
        <v>241485</v>
      </c>
      <c r="E21" s="12">
        <v>481.6</v>
      </c>
      <c r="F21" s="12">
        <v>65.900000000000006</v>
      </c>
      <c r="G21" s="17">
        <v>8557</v>
      </c>
      <c r="H21" s="15">
        <f t="shared" si="0"/>
        <v>35.434913141602998</v>
      </c>
    </row>
    <row r="22" spans="1:8" ht="15" customHeight="1" x14ac:dyDescent="0.3">
      <c r="A22" s="16">
        <v>45839</v>
      </c>
      <c r="B22" s="9" t="s">
        <v>299</v>
      </c>
      <c r="C22" s="9" t="s">
        <v>171</v>
      </c>
      <c r="D22" s="17">
        <v>201995</v>
      </c>
      <c r="E22" s="12">
        <v>400.3</v>
      </c>
      <c r="F22" s="12">
        <v>61.8</v>
      </c>
      <c r="G22" s="17">
        <v>7385</v>
      </c>
      <c r="H22" s="15">
        <f t="shared" si="0"/>
        <v>36.560310898784621</v>
      </c>
    </row>
    <row r="23" spans="1:8" ht="15" customHeight="1" x14ac:dyDescent="0.3">
      <c r="A23" s="16">
        <v>45870</v>
      </c>
      <c r="B23" s="9" t="s">
        <v>300</v>
      </c>
      <c r="C23" s="9" t="s">
        <v>172</v>
      </c>
      <c r="D23" s="17">
        <v>357946</v>
      </c>
      <c r="E23" s="12">
        <v>770.1</v>
      </c>
      <c r="F23" s="12">
        <v>88.4</v>
      </c>
      <c r="G23" s="17">
        <v>6866</v>
      </c>
      <c r="H23" s="15">
        <f t="shared" si="0"/>
        <v>19.181664273382019</v>
      </c>
    </row>
    <row r="24" spans="1:8" ht="15" customHeight="1" x14ac:dyDescent="0.3">
      <c r="A24" s="16">
        <v>45870</v>
      </c>
      <c r="B24" s="9" t="s">
        <v>302</v>
      </c>
      <c r="C24" s="9" t="s">
        <v>172</v>
      </c>
      <c r="D24" s="17">
        <v>323853</v>
      </c>
      <c r="E24" s="12">
        <v>683.2</v>
      </c>
      <c r="F24" s="12">
        <v>94.5</v>
      </c>
      <c r="G24" s="17">
        <v>6344</v>
      </c>
      <c r="H24" s="15">
        <f t="shared" si="0"/>
        <v>19.58913457648995</v>
      </c>
    </row>
    <row r="25" spans="1:8" ht="15" customHeight="1" x14ac:dyDescent="0.3">
      <c r="A25" s="16">
        <v>45870</v>
      </c>
      <c r="B25" s="9" t="s">
        <v>284</v>
      </c>
      <c r="C25" s="9" t="s">
        <v>167</v>
      </c>
      <c r="D25" s="17">
        <v>684266</v>
      </c>
      <c r="E25" s="12">
        <v>583.9</v>
      </c>
      <c r="F25" s="12">
        <v>62.4</v>
      </c>
      <c r="G25" s="17">
        <v>16354</v>
      </c>
      <c r="H25" s="15">
        <f t="shared" si="0"/>
        <v>23.900062256490898</v>
      </c>
    </row>
    <row r="26" spans="1:8" ht="15" customHeight="1" x14ac:dyDescent="0.3">
      <c r="A26" s="16">
        <v>45870</v>
      </c>
      <c r="B26" s="9" t="s">
        <v>286</v>
      </c>
      <c r="C26" s="9" t="s">
        <v>167</v>
      </c>
      <c r="D26" s="17">
        <v>441926</v>
      </c>
      <c r="E26" s="12">
        <v>561.5</v>
      </c>
      <c r="F26" s="12">
        <v>76.5</v>
      </c>
      <c r="G26" s="17">
        <v>33751</v>
      </c>
      <c r="H26" s="15">
        <f t="shared" si="0"/>
        <v>76.372514855428292</v>
      </c>
    </row>
    <row r="27" spans="1:8" ht="15" customHeight="1" x14ac:dyDescent="0.3">
      <c r="A27" s="16">
        <v>45870</v>
      </c>
      <c r="B27" s="9" t="s">
        <v>288</v>
      </c>
      <c r="C27" s="9" t="s">
        <v>167</v>
      </c>
      <c r="D27" s="17">
        <v>810633</v>
      </c>
      <c r="E27" s="12">
        <v>572.1</v>
      </c>
      <c r="F27" s="12">
        <v>57</v>
      </c>
      <c r="G27" s="17">
        <v>22325</v>
      </c>
      <c r="H27" s="15">
        <f t="shared" si="0"/>
        <v>27.540206233893759</v>
      </c>
    </row>
    <row r="28" spans="1:8" ht="15" customHeight="1" x14ac:dyDescent="0.3">
      <c r="A28" s="16">
        <v>45870</v>
      </c>
      <c r="B28" s="9" t="s">
        <v>290</v>
      </c>
      <c r="C28" s="9" t="s">
        <v>167</v>
      </c>
      <c r="D28" s="17">
        <v>617569</v>
      </c>
      <c r="E28" s="12">
        <v>589</v>
      </c>
      <c r="F28" s="12">
        <v>63</v>
      </c>
      <c r="G28" s="17">
        <v>34409</v>
      </c>
      <c r="H28" s="15">
        <f t="shared" si="0"/>
        <v>55.716851072511737</v>
      </c>
    </row>
    <row r="29" spans="1:8" ht="15" customHeight="1" x14ac:dyDescent="0.3">
      <c r="A29" s="16">
        <v>45870</v>
      </c>
      <c r="B29" s="9" t="s">
        <v>291</v>
      </c>
      <c r="C29" s="9" t="s">
        <v>167</v>
      </c>
      <c r="D29" s="17">
        <v>451893</v>
      </c>
      <c r="E29" s="12">
        <v>569.1</v>
      </c>
      <c r="F29" s="12">
        <v>61.6</v>
      </c>
      <c r="G29" s="17">
        <v>21488</v>
      </c>
      <c r="H29" s="15">
        <f t="shared" si="0"/>
        <v>47.551079569721146</v>
      </c>
    </row>
    <row r="30" spans="1:8" ht="15" customHeight="1" x14ac:dyDescent="0.3">
      <c r="A30" s="16">
        <v>45870</v>
      </c>
      <c r="B30" s="9" t="s">
        <v>292</v>
      </c>
      <c r="C30" s="9" t="s">
        <v>167</v>
      </c>
      <c r="D30" s="17">
        <v>299102</v>
      </c>
      <c r="E30" s="12">
        <v>565.20000000000005</v>
      </c>
      <c r="F30" s="12">
        <v>61.9</v>
      </c>
      <c r="G30" s="17">
        <v>22088</v>
      </c>
      <c r="H30" s="15">
        <f t="shared" si="0"/>
        <v>73.847717501053154</v>
      </c>
    </row>
    <row r="31" spans="1:8" ht="15" customHeight="1" x14ac:dyDescent="0.3">
      <c r="A31" s="16">
        <v>45870</v>
      </c>
      <c r="B31" s="9" t="s">
        <v>270</v>
      </c>
      <c r="C31" s="9" t="s">
        <v>164</v>
      </c>
      <c r="D31" s="17">
        <v>321728</v>
      </c>
      <c r="E31" s="12">
        <v>537.79999999999995</v>
      </c>
      <c r="F31" s="12">
        <v>81</v>
      </c>
      <c r="G31" s="17">
        <v>21057</v>
      </c>
      <c r="H31" s="15">
        <f t="shared" si="0"/>
        <v>65.449696638153966</v>
      </c>
    </row>
    <row r="32" spans="1:8" ht="15" customHeight="1" x14ac:dyDescent="0.3">
      <c r="A32" s="16">
        <v>45870</v>
      </c>
      <c r="B32" s="9" t="s">
        <v>273</v>
      </c>
      <c r="C32" s="9" t="s">
        <v>164</v>
      </c>
      <c r="D32" s="17">
        <v>315286</v>
      </c>
      <c r="E32" s="12">
        <v>525.70000000000005</v>
      </c>
      <c r="F32" s="12">
        <v>81.599999999999994</v>
      </c>
      <c r="G32" s="17">
        <v>33386</v>
      </c>
      <c r="H32" s="15">
        <f t="shared" si="0"/>
        <v>105.89115913805243</v>
      </c>
    </row>
    <row r="33" spans="1:8" ht="15" customHeight="1" x14ac:dyDescent="0.3">
      <c r="A33" s="16">
        <v>45870</v>
      </c>
      <c r="B33" s="9" t="s">
        <v>275</v>
      </c>
      <c r="C33" s="9" t="s">
        <v>164</v>
      </c>
      <c r="D33" s="17">
        <v>226250</v>
      </c>
      <c r="E33" s="12">
        <v>556.4</v>
      </c>
      <c r="F33" s="12">
        <v>67.099999999999994</v>
      </c>
      <c r="G33" s="17">
        <v>35827</v>
      </c>
      <c r="H33" s="15">
        <f t="shared" si="0"/>
        <v>158.35138121546959</v>
      </c>
    </row>
    <row r="34" spans="1:8" ht="15" customHeight="1" x14ac:dyDescent="0.3">
      <c r="A34" s="16">
        <v>45870</v>
      </c>
      <c r="B34" s="9" t="s">
        <v>276</v>
      </c>
      <c r="C34" s="9" t="s">
        <v>164</v>
      </c>
      <c r="D34" s="17">
        <v>267309</v>
      </c>
      <c r="E34" s="12">
        <v>560.70000000000005</v>
      </c>
      <c r="F34" s="12">
        <v>63.6</v>
      </c>
      <c r="G34" s="17">
        <v>20617</v>
      </c>
      <c r="H34" s="15">
        <f t="shared" si="0"/>
        <v>77.127968007062975</v>
      </c>
    </row>
    <row r="35" spans="1:8" ht="15" customHeight="1" x14ac:dyDescent="0.3">
      <c r="A35" s="16">
        <v>45870</v>
      </c>
      <c r="B35" s="9" t="s">
        <v>277</v>
      </c>
      <c r="C35" s="9" t="s">
        <v>164</v>
      </c>
      <c r="D35" s="17">
        <v>185955</v>
      </c>
      <c r="E35" s="12">
        <v>457.3</v>
      </c>
      <c r="F35" s="12">
        <v>118.9</v>
      </c>
      <c r="G35" s="17">
        <v>28622</v>
      </c>
      <c r="H35" s="15">
        <f t="shared" si="0"/>
        <v>153.91895888790299</v>
      </c>
    </row>
    <row r="36" spans="1:8" ht="15" customHeight="1" x14ac:dyDescent="0.3">
      <c r="A36" s="16">
        <v>45870</v>
      </c>
      <c r="B36" s="9" t="s">
        <v>278</v>
      </c>
      <c r="C36" s="9" t="s">
        <v>164</v>
      </c>
      <c r="D36" s="17">
        <v>247023</v>
      </c>
      <c r="E36" s="12">
        <v>534.9</v>
      </c>
      <c r="F36" s="12">
        <v>79.099999999999994</v>
      </c>
      <c r="G36" s="17">
        <v>33338</v>
      </c>
      <c r="H36" s="15">
        <f t="shared" si="0"/>
        <v>134.95909287799114</v>
      </c>
    </row>
    <row r="37" spans="1:8" ht="15" customHeight="1" x14ac:dyDescent="0.3">
      <c r="A37" s="16">
        <v>45870</v>
      </c>
      <c r="B37" s="9" t="s">
        <v>279</v>
      </c>
      <c r="C37" s="9" t="s">
        <v>164</v>
      </c>
      <c r="D37" s="17">
        <v>282226</v>
      </c>
      <c r="E37" s="12">
        <v>561</v>
      </c>
      <c r="F37" s="12">
        <v>66.400000000000006</v>
      </c>
      <c r="G37" s="17">
        <v>26888</v>
      </c>
      <c r="H37" s="15">
        <f t="shared" si="0"/>
        <v>95.271165661562009</v>
      </c>
    </row>
    <row r="38" spans="1:8" ht="15" customHeight="1" x14ac:dyDescent="0.3">
      <c r="A38" s="16">
        <v>45870</v>
      </c>
      <c r="B38" s="9" t="s">
        <v>281</v>
      </c>
      <c r="C38" s="9" t="s">
        <v>164</v>
      </c>
      <c r="D38" s="17">
        <v>292490</v>
      </c>
      <c r="E38" s="12">
        <v>524.1</v>
      </c>
      <c r="F38" s="12">
        <v>80.3</v>
      </c>
      <c r="G38" s="17">
        <v>32324</v>
      </c>
      <c r="H38" s="15">
        <f t="shared" si="0"/>
        <v>110.51317993777565</v>
      </c>
    </row>
    <row r="39" spans="1:8" ht="15" customHeight="1" x14ac:dyDescent="0.3">
      <c r="A39" s="16">
        <v>45870</v>
      </c>
      <c r="B39" s="9" t="s">
        <v>297</v>
      </c>
      <c r="C39" s="9" t="s">
        <v>171</v>
      </c>
      <c r="D39" s="17">
        <v>81173</v>
      </c>
      <c r="E39" s="12">
        <v>170</v>
      </c>
      <c r="F39" s="12">
        <v>46.5</v>
      </c>
      <c r="G39" s="17">
        <v>2956</v>
      </c>
      <c r="H39" s="15">
        <f t="shared" si="0"/>
        <v>36.41604967168886</v>
      </c>
    </row>
    <row r="40" spans="1:8" ht="15" customHeight="1" x14ac:dyDescent="0.3">
      <c r="A40" s="16">
        <v>45870</v>
      </c>
      <c r="B40" s="9" t="s">
        <v>299</v>
      </c>
      <c r="C40" s="9" t="s">
        <v>171</v>
      </c>
      <c r="D40" s="17">
        <v>156587</v>
      </c>
      <c r="E40" s="12">
        <v>310.3</v>
      </c>
      <c r="F40" s="12">
        <v>39.1</v>
      </c>
      <c r="G40" s="17">
        <v>5299</v>
      </c>
      <c r="H40" s="15">
        <f t="shared" si="0"/>
        <v>33.840612566815892</v>
      </c>
    </row>
    <row r="41" spans="1:8" ht="15" customHeight="1" x14ac:dyDescent="0.3">
      <c r="A41" s="16">
        <v>45901</v>
      </c>
      <c r="B41" s="9" t="s">
        <v>300</v>
      </c>
      <c r="C41" s="9" t="s">
        <v>172</v>
      </c>
      <c r="D41" s="17">
        <v>293170</v>
      </c>
      <c r="E41" s="12">
        <v>626.79999999999995</v>
      </c>
      <c r="F41" s="12">
        <v>70.400000000000006</v>
      </c>
      <c r="G41" s="17">
        <v>5625</v>
      </c>
      <c r="H41" s="15">
        <f t="shared" si="0"/>
        <v>19.18681993382679</v>
      </c>
    </row>
    <row r="42" spans="1:8" ht="15" customHeight="1" x14ac:dyDescent="0.3">
      <c r="A42" s="16">
        <v>45901</v>
      </c>
      <c r="B42" s="9" t="s">
        <v>302</v>
      </c>
      <c r="C42" s="9" t="s">
        <v>172</v>
      </c>
      <c r="D42" s="17">
        <v>279296</v>
      </c>
      <c r="E42" s="12">
        <v>596.9</v>
      </c>
      <c r="F42" s="12">
        <v>67.3</v>
      </c>
      <c r="G42" s="17">
        <v>5510</v>
      </c>
      <c r="H42" s="15">
        <f t="shared" si="0"/>
        <v>19.728173693858842</v>
      </c>
    </row>
    <row r="43" spans="1:8" ht="15" customHeight="1" x14ac:dyDescent="0.3">
      <c r="A43" s="16">
        <v>45901</v>
      </c>
      <c r="B43" s="9" t="s">
        <v>284</v>
      </c>
      <c r="C43" s="9" t="s">
        <v>167</v>
      </c>
      <c r="D43" s="17">
        <v>623223</v>
      </c>
      <c r="E43" s="12">
        <v>526.79999999999995</v>
      </c>
      <c r="F43" s="12">
        <v>74.099999999999994</v>
      </c>
      <c r="G43" s="17">
        <v>15497</v>
      </c>
      <c r="H43" s="15">
        <f t="shared" si="0"/>
        <v>24.865898723249945</v>
      </c>
    </row>
    <row r="44" spans="1:8" ht="15" customHeight="1" x14ac:dyDescent="0.3">
      <c r="A44" s="16">
        <v>45901</v>
      </c>
      <c r="B44" s="9" t="s">
        <v>286</v>
      </c>
      <c r="C44" s="9" t="s">
        <v>167</v>
      </c>
      <c r="D44" s="17">
        <v>440486</v>
      </c>
      <c r="E44" s="12">
        <v>563</v>
      </c>
      <c r="F44" s="12">
        <v>64.099999999999994</v>
      </c>
      <c r="G44" s="17">
        <v>34741</v>
      </c>
      <c r="H44" s="15">
        <f t="shared" si="0"/>
        <v>78.86970300985729</v>
      </c>
    </row>
    <row r="45" spans="1:8" ht="15" customHeight="1" x14ac:dyDescent="0.3">
      <c r="A45" s="16">
        <v>45901</v>
      </c>
      <c r="B45" s="9" t="s">
        <v>288</v>
      </c>
      <c r="C45" s="9" t="s">
        <v>167</v>
      </c>
      <c r="D45" s="17">
        <v>798021</v>
      </c>
      <c r="E45" s="12">
        <v>560.9</v>
      </c>
      <c r="F45" s="12">
        <v>60.5</v>
      </c>
      <c r="G45" s="17">
        <v>22906</v>
      </c>
      <c r="H45" s="15">
        <f t="shared" si="0"/>
        <v>28.703505296226542</v>
      </c>
    </row>
    <row r="46" spans="1:8" ht="15" customHeight="1" x14ac:dyDescent="0.3">
      <c r="A46" s="16">
        <v>45901</v>
      </c>
      <c r="B46" s="9" t="s">
        <v>290</v>
      </c>
      <c r="C46" s="9" t="s">
        <v>167</v>
      </c>
      <c r="D46" s="17">
        <v>497477</v>
      </c>
      <c r="E46" s="12">
        <v>573.79999999999995</v>
      </c>
      <c r="F46" s="12">
        <v>49.5</v>
      </c>
      <c r="G46" s="17">
        <v>34482</v>
      </c>
      <c r="H46" s="15">
        <f t="shared" si="0"/>
        <v>69.313757218926696</v>
      </c>
    </row>
    <row r="47" spans="1:8" ht="15" customHeight="1" x14ac:dyDescent="0.3">
      <c r="A47" s="16">
        <v>45901</v>
      </c>
      <c r="B47" s="9" t="s">
        <v>291</v>
      </c>
      <c r="C47" s="9" t="s">
        <v>167</v>
      </c>
      <c r="D47" s="17">
        <v>424662</v>
      </c>
      <c r="E47" s="12">
        <v>542.29999999999995</v>
      </c>
      <c r="F47" s="12">
        <v>62.5</v>
      </c>
      <c r="G47" s="17">
        <v>21420</v>
      </c>
      <c r="H47" s="15">
        <f t="shared" si="0"/>
        <v>50.440114726535455</v>
      </c>
    </row>
    <row r="48" spans="1:8" ht="15" customHeight="1" x14ac:dyDescent="0.3">
      <c r="A48" s="16">
        <v>45901</v>
      </c>
      <c r="B48" s="9" t="s">
        <v>292</v>
      </c>
      <c r="C48" s="9" t="s">
        <v>167</v>
      </c>
      <c r="D48" s="17">
        <v>286173</v>
      </c>
      <c r="E48" s="12">
        <v>550.70000000000005</v>
      </c>
      <c r="F48" s="12">
        <v>63.2</v>
      </c>
      <c r="G48" s="17">
        <v>22496</v>
      </c>
      <c r="H48" s="15">
        <f t="shared" si="0"/>
        <v>78.609791978977739</v>
      </c>
    </row>
    <row r="49" spans="1:8" ht="15" customHeight="1" x14ac:dyDescent="0.3">
      <c r="A49" s="16">
        <v>45901</v>
      </c>
      <c r="B49" s="9" t="s">
        <v>270</v>
      </c>
      <c r="C49" s="9" t="s">
        <v>164</v>
      </c>
      <c r="D49" s="17">
        <v>293619</v>
      </c>
      <c r="E49" s="12">
        <v>490.8</v>
      </c>
      <c r="F49" s="12">
        <v>96</v>
      </c>
      <c r="G49" s="17">
        <v>19518</v>
      </c>
      <c r="H49" s="15">
        <f t="shared" si="0"/>
        <v>66.473899849805349</v>
      </c>
    </row>
    <row r="50" spans="1:8" ht="15" customHeight="1" x14ac:dyDescent="0.3">
      <c r="A50" s="16">
        <v>45901</v>
      </c>
      <c r="B50" s="9" t="s">
        <v>273</v>
      </c>
      <c r="C50" s="9" t="s">
        <v>164</v>
      </c>
      <c r="D50" s="17">
        <v>316701</v>
      </c>
      <c r="E50" s="12">
        <v>529</v>
      </c>
      <c r="F50" s="12">
        <v>58.8</v>
      </c>
      <c r="G50" s="17">
        <v>32862</v>
      </c>
      <c r="H50" s="15">
        <f t="shared" si="0"/>
        <v>103.763486695653</v>
      </c>
    </row>
    <row r="51" spans="1:8" ht="15" customHeight="1" x14ac:dyDescent="0.3">
      <c r="A51" s="16">
        <v>45901</v>
      </c>
      <c r="B51" s="9" t="s">
        <v>275</v>
      </c>
      <c r="C51" s="9" t="s">
        <v>164</v>
      </c>
      <c r="D51" s="17">
        <v>221782</v>
      </c>
      <c r="E51" s="12">
        <v>553.1</v>
      </c>
      <c r="F51" s="12">
        <v>57.5</v>
      </c>
      <c r="G51" s="17">
        <v>35365</v>
      </c>
      <c r="H51" s="15">
        <f t="shared" si="0"/>
        <v>159.45838706477534</v>
      </c>
    </row>
    <row r="52" spans="1:8" ht="15" customHeight="1" x14ac:dyDescent="0.3">
      <c r="A52" s="16">
        <v>45901</v>
      </c>
      <c r="B52" s="9" t="s">
        <v>276</v>
      </c>
      <c r="C52" s="9" t="s">
        <v>164</v>
      </c>
      <c r="D52" s="17">
        <v>227548</v>
      </c>
      <c r="E52" s="12">
        <v>509.3</v>
      </c>
      <c r="F52" s="12">
        <v>80.2</v>
      </c>
      <c r="G52" s="17">
        <v>19001</v>
      </c>
      <c r="H52" s="15">
        <f t="shared" si="0"/>
        <v>83.50326085045792</v>
      </c>
    </row>
    <row r="53" spans="1:8" ht="15" customHeight="1" x14ac:dyDescent="0.3">
      <c r="A53" s="16">
        <v>45901</v>
      </c>
      <c r="B53" s="9" t="s">
        <v>277</v>
      </c>
      <c r="C53" s="9" t="s">
        <v>164</v>
      </c>
      <c r="D53" s="17">
        <v>116188</v>
      </c>
      <c r="E53" s="12">
        <v>468.5</v>
      </c>
      <c r="F53" s="12">
        <v>108.1</v>
      </c>
      <c r="G53" s="17">
        <v>28945</v>
      </c>
      <c r="H53" s="15">
        <f t="shared" si="0"/>
        <v>249.12211243846181</v>
      </c>
    </row>
    <row r="54" spans="1:8" ht="15" customHeight="1" x14ac:dyDescent="0.3">
      <c r="A54" s="16">
        <v>45901</v>
      </c>
      <c r="B54" s="9" t="s">
        <v>278</v>
      </c>
      <c r="C54" s="9" t="s">
        <v>164</v>
      </c>
      <c r="D54" s="17">
        <v>258646</v>
      </c>
      <c r="E54" s="12">
        <v>514.9</v>
      </c>
      <c r="F54" s="12">
        <v>73.3</v>
      </c>
      <c r="G54" s="17">
        <v>32061</v>
      </c>
      <c r="H54" s="15">
        <f t="shared" si="0"/>
        <v>123.95706873487315</v>
      </c>
    </row>
    <row r="55" spans="1:8" ht="15" customHeight="1" x14ac:dyDescent="0.3">
      <c r="A55" s="16">
        <v>45901</v>
      </c>
      <c r="B55" s="9" t="s">
        <v>279</v>
      </c>
      <c r="C55" s="9" t="s">
        <v>164</v>
      </c>
      <c r="D55" s="17">
        <v>273421</v>
      </c>
      <c r="E55" s="12">
        <v>524.20000000000005</v>
      </c>
      <c r="F55" s="12">
        <v>66</v>
      </c>
      <c r="G55" s="17">
        <v>25270</v>
      </c>
      <c r="H55" s="15">
        <f t="shared" si="0"/>
        <v>92.421576982016731</v>
      </c>
    </row>
    <row r="56" spans="1:8" ht="15" customHeight="1" x14ac:dyDescent="0.3">
      <c r="A56" s="16">
        <v>45901</v>
      </c>
      <c r="B56" s="9" t="s">
        <v>281</v>
      </c>
      <c r="C56" s="9" t="s">
        <v>164</v>
      </c>
      <c r="D56" s="17">
        <v>284946</v>
      </c>
      <c r="E56" s="12">
        <v>513.1</v>
      </c>
      <c r="F56" s="12">
        <v>78.3</v>
      </c>
      <c r="G56" s="17">
        <v>31711</v>
      </c>
      <c r="H56" s="15">
        <f t="shared" si="0"/>
        <v>111.28775276719098</v>
      </c>
    </row>
    <row r="57" spans="1:8" ht="15" customHeight="1" x14ac:dyDescent="0.3">
      <c r="A57" s="16">
        <v>45901</v>
      </c>
      <c r="B57" s="9" t="s">
        <v>297</v>
      </c>
      <c r="C57" s="9" t="s">
        <v>171</v>
      </c>
      <c r="D57" s="17">
        <v>121326</v>
      </c>
      <c r="E57" s="12">
        <v>241.6</v>
      </c>
      <c r="F57" s="12">
        <v>46</v>
      </c>
      <c r="G57" s="17">
        <v>3995</v>
      </c>
      <c r="H57" s="15">
        <f t="shared" si="0"/>
        <v>32.927814318447815</v>
      </c>
    </row>
    <row r="58" spans="1:8" ht="15" customHeight="1" x14ac:dyDescent="0.3">
      <c r="A58" s="16">
        <v>45901</v>
      </c>
      <c r="B58" s="9" t="s">
        <v>299</v>
      </c>
      <c r="C58" s="9" t="s">
        <v>171</v>
      </c>
      <c r="D58" s="17">
        <v>250966</v>
      </c>
      <c r="E58" s="12">
        <v>476.8</v>
      </c>
      <c r="F58" s="12">
        <v>61.1</v>
      </c>
      <c r="G58" s="17">
        <v>7968</v>
      </c>
      <c r="H58" s="15">
        <f t="shared" si="0"/>
        <v>31.749320625104598</v>
      </c>
    </row>
    <row r="59" spans="1:8" ht="15" customHeight="1" x14ac:dyDescent="0.3">
      <c r="A59" s="16">
        <v>45931</v>
      </c>
      <c r="B59" s="9" t="s">
        <v>300</v>
      </c>
      <c r="C59" s="9" t="s">
        <v>172</v>
      </c>
      <c r="D59" s="17">
        <v>267807</v>
      </c>
      <c r="E59" s="12">
        <v>568.20000000000005</v>
      </c>
      <c r="F59" s="12">
        <v>85.4</v>
      </c>
      <c r="G59" s="17">
        <v>4918</v>
      </c>
      <c r="H59" s="15">
        <f t="shared" si="0"/>
        <v>18.363971068717397</v>
      </c>
    </row>
    <row r="60" spans="1:8" ht="15" customHeight="1" x14ac:dyDescent="0.3">
      <c r="A60" s="16">
        <v>45931</v>
      </c>
      <c r="B60" s="9" t="s">
        <v>302</v>
      </c>
      <c r="C60" s="9" t="s">
        <v>172</v>
      </c>
      <c r="D60" s="17">
        <v>282720</v>
      </c>
      <c r="E60" s="12">
        <v>597.79999999999995</v>
      </c>
      <c r="F60" s="12">
        <v>72.7</v>
      </c>
      <c r="G60" s="17">
        <v>5253</v>
      </c>
      <c r="H60" s="15">
        <f t="shared" si="0"/>
        <v>18.580220713073004</v>
      </c>
    </row>
    <row r="61" spans="1:8" ht="15" customHeight="1" x14ac:dyDescent="0.3">
      <c r="A61" s="16">
        <v>45931</v>
      </c>
      <c r="B61" s="9" t="s">
        <v>284</v>
      </c>
      <c r="C61" s="9" t="s">
        <v>167</v>
      </c>
      <c r="D61" s="17">
        <v>646237</v>
      </c>
      <c r="E61" s="12">
        <v>549.1</v>
      </c>
      <c r="F61" s="12">
        <v>81.3</v>
      </c>
      <c r="G61" s="17">
        <v>15663</v>
      </c>
      <c r="H61" s="15">
        <f t="shared" si="0"/>
        <v>24.237238041152086</v>
      </c>
    </row>
    <row r="62" spans="1:8" ht="15" customHeight="1" x14ac:dyDescent="0.3">
      <c r="A62" s="16">
        <v>45931</v>
      </c>
      <c r="B62" s="9" t="s">
        <v>286</v>
      </c>
      <c r="C62" s="9" t="s">
        <v>167</v>
      </c>
      <c r="D62" s="17">
        <v>483396</v>
      </c>
      <c r="E62" s="12">
        <v>615.29999999999995</v>
      </c>
      <c r="F62" s="12">
        <v>46.5</v>
      </c>
      <c r="G62" s="17">
        <v>35753</v>
      </c>
      <c r="H62" s="15">
        <f t="shared" si="0"/>
        <v>73.962134564621977</v>
      </c>
    </row>
    <row r="63" spans="1:8" ht="15" customHeight="1" x14ac:dyDescent="0.3">
      <c r="A63" s="16">
        <v>45931</v>
      </c>
      <c r="B63" s="9" t="s">
        <v>288</v>
      </c>
      <c r="C63" s="9" t="s">
        <v>167</v>
      </c>
      <c r="D63" s="17">
        <v>845978</v>
      </c>
      <c r="E63" s="12">
        <v>577.70000000000005</v>
      </c>
      <c r="F63" s="12">
        <v>61</v>
      </c>
      <c r="G63" s="17">
        <v>22819</v>
      </c>
      <c r="H63" s="15">
        <f t="shared" si="0"/>
        <v>26.973514677686655</v>
      </c>
    </row>
    <row r="64" spans="1:8" ht="15" customHeight="1" x14ac:dyDescent="0.3">
      <c r="A64" s="16">
        <v>45931</v>
      </c>
      <c r="B64" s="9" t="s">
        <v>290</v>
      </c>
      <c r="C64" s="9" t="s">
        <v>167</v>
      </c>
      <c r="D64" s="17">
        <v>378772</v>
      </c>
      <c r="E64" s="12">
        <v>519.1</v>
      </c>
      <c r="F64" s="12">
        <v>98.9</v>
      </c>
      <c r="G64" s="17">
        <v>32324</v>
      </c>
      <c r="H64" s="15">
        <f t="shared" si="0"/>
        <v>85.338937408256157</v>
      </c>
    </row>
    <row r="65" spans="1:8" ht="15" customHeight="1" x14ac:dyDescent="0.3">
      <c r="A65" s="16">
        <v>45931</v>
      </c>
      <c r="B65" s="9" t="s">
        <v>291</v>
      </c>
      <c r="C65" s="9" t="s">
        <v>167</v>
      </c>
      <c r="D65" s="17">
        <v>418750</v>
      </c>
      <c r="E65" s="12">
        <v>525.29999999999995</v>
      </c>
      <c r="F65" s="12">
        <v>83</v>
      </c>
      <c r="G65" s="17">
        <v>20454</v>
      </c>
      <c r="H65" s="15">
        <f t="shared" si="0"/>
        <v>48.845373134328355</v>
      </c>
    </row>
    <row r="66" spans="1:8" ht="15" customHeight="1" x14ac:dyDescent="0.3">
      <c r="A66" s="16">
        <v>45931</v>
      </c>
      <c r="B66" s="9" t="s">
        <v>292</v>
      </c>
      <c r="C66" s="9" t="s">
        <v>167</v>
      </c>
      <c r="D66" s="17">
        <v>290756</v>
      </c>
      <c r="E66" s="12">
        <v>591.29999999999995</v>
      </c>
      <c r="F66" s="12">
        <v>50.5</v>
      </c>
      <c r="G66" s="17">
        <v>23108</v>
      </c>
      <c r="H66" s="15">
        <f t="shared" si="0"/>
        <v>79.475574020828461</v>
      </c>
    </row>
    <row r="67" spans="1:8" ht="15" customHeight="1" x14ac:dyDescent="0.3">
      <c r="A67" s="16">
        <v>45931</v>
      </c>
      <c r="B67" s="9" t="s">
        <v>270</v>
      </c>
      <c r="C67" s="9" t="s">
        <v>164</v>
      </c>
      <c r="D67" s="17">
        <v>333662</v>
      </c>
      <c r="E67" s="12">
        <v>558.79999999999995</v>
      </c>
      <c r="F67" s="12">
        <v>68.900000000000006</v>
      </c>
      <c r="G67" s="17">
        <v>21384</v>
      </c>
      <c r="H67" s="15">
        <f t="shared" si="0"/>
        <v>64.088808434883205</v>
      </c>
    </row>
    <row r="68" spans="1:8" ht="15" customHeight="1" x14ac:dyDescent="0.3">
      <c r="A68" s="16">
        <v>45931</v>
      </c>
      <c r="B68" s="9" t="s">
        <v>273</v>
      </c>
      <c r="C68" s="9" t="s">
        <v>164</v>
      </c>
      <c r="D68" s="17">
        <v>316735</v>
      </c>
      <c r="E68" s="12">
        <v>537</v>
      </c>
      <c r="F68" s="12">
        <v>77.599999999999994</v>
      </c>
      <c r="G68" s="17">
        <v>33401</v>
      </c>
      <c r="H68" s="15">
        <f t="shared" si="0"/>
        <v>105.45408622349913</v>
      </c>
    </row>
    <row r="69" spans="1:8" ht="15" customHeight="1" x14ac:dyDescent="0.3">
      <c r="A69" s="16">
        <v>45931</v>
      </c>
      <c r="B69" s="9" t="s">
        <v>275</v>
      </c>
      <c r="C69" s="9" t="s">
        <v>164</v>
      </c>
      <c r="D69" s="17">
        <v>226231</v>
      </c>
      <c r="E69" s="12">
        <v>547.20000000000005</v>
      </c>
      <c r="F69" s="12">
        <v>75.3</v>
      </c>
      <c r="G69" s="17">
        <v>35044</v>
      </c>
      <c r="H69" s="15">
        <f t="shared" ref="H69:H132" si="1">IF(OR(A69="",D69=0),"",G69/D69*1000)</f>
        <v>154.90361621528436</v>
      </c>
    </row>
    <row r="70" spans="1:8" ht="15" customHeight="1" x14ac:dyDescent="0.3">
      <c r="A70" s="16">
        <v>45931</v>
      </c>
      <c r="B70" s="9" t="s">
        <v>276</v>
      </c>
      <c r="C70" s="9" t="s">
        <v>164</v>
      </c>
      <c r="D70" s="17">
        <v>217712</v>
      </c>
      <c r="E70" s="12">
        <v>563.6</v>
      </c>
      <c r="F70" s="12">
        <v>62.5</v>
      </c>
      <c r="G70" s="17">
        <v>20403</v>
      </c>
      <c r="H70" s="15">
        <f t="shared" si="1"/>
        <v>93.715550819431172</v>
      </c>
    </row>
    <row r="71" spans="1:8" ht="15" customHeight="1" x14ac:dyDescent="0.3">
      <c r="A71" s="16">
        <v>45931</v>
      </c>
      <c r="B71" s="9" t="s">
        <v>277</v>
      </c>
      <c r="C71" s="9" t="s">
        <v>164</v>
      </c>
      <c r="D71" s="17">
        <v>156339</v>
      </c>
      <c r="E71" s="12">
        <v>440.2</v>
      </c>
      <c r="F71" s="12">
        <v>122.4</v>
      </c>
      <c r="G71" s="17">
        <v>27404</v>
      </c>
      <c r="H71" s="15">
        <f t="shared" si="1"/>
        <v>175.28575723268028</v>
      </c>
    </row>
    <row r="72" spans="1:8" ht="15" customHeight="1" x14ac:dyDescent="0.3">
      <c r="A72" s="16">
        <v>45931</v>
      </c>
      <c r="B72" s="9" t="s">
        <v>278</v>
      </c>
      <c r="C72" s="9" t="s">
        <v>164</v>
      </c>
      <c r="D72" s="17">
        <v>249494</v>
      </c>
      <c r="E72" s="12">
        <v>556.70000000000005</v>
      </c>
      <c r="F72" s="12">
        <v>60.5</v>
      </c>
      <c r="G72" s="17">
        <v>33376</v>
      </c>
      <c r="H72" s="15">
        <f t="shared" si="1"/>
        <v>133.77476011447169</v>
      </c>
    </row>
    <row r="73" spans="1:8" ht="15" customHeight="1" x14ac:dyDescent="0.3">
      <c r="A73" s="16">
        <v>45931</v>
      </c>
      <c r="B73" s="9" t="s">
        <v>279</v>
      </c>
      <c r="C73" s="9" t="s">
        <v>164</v>
      </c>
      <c r="D73" s="17">
        <v>286197</v>
      </c>
      <c r="E73" s="12">
        <v>570.70000000000005</v>
      </c>
      <c r="F73" s="12">
        <v>69.5</v>
      </c>
      <c r="G73" s="17">
        <v>26989</v>
      </c>
      <c r="H73" s="15">
        <f t="shared" si="1"/>
        <v>94.302176472849126</v>
      </c>
    </row>
    <row r="74" spans="1:8" ht="15" customHeight="1" x14ac:dyDescent="0.3">
      <c r="A74" s="16">
        <v>45931</v>
      </c>
      <c r="B74" s="9" t="s">
        <v>281</v>
      </c>
      <c r="C74" s="9" t="s">
        <v>164</v>
      </c>
      <c r="D74" s="17">
        <v>308466</v>
      </c>
      <c r="E74" s="12">
        <v>571.9</v>
      </c>
      <c r="F74" s="12">
        <v>54.7</v>
      </c>
      <c r="G74" s="17">
        <v>33619</v>
      </c>
      <c r="H74" s="15">
        <f t="shared" si="1"/>
        <v>108.98770042727561</v>
      </c>
    </row>
    <row r="75" spans="1:8" ht="15" customHeight="1" x14ac:dyDescent="0.3">
      <c r="A75" s="16">
        <v>45931</v>
      </c>
      <c r="B75" s="9" t="s">
        <v>297</v>
      </c>
      <c r="C75" s="9" t="s">
        <v>171</v>
      </c>
      <c r="D75" s="17">
        <v>248438</v>
      </c>
      <c r="E75" s="12">
        <v>506</v>
      </c>
      <c r="F75" s="12">
        <v>102.6</v>
      </c>
      <c r="G75" s="17">
        <v>8826</v>
      </c>
      <c r="H75" s="15">
        <f t="shared" si="1"/>
        <v>35.525966237049083</v>
      </c>
    </row>
    <row r="76" spans="1:8" ht="15" customHeight="1" x14ac:dyDescent="0.3">
      <c r="A76" s="16">
        <v>45931</v>
      </c>
      <c r="B76" s="9" t="s">
        <v>299</v>
      </c>
      <c r="C76" s="9" t="s">
        <v>171</v>
      </c>
      <c r="D76" s="17">
        <v>183002</v>
      </c>
      <c r="E76" s="12">
        <v>369.3</v>
      </c>
      <c r="F76" s="12">
        <v>64.400000000000006</v>
      </c>
      <c r="G76" s="17">
        <v>6582</v>
      </c>
      <c r="H76" s="15">
        <f t="shared" si="1"/>
        <v>35.966820034753717</v>
      </c>
    </row>
    <row r="77" spans="1:8" ht="15" customHeight="1" x14ac:dyDescent="0.3">
      <c r="A77" s="16">
        <v>45962</v>
      </c>
      <c r="B77" s="9" t="s">
        <v>300</v>
      </c>
      <c r="C77" s="9" t="s">
        <v>172</v>
      </c>
      <c r="D77" s="17">
        <v>268995</v>
      </c>
      <c r="E77" s="12">
        <v>574.20000000000005</v>
      </c>
      <c r="F77" s="12">
        <v>90.1</v>
      </c>
      <c r="G77" s="17">
        <v>5137</v>
      </c>
      <c r="H77" s="15">
        <f t="shared" si="1"/>
        <v>19.097009238089928</v>
      </c>
    </row>
    <row r="78" spans="1:8" ht="15" customHeight="1" x14ac:dyDescent="0.3">
      <c r="A78" s="16">
        <v>45962</v>
      </c>
      <c r="B78" s="9" t="s">
        <v>302</v>
      </c>
      <c r="C78" s="9" t="s">
        <v>172</v>
      </c>
      <c r="D78" s="17">
        <v>279168</v>
      </c>
      <c r="E78" s="12">
        <v>594.4</v>
      </c>
      <c r="F78" s="12">
        <v>67.400000000000006</v>
      </c>
      <c r="G78" s="17">
        <v>5357</v>
      </c>
      <c r="H78" s="15">
        <f t="shared" si="1"/>
        <v>19.189162081613937</v>
      </c>
    </row>
    <row r="79" spans="1:8" ht="15" customHeight="1" x14ac:dyDescent="0.3">
      <c r="A79" s="16">
        <v>45962</v>
      </c>
      <c r="B79" s="9" t="s">
        <v>284</v>
      </c>
      <c r="C79" s="9" t="s">
        <v>167</v>
      </c>
      <c r="D79" s="17">
        <v>619839</v>
      </c>
      <c r="E79" s="12">
        <v>527.5</v>
      </c>
      <c r="F79" s="12">
        <v>80</v>
      </c>
      <c r="G79" s="17">
        <v>15143</v>
      </c>
      <c r="H79" s="15">
        <f t="shared" si="1"/>
        <v>24.430537607346427</v>
      </c>
    </row>
    <row r="80" spans="1:8" ht="15" customHeight="1" x14ac:dyDescent="0.3">
      <c r="A80" s="16">
        <v>45962</v>
      </c>
      <c r="B80" s="9" t="s">
        <v>286</v>
      </c>
      <c r="C80" s="9" t="s">
        <v>167</v>
      </c>
      <c r="D80" s="17">
        <v>428457</v>
      </c>
      <c r="E80" s="12">
        <v>545.5</v>
      </c>
      <c r="F80" s="12">
        <v>65.7</v>
      </c>
      <c r="G80" s="17">
        <v>32931</v>
      </c>
      <c r="H80" s="15">
        <f t="shared" si="1"/>
        <v>76.859521492238429</v>
      </c>
    </row>
    <row r="81" spans="1:8" ht="15" customHeight="1" x14ac:dyDescent="0.3">
      <c r="A81" s="16">
        <v>45962</v>
      </c>
      <c r="B81" s="9" t="s">
        <v>288</v>
      </c>
      <c r="C81" s="9" t="s">
        <v>167</v>
      </c>
      <c r="D81" s="17">
        <v>778675</v>
      </c>
      <c r="E81" s="12">
        <v>524.79999999999995</v>
      </c>
      <c r="F81" s="12">
        <v>73.900000000000006</v>
      </c>
      <c r="G81" s="17">
        <v>21149</v>
      </c>
      <c r="H81" s="15">
        <f t="shared" si="1"/>
        <v>27.160240151539472</v>
      </c>
    </row>
    <row r="82" spans="1:8" ht="15" customHeight="1" x14ac:dyDescent="0.3">
      <c r="A82" s="16">
        <v>45962</v>
      </c>
      <c r="B82" s="9" t="s">
        <v>290</v>
      </c>
      <c r="C82" s="9" t="s">
        <v>167</v>
      </c>
      <c r="D82" s="17">
        <v>456224</v>
      </c>
      <c r="E82" s="12">
        <v>595.5</v>
      </c>
      <c r="F82" s="12">
        <v>63.9</v>
      </c>
      <c r="G82" s="17">
        <v>35339</v>
      </c>
      <c r="H82" s="15">
        <f t="shared" si="1"/>
        <v>77.459756610787693</v>
      </c>
    </row>
    <row r="83" spans="1:8" ht="15" customHeight="1" x14ac:dyDescent="0.3">
      <c r="A83" s="16">
        <v>45962</v>
      </c>
      <c r="B83" s="9" t="s">
        <v>291</v>
      </c>
      <c r="C83" s="9" t="s">
        <v>167</v>
      </c>
      <c r="D83" s="17">
        <v>416100</v>
      </c>
      <c r="E83" s="12">
        <v>526.70000000000005</v>
      </c>
      <c r="F83" s="12">
        <v>73</v>
      </c>
      <c r="G83" s="17">
        <v>20459</v>
      </c>
      <c r="H83" s="15">
        <f t="shared" si="1"/>
        <v>49.16846911800048</v>
      </c>
    </row>
    <row r="84" spans="1:8" ht="15" customHeight="1" x14ac:dyDescent="0.3">
      <c r="A84" s="16">
        <v>45962</v>
      </c>
      <c r="B84" s="9" t="s">
        <v>292</v>
      </c>
      <c r="C84" s="9" t="s">
        <v>167</v>
      </c>
      <c r="D84" s="17">
        <v>276506</v>
      </c>
      <c r="E84" s="12">
        <v>556.5</v>
      </c>
      <c r="F84" s="12">
        <v>58.9</v>
      </c>
      <c r="G84" s="17">
        <v>22054</v>
      </c>
      <c r="H84" s="15">
        <f t="shared" si="1"/>
        <v>79.75957122087766</v>
      </c>
    </row>
    <row r="85" spans="1:8" ht="15" customHeight="1" x14ac:dyDescent="0.3">
      <c r="A85" s="16">
        <v>45962</v>
      </c>
      <c r="B85" s="9" t="s">
        <v>270</v>
      </c>
      <c r="C85" s="9" t="s">
        <v>164</v>
      </c>
      <c r="D85" s="17">
        <v>339803</v>
      </c>
      <c r="E85" s="12">
        <v>557</v>
      </c>
      <c r="F85" s="12">
        <v>55.1</v>
      </c>
      <c r="G85" s="17">
        <v>21939</v>
      </c>
      <c r="H85" s="15">
        <f t="shared" si="1"/>
        <v>64.563879659685171</v>
      </c>
    </row>
    <row r="86" spans="1:8" ht="15" customHeight="1" x14ac:dyDescent="0.3">
      <c r="A86" s="16">
        <v>45962</v>
      </c>
      <c r="B86" s="9" t="s">
        <v>273</v>
      </c>
      <c r="C86" s="9" t="s">
        <v>164</v>
      </c>
      <c r="D86" s="17">
        <v>315655</v>
      </c>
      <c r="E86" s="12">
        <v>520.29999999999995</v>
      </c>
      <c r="F86" s="12">
        <v>77.599999999999994</v>
      </c>
      <c r="G86" s="17">
        <v>33643</v>
      </c>
      <c r="H86" s="15">
        <f t="shared" si="1"/>
        <v>106.58155264450112</v>
      </c>
    </row>
    <row r="87" spans="1:8" ht="15" customHeight="1" x14ac:dyDescent="0.3">
      <c r="A87" s="16">
        <v>45962</v>
      </c>
      <c r="B87" s="9" t="s">
        <v>275</v>
      </c>
      <c r="C87" s="9" t="s">
        <v>164</v>
      </c>
      <c r="D87" s="17">
        <v>199425</v>
      </c>
      <c r="E87" s="12">
        <v>513.5</v>
      </c>
      <c r="F87" s="12">
        <v>74.099999999999994</v>
      </c>
      <c r="G87" s="17">
        <v>34234</v>
      </c>
      <c r="H87" s="15">
        <f t="shared" si="1"/>
        <v>171.66353265638713</v>
      </c>
    </row>
    <row r="88" spans="1:8" ht="15" customHeight="1" x14ac:dyDescent="0.3">
      <c r="A88" s="16">
        <v>45962</v>
      </c>
      <c r="B88" s="9" t="s">
        <v>276</v>
      </c>
      <c r="C88" s="9" t="s">
        <v>164</v>
      </c>
      <c r="D88" s="17">
        <v>195225</v>
      </c>
      <c r="E88" s="12">
        <v>567.20000000000005</v>
      </c>
      <c r="F88" s="12">
        <v>51.3</v>
      </c>
      <c r="G88" s="17">
        <v>21173</v>
      </c>
      <c r="H88" s="15">
        <f t="shared" si="1"/>
        <v>108.45434754770137</v>
      </c>
    </row>
    <row r="89" spans="1:8" ht="15" customHeight="1" x14ac:dyDescent="0.3">
      <c r="A89" s="16">
        <v>45962</v>
      </c>
      <c r="B89" s="9" t="s">
        <v>277</v>
      </c>
      <c r="C89" s="9" t="s">
        <v>164</v>
      </c>
      <c r="D89" s="17">
        <v>169236</v>
      </c>
      <c r="E89" s="12">
        <v>438.4</v>
      </c>
      <c r="F89" s="12">
        <v>109.9</v>
      </c>
      <c r="G89" s="17">
        <v>27891</v>
      </c>
      <c r="H89" s="15">
        <f t="shared" si="1"/>
        <v>164.80536056158266</v>
      </c>
    </row>
    <row r="90" spans="1:8" ht="15" customHeight="1" x14ac:dyDescent="0.3">
      <c r="A90" s="16">
        <v>45962</v>
      </c>
      <c r="B90" s="9" t="s">
        <v>278</v>
      </c>
      <c r="C90" s="9" t="s">
        <v>164</v>
      </c>
      <c r="D90" s="17">
        <v>214443</v>
      </c>
      <c r="E90" s="12">
        <v>510.7</v>
      </c>
      <c r="F90" s="12">
        <v>81</v>
      </c>
      <c r="G90" s="17">
        <v>32718</v>
      </c>
      <c r="H90" s="15">
        <f t="shared" si="1"/>
        <v>152.57201214308697</v>
      </c>
    </row>
    <row r="91" spans="1:8" ht="15" customHeight="1" x14ac:dyDescent="0.3">
      <c r="A91" s="16">
        <v>45962</v>
      </c>
      <c r="B91" s="9" t="s">
        <v>279</v>
      </c>
      <c r="C91" s="9" t="s">
        <v>164</v>
      </c>
      <c r="D91" s="17">
        <v>259695</v>
      </c>
      <c r="E91" s="12">
        <v>510</v>
      </c>
      <c r="F91" s="12">
        <v>72.3</v>
      </c>
      <c r="G91" s="17">
        <v>25230</v>
      </c>
      <c r="H91" s="15">
        <f t="shared" si="1"/>
        <v>97.152428810720266</v>
      </c>
    </row>
    <row r="92" spans="1:8" ht="15" customHeight="1" x14ac:dyDescent="0.3">
      <c r="A92" s="16">
        <v>45962</v>
      </c>
      <c r="B92" s="9" t="s">
        <v>281</v>
      </c>
      <c r="C92" s="9" t="s">
        <v>164</v>
      </c>
      <c r="D92" s="17">
        <v>304807</v>
      </c>
      <c r="E92" s="12">
        <v>542.20000000000005</v>
      </c>
      <c r="F92" s="12">
        <v>66.7</v>
      </c>
      <c r="G92" s="17">
        <v>33578</v>
      </c>
      <c r="H92" s="15">
        <f t="shared" si="1"/>
        <v>110.16151203876551</v>
      </c>
    </row>
    <row r="93" spans="1:8" ht="15" customHeight="1" x14ac:dyDescent="0.3">
      <c r="A93" s="16">
        <v>45962</v>
      </c>
      <c r="B93" s="9" t="s">
        <v>297</v>
      </c>
      <c r="C93" s="9" t="s">
        <v>171</v>
      </c>
      <c r="D93" s="17">
        <v>174487</v>
      </c>
      <c r="E93" s="12">
        <v>348.4</v>
      </c>
      <c r="F93" s="12">
        <v>76.7</v>
      </c>
      <c r="G93" s="17">
        <v>6363</v>
      </c>
      <c r="H93" s="15">
        <f t="shared" si="1"/>
        <v>36.466900112902394</v>
      </c>
    </row>
    <row r="94" spans="1:8" ht="15" customHeight="1" x14ac:dyDescent="0.3">
      <c r="A94" s="16">
        <v>45962</v>
      </c>
      <c r="B94" s="9" t="s">
        <v>299</v>
      </c>
      <c r="C94" s="9" t="s">
        <v>171</v>
      </c>
      <c r="D94" s="17">
        <v>274010</v>
      </c>
      <c r="E94" s="12">
        <v>538.5</v>
      </c>
      <c r="F94" s="12">
        <v>78.599999999999994</v>
      </c>
      <c r="G94" s="17">
        <v>9899</v>
      </c>
      <c r="H94" s="15">
        <f t="shared" si="1"/>
        <v>36.126418743841469</v>
      </c>
    </row>
    <row r="95" spans="1:8" ht="15" customHeight="1" x14ac:dyDescent="0.3">
      <c r="A95" s="16">
        <v>45992</v>
      </c>
      <c r="B95" s="9" t="s">
        <v>300</v>
      </c>
      <c r="C95" s="9" t="s">
        <v>172</v>
      </c>
      <c r="D95" s="17">
        <v>260706</v>
      </c>
      <c r="E95" s="12">
        <v>555</v>
      </c>
      <c r="F95" s="12">
        <v>66.400000000000006</v>
      </c>
      <c r="G95" s="17">
        <v>4940</v>
      </c>
      <c r="H95" s="15">
        <f t="shared" si="1"/>
        <v>18.94854740589016</v>
      </c>
    </row>
    <row r="96" spans="1:8" ht="15" customHeight="1" x14ac:dyDescent="0.3">
      <c r="A96" s="16">
        <v>45992</v>
      </c>
      <c r="B96" s="9" t="s">
        <v>302</v>
      </c>
      <c r="C96" s="9" t="s">
        <v>172</v>
      </c>
      <c r="D96" s="17">
        <v>311497</v>
      </c>
      <c r="E96" s="12">
        <v>678.9</v>
      </c>
      <c r="F96" s="12">
        <v>82.3</v>
      </c>
      <c r="G96" s="17">
        <v>6222</v>
      </c>
      <c r="H96" s="15">
        <f t="shared" si="1"/>
        <v>19.974510187899082</v>
      </c>
    </row>
    <row r="97" spans="1:8" ht="15" customHeight="1" x14ac:dyDescent="0.3">
      <c r="A97" s="16">
        <v>45992</v>
      </c>
      <c r="B97" s="9" t="s">
        <v>284</v>
      </c>
      <c r="C97" s="9" t="s">
        <v>167</v>
      </c>
      <c r="D97" s="17">
        <v>683132</v>
      </c>
      <c r="E97" s="12">
        <v>572.4</v>
      </c>
      <c r="F97" s="12">
        <v>71.7</v>
      </c>
      <c r="G97" s="17">
        <v>16691</v>
      </c>
      <c r="H97" s="15">
        <f t="shared" si="1"/>
        <v>24.433052470093628</v>
      </c>
    </row>
    <row r="98" spans="1:8" ht="15" customHeight="1" x14ac:dyDescent="0.3">
      <c r="A98" s="16">
        <v>45992</v>
      </c>
      <c r="B98" s="9" t="s">
        <v>286</v>
      </c>
      <c r="C98" s="9" t="s">
        <v>167</v>
      </c>
      <c r="D98" s="17">
        <v>471713</v>
      </c>
      <c r="E98" s="12">
        <v>601.70000000000005</v>
      </c>
      <c r="F98" s="12">
        <v>57.8</v>
      </c>
      <c r="G98" s="17">
        <v>36452</v>
      </c>
      <c r="H98" s="15">
        <f t="shared" si="1"/>
        <v>77.275801175714889</v>
      </c>
    </row>
    <row r="99" spans="1:8" ht="15" customHeight="1" x14ac:dyDescent="0.3">
      <c r="A99" s="16">
        <v>45992</v>
      </c>
      <c r="B99" s="9" t="s">
        <v>288</v>
      </c>
      <c r="C99" s="9" t="s">
        <v>167</v>
      </c>
      <c r="D99" s="17">
        <v>807861</v>
      </c>
      <c r="E99" s="12">
        <v>549.29999999999995</v>
      </c>
      <c r="F99" s="12">
        <v>72.900000000000006</v>
      </c>
      <c r="G99" s="17">
        <v>22531</v>
      </c>
      <c r="H99" s="15">
        <f t="shared" si="1"/>
        <v>27.889698846707539</v>
      </c>
    </row>
    <row r="100" spans="1:8" ht="15" customHeight="1" x14ac:dyDescent="0.3">
      <c r="A100" s="16">
        <v>45992</v>
      </c>
      <c r="B100" s="9" t="s">
        <v>290</v>
      </c>
      <c r="C100" s="9" t="s">
        <v>167</v>
      </c>
      <c r="D100" s="17">
        <v>414053</v>
      </c>
      <c r="E100" s="12">
        <v>507.3</v>
      </c>
      <c r="F100" s="12">
        <v>98.2</v>
      </c>
      <c r="G100" s="17">
        <v>32509</v>
      </c>
      <c r="H100" s="15">
        <f t="shared" si="1"/>
        <v>78.514103266973066</v>
      </c>
    </row>
    <row r="101" spans="1:8" ht="15" customHeight="1" x14ac:dyDescent="0.3">
      <c r="A101" s="16">
        <v>45992</v>
      </c>
      <c r="B101" s="9" t="s">
        <v>291</v>
      </c>
      <c r="C101" s="9" t="s">
        <v>167</v>
      </c>
      <c r="D101" s="17">
        <v>423362</v>
      </c>
      <c r="E101" s="12">
        <v>533.5</v>
      </c>
      <c r="F101" s="12">
        <v>88</v>
      </c>
      <c r="G101" s="17">
        <v>21395</v>
      </c>
      <c r="H101" s="15">
        <f t="shared" si="1"/>
        <v>50.535947959429521</v>
      </c>
    </row>
    <row r="102" spans="1:8" ht="15" customHeight="1" x14ac:dyDescent="0.3">
      <c r="A102" s="16">
        <v>45992</v>
      </c>
      <c r="B102" s="9" t="s">
        <v>292</v>
      </c>
      <c r="C102" s="9" t="s">
        <v>167</v>
      </c>
      <c r="D102" s="17">
        <v>258389</v>
      </c>
      <c r="E102" s="12">
        <v>530.4</v>
      </c>
      <c r="F102" s="12">
        <v>92.3</v>
      </c>
      <c r="G102" s="17">
        <v>22060</v>
      </c>
      <c r="H102" s="15">
        <f t="shared" si="1"/>
        <v>85.375151418984558</v>
      </c>
    </row>
    <row r="103" spans="1:8" ht="15" customHeight="1" x14ac:dyDescent="0.3">
      <c r="A103" s="16">
        <v>45992</v>
      </c>
      <c r="B103" s="9" t="s">
        <v>270</v>
      </c>
      <c r="C103" s="9" t="s">
        <v>164</v>
      </c>
      <c r="D103" s="17">
        <v>383344</v>
      </c>
      <c r="E103" s="12">
        <v>620.79999999999995</v>
      </c>
      <c r="F103" s="12">
        <v>45</v>
      </c>
      <c r="G103" s="17">
        <v>24913</v>
      </c>
      <c r="H103" s="15">
        <f t="shared" si="1"/>
        <v>64.988626403439213</v>
      </c>
    </row>
    <row r="104" spans="1:8" ht="15" customHeight="1" x14ac:dyDescent="0.3">
      <c r="A104" s="16">
        <v>45992</v>
      </c>
      <c r="B104" s="9" t="s">
        <v>273</v>
      </c>
      <c r="C104" s="9" t="s">
        <v>164</v>
      </c>
      <c r="D104" s="17">
        <v>335562</v>
      </c>
      <c r="E104" s="12">
        <v>560.9</v>
      </c>
      <c r="F104" s="12">
        <v>70.3</v>
      </c>
      <c r="G104" s="17">
        <v>36752</v>
      </c>
      <c r="H104" s="15">
        <f t="shared" si="1"/>
        <v>109.52372437880332</v>
      </c>
    </row>
    <row r="105" spans="1:8" ht="15" customHeight="1" x14ac:dyDescent="0.3">
      <c r="A105" s="16">
        <v>45992</v>
      </c>
      <c r="B105" s="9" t="s">
        <v>275</v>
      </c>
      <c r="C105" s="9" t="s">
        <v>164</v>
      </c>
      <c r="D105" s="17">
        <v>216811</v>
      </c>
      <c r="E105" s="12">
        <v>523.1</v>
      </c>
      <c r="F105" s="12">
        <v>77.5</v>
      </c>
      <c r="G105" s="17">
        <v>35888</v>
      </c>
      <c r="H105" s="15">
        <f t="shared" si="1"/>
        <v>165.52665685781625</v>
      </c>
    </row>
    <row r="106" spans="1:8" ht="15" customHeight="1" x14ac:dyDescent="0.3">
      <c r="A106" s="16">
        <v>45992</v>
      </c>
      <c r="B106" s="9" t="s">
        <v>276</v>
      </c>
      <c r="C106" s="9" t="s">
        <v>164</v>
      </c>
      <c r="D106" s="17">
        <v>213246</v>
      </c>
      <c r="E106" s="12">
        <v>560.20000000000005</v>
      </c>
      <c r="F106" s="12">
        <v>58.8</v>
      </c>
      <c r="G106" s="17">
        <v>21557</v>
      </c>
      <c r="H106" s="15">
        <f t="shared" si="1"/>
        <v>101.08982114553146</v>
      </c>
    </row>
    <row r="107" spans="1:8" ht="15" customHeight="1" x14ac:dyDescent="0.3">
      <c r="A107" s="16">
        <v>45992</v>
      </c>
      <c r="B107" s="9" t="s">
        <v>277</v>
      </c>
      <c r="C107" s="9" t="s">
        <v>164</v>
      </c>
      <c r="D107" s="17">
        <v>188139</v>
      </c>
      <c r="E107" s="12">
        <v>443.9</v>
      </c>
      <c r="F107" s="12">
        <v>127.3</v>
      </c>
      <c r="G107" s="17">
        <v>29555</v>
      </c>
      <c r="H107" s="15">
        <f t="shared" si="1"/>
        <v>157.09129951790962</v>
      </c>
    </row>
    <row r="108" spans="1:8" ht="15" customHeight="1" x14ac:dyDescent="0.3">
      <c r="A108" s="16">
        <v>45992</v>
      </c>
      <c r="B108" s="9" t="s">
        <v>278</v>
      </c>
      <c r="C108" s="9" t="s">
        <v>164</v>
      </c>
      <c r="D108" s="17">
        <v>262245</v>
      </c>
      <c r="E108" s="12">
        <v>547.6</v>
      </c>
      <c r="F108" s="12">
        <v>61.7</v>
      </c>
      <c r="G108" s="17">
        <v>35043</v>
      </c>
      <c r="H108" s="15">
        <f t="shared" si="1"/>
        <v>133.62695189612768</v>
      </c>
    </row>
    <row r="109" spans="1:8" ht="15" customHeight="1" x14ac:dyDescent="0.3">
      <c r="A109" s="16">
        <v>45992</v>
      </c>
      <c r="B109" s="9" t="s">
        <v>279</v>
      </c>
      <c r="C109" s="9" t="s">
        <v>164</v>
      </c>
      <c r="D109" s="17">
        <v>269314</v>
      </c>
      <c r="E109" s="12">
        <v>546.29999999999995</v>
      </c>
      <c r="F109" s="12">
        <v>75</v>
      </c>
      <c r="G109" s="17">
        <v>27697</v>
      </c>
      <c r="H109" s="15">
        <f t="shared" si="1"/>
        <v>102.84277831824562</v>
      </c>
    </row>
    <row r="110" spans="1:8" ht="15" customHeight="1" x14ac:dyDescent="0.3">
      <c r="A110" s="16">
        <v>45992</v>
      </c>
      <c r="B110" s="9" t="s">
        <v>281</v>
      </c>
      <c r="C110" s="9" t="s">
        <v>164</v>
      </c>
      <c r="D110" s="17">
        <v>294769</v>
      </c>
      <c r="E110" s="12">
        <v>542.4</v>
      </c>
      <c r="F110" s="12">
        <v>70.900000000000006</v>
      </c>
      <c r="G110" s="17">
        <v>34643</v>
      </c>
      <c r="H110" s="15">
        <f t="shared" si="1"/>
        <v>117.52592708188446</v>
      </c>
    </row>
    <row r="111" spans="1:8" ht="15" customHeight="1" x14ac:dyDescent="0.3">
      <c r="A111" s="16">
        <v>45992</v>
      </c>
      <c r="B111" s="9" t="s">
        <v>297</v>
      </c>
      <c r="C111" s="9" t="s">
        <v>171</v>
      </c>
      <c r="D111" s="17">
        <v>205112</v>
      </c>
      <c r="E111" s="12">
        <v>422.2</v>
      </c>
      <c r="F111" s="12">
        <v>157.5</v>
      </c>
      <c r="G111" s="17">
        <v>7716</v>
      </c>
      <c r="H111" s="15">
        <f t="shared" si="1"/>
        <v>37.618471859276887</v>
      </c>
    </row>
    <row r="112" spans="1:8" ht="15" customHeight="1" x14ac:dyDescent="0.3">
      <c r="A112" s="16">
        <v>45992</v>
      </c>
      <c r="B112" s="9" t="s">
        <v>299</v>
      </c>
      <c r="C112" s="9" t="s">
        <v>171</v>
      </c>
      <c r="D112" s="17">
        <v>133673</v>
      </c>
      <c r="E112" s="12">
        <v>269.89999999999998</v>
      </c>
      <c r="F112" s="12">
        <v>43.8</v>
      </c>
      <c r="G112" s="17">
        <v>4750</v>
      </c>
      <c r="H112" s="15">
        <f t="shared" si="1"/>
        <v>35.534475922587212</v>
      </c>
    </row>
    <row r="113" spans="1:8" ht="15" customHeight="1" x14ac:dyDescent="0.3">
      <c r="A113" s="16">
        <v>46023</v>
      </c>
      <c r="B113" s="9" t="s">
        <v>300</v>
      </c>
      <c r="C113" s="9" t="s">
        <v>172</v>
      </c>
      <c r="D113" s="17">
        <v>187417</v>
      </c>
      <c r="E113" s="12">
        <v>402.6</v>
      </c>
      <c r="F113" s="12">
        <v>67</v>
      </c>
      <c r="G113" s="17">
        <v>3540</v>
      </c>
      <c r="H113" s="15">
        <f t="shared" si="1"/>
        <v>18.88836124791241</v>
      </c>
    </row>
    <row r="114" spans="1:8" ht="15" customHeight="1" x14ac:dyDescent="0.3">
      <c r="A114" s="16">
        <v>46023</v>
      </c>
      <c r="B114" s="9" t="s">
        <v>302</v>
      </c>
      <c r="C114" s="9" t="s">
        <v>172</v>
      </c>
      <c r="D114" s="17">
        <v>281846</v>
      </c>
      <c r="E114" s="12">
        <v>595.5</v>
      </c>
      <c r="F114" s="12">
        <v>105.6</v>
      </c>
      <c r="G114" s="17">
        <v>5429</v>
      </c>
      <c r="H114" s="15">
        <f t="shared" si="1"/>
        <v>19.262292173740271</v>
      </c>
    </row>
    <row r="115" spans="1:8" ht="15" customHeight="1" x14ac:dyDescent="0.3">
      <c r="A115" s="16">
        <v>46023</v>
      </c>
      <c r="B115" s="9" t="s">
        <v>284</v>
      </c>
      <c r="C115" s="9" t="s">
        <v>167</v>
      </c>
      <c r="D115" s="17">
        <v>736674</v>
      </c>
      <c r="E115" s="12">
        <v>623</v>
      </c>
      <c r="F115" s="12">
        <v>44.6</v>
      </c>
      <c r="G115" s="17">
        <v>17769</v>
      </c>
      <c r="H115" s="15">
        <f t="shared" si="1"/>
        <v>24.120574365323058</v>
      </c>
    </row>
    <row r="116" spans="1:8" ht="15" customHeight="1" x14ac:dyDescent="0.3">
      <c r="A116" s="16">
        <v>46023</v>
      </c>
      <c r="B116" s="9" t="s">
        <v>286</v>
      </c>
      <c r="C116" s="9" t="s">
        <v>167</v>
      </c>
      <c r="D116" s="17">
        <v>475305</v>
      </c>
      <c r="E116" s="12">
        <v>597.70000000000005</v>
      </c>
      <c r="F116" s="12">
        <v>59.7</v>
      </c>
      <c r="G116" s="17">
        <v>35905</v>
      </c>
      <c r="H116" s="15">
        <f t="shared" si="1"/>
        <v>75.540968430797065</v>
      </c>
    </row>
    <row r="117" spans="1:8" ht="15" customHeight="1" x14ac:dyDescent="0.3">
      <c r="A117" s="16">
        <v>46023</v>
      </c>
      <c r="B117" s="9" t="s">
        <v>288</v>
      </c>
      <c r="C117" s="9" t="s">
        <v>167</v>
      </c>
      <c r="D117" s="17">
        <v>834258</v>
      </c>
      <c r="E117" s="12">
        <v>555.5</v>
      </c>
      <c r="F117" s="12">
        <v>68.7</v>
      </c>
      <c r="G117" s="17">
        <v>22450</v>
      </c>
      <c r="H117" s="15">
        <f t="shared" si="1"/>
        <v>26.910140508092219</v>
      </c>
    </row>
    <row r="118" spans="1:8" ht="15" customHeight="1" x14ac:dyDescent="0.3">
      <c r="A118" s="16">
        <v>46023</v>
      </c>
      <c r="B118" s="9" t="s">
        <v>290</v>
      </c>
      <c r="C118" s="9" t="s">
        <v>167</v>
      </c>
      <c r="D118" s="17">
        <v>491190</v>
      </c>
      <c r="E118" s="12">
        <v>567.29999999999995</v>
      </c>
      <c r="F118" s="12">
        <v>70.7</v>
      </c>
      <c r="G118" s="17">
        <v>34391</v>
      </c>
      <c r="H118" s="15">
        <f t="shared" si="1"/>
        <v>70.015676214906662</v>
      </c>
    </row>
    <row r="119" spans="1:8" ht="15" customHeight="1" x14ac:dyDescent="0.3">
      <c r="A119" s="16">
        <v>46023</v>
      </c>
      <c r="B119" s="9" t="s">
        <v>291</v>
      </c>
      <c r="C119" s="9" t="s">
        <v>167</v>
      </c>
      <c r="D119" s="17">
        <v>424675</v>
      </c>
      <c r="E119" s="12">
        <v>543.4</v>
      </c>
      <c r="F119" s="12">
        <v>76.3</v>
      </c>
      <c r="G119" s="17">
        <v>21331</v>
      </c>
      <c r="H119" s="15">
        <f t="shared" si="1"/>
        <v>50.228998646023435</v>
      </c>
    </row>
    <row r="120" spans="1:8" ht="15" customHeight="1" x14ac:dyDescent="0.3">
      <c r="A120" s="16">
        <v>46023</v>
      </c>
      <c r="B120" s="9" t="s">
        <v>292</v>
      </c>
      <c r="C120" s="9" t="s">
        <v>167</v>
      </c>
      <c r="D120" s="17">
        <v>264707</v>
      </c>
      <c r="E120" s="12">
        <v>567.20000000000005</v>
      </c>
      <c r="F120" s="12">
        <v>62.2</v>
      </c>
      <c r="G120" s="17">
        <v>22734</v>
      </c>
      <c r="H120" s="15">
        <f t="shared" si="1"/>
        <v>85.88363738019774</v>
      </c>
    </row>
    <row r="121" spans="1:8" ht="15" customHeight="1" x14ac:dyDescent="0.3">
      <c r="A121" s="16">
        <v>46023</v>
      </c>
      <c r="B121" s="9" t="s">
        <v>270</v>
      </c>
      <c r="C121" s="9" t="s">
        <v>164</v>
      </c>
      <c r="D121" s="17">
        <v>319404</v>
      </c>
      <c r="E121" s="12">
        <v>526.6</v>
      </c>
      <c r="F121" s="12">
        <v>89.7</v>
      </c>
      <c r="G121" s="17">
        <v>21230</v>
      </c>
      <c r="H121" s="15">
        <f t="shared" si="1"/>
        <v>66.467545804060052</v>
      </c>
    </row>
    <row r="122" spans="1:8" ht="15" customHeight="1" x14ac:dyDescent="0.3">
      <c r="A122" s="16">
        <v>46023</v>
      </c>
      <c r="B122" s="9" t="s">
        <v>273</v>
      </c>
      <c r="C122" s="9" t="s">
        <v>164</v>
      </c>
      <c r="D122" s="17">
        <v>304979</v>
      </c>
      <c r="E122" s="12">
        <v>509.3</v>
      </c>
      <c r="F122" s="12">
        <v>86.2</v>
      </c>
      <c r="G122" s="17">
        <v>33373</v>
      </c>
      <c r="H122" s="15">
        <f t="shared" si="1"/>
        <v>109.42720646339583</v>
      </c>
    </row>
    <row r="123" spans="1:8" ht="15" customHeight="1" x14ac:dyDescent="0.3">
      <c r="A123" s="16">
        <v>46023</v>
      </c>
      <c r="B123" s="9" t="s">
        <v>275</v>
      </c>
      <c r="C123" s="9" t="s">
        <v>164</v>
      </c>
      <c r="D123" s="17">
        <v>212702</v>
      </c>
      <c r="E123" s="12">
        <v>553.20000000000005</v>
      </c>
      <c r="F123" s="12">
        <v>68.099999999999994</v>
      </c>
      <c r="G123" s="17">
        <v>36518</v>
      </c>
      <c r="H123" s="15">
        <f t="shared" si="1"/>
        <v>171.68620887438766</v>
      </c>
    </row>
    <row r="124" spans="1:8" ht="15" customHeight="1" x14ac:dyDescent="0.3">
      <c r="A124" s="16">
        <v>46023</v>
      </c>
      <c r="B124" s="9" t="s">
        <v>276</v>
      </c>
      <c r="C124" s="9" t="s">
        <v>164</v>
      </c>
      <c r="D124" s="17">
        <v>197031</v>
      </c>
      <c r="E124" s="12">
        <v>574.70000000000005</v>
      </c>
      <c r="F124" s="12">
        <v>63</v>
      </c>
      <c r="G124" s="17">
        <v>21612</v>
      </c>
      <c r="H124" s="15">
        <f t="shared" si="1"/>
        <v>109.68832315726968</v>
      </c>
    </row>
    <row r="125" spans="1:8" ht="15" customHeight="1" x14ac:dyDescent="0.3">
      <c r="A125" s="16">
        <v>46023</v>
      </c>
      <c r="B125" s="9" t="s">
        <v>277</v>
      </c>
      <c r="C125" s="9" t="s">
        <v>164</v>
      </c>
      <c r="D125" s="17">
        <v>182708</v>
      </c>
      <c r="E125" s="12">
        <v>495.7</v>
      </c>
      <c r="F125" s="12">
        <v>103.9</v>
      </c>
      <c r="G125" s="17">
        <v>30917</v>
      </c>
      <c r="H125" s="15">
        <f t="shared" si="1"/>
        <v>169.21536002802284</v>
      </c>
    </row>
    <row r="126" spans="1:8" ht="15" customHeight="1" x14ac:dyDescent="0.3">
      <c r="A126" s="16">
        <v>46023</v>
      </c>
      <c r="B126" s="9" t="s">
        <v>278</v>
      </c>
      <c r="C126" s="9" t="s">
        <v>164</v>
      </c>
      <c r="D126" s="17">
        <v>261578</v>
      </c>
      <c r="E126" s="12">
        <v>567.1</v>
      </c>
      <c r="F126" s="12">
        <v>67.5</v>
      </c>
      <c r="G126" s="17">
        <v>35553</v>
      </c>
      <c r="H126" s="15">
        <f t="shared" si="1"/>
        <v>135.91739366460482</v>
      </c>
    </row>
    <row r="127" spans="1:8" ht="15" customHeight="1" x14ac:dyDescent="0.3">
      <c r="A127" s="16">
        <v>46023</v>
      </c>
      <c r="B127" s="9" t="s">
        <v>279</v>
      </c>
      <c r="C127" s="9" t="s">
        <v>164</v>
      </c>
      <c r="D127" s="17">
        <v>289357</v>
      </c>
      <c r="E127" s="12">
        <v>548.29999999999995</v>
      </c>
      <c r="F127" s="12">
        <v>59.5</v>
      </c>
      <c r="G127" s="17">
        <v>26784</v>
      </c>
      <c r="H127" s="15">
        <f t="shared" si="1"/>
        <v>92.563857103854417</v>
      </c>
    </row>
    <row r="128" spans="1:8" ht="15" customHeight="1" x14ac:dyDescent="0.3">
      <c r="A128" s="16">
        <v>46023</v>
      </c>
      <c r="B128" s="9" t="s">
        <v>281</v>
      </c>
      <c r="C128" s="9" t="s">
        <v>164</v>
      </c>
      <c r="D128" s="17">
        <v>277716</v>
      </c>
      <c r="E128" s="12">
        <v>505.8</v>
      </c>
      <c r="F128" s="12">
        <v>90.7</v>
      </c>
      <c r="G128" s="17">
        <v>32400</v>
      </c>
      <c r="H128" s="15">
        <f t="shared" si="1"/>
        <v>116.66594650650305</v>
      </c>
    </row>
    <row r="129" spans="1:8" ht="15" customHeight="1" x14ac:dyDescent="0.3">
      <c r="A129" s="16">
        <v>46023</v>
      </c>
      <c r="B129" s="9" t="s">
        <v>297</v>
      </c>
      <c r="C129" s="9" t="s">
        <v>171</v>
      </c>
      <c r="D129" s="17">
        <v>160670</v>
      </c>
      <c r="E129" s="12">
        <v>322</v>
      </c>
      <c r="F129" s="12">
        <v>68.099999999999994</v>
      </c>
      <c r="G129" s="17">
        <v>5681</v>
      </c>
      <c r="H129" s="15">
        <f t="shared" si="1"/>
        <v>35.358187589469097</v>
      </c>
    </row>
    <row r="130" spans="1:8" ht="15" customHeight="1" x14ac:dyDescent="0.3">
      <c r="A130" s="16">
        <v>46023</v>
      </c>
      <c r="B130" s="9" t="s">
        <v>299</v>
      </c>
      <c r="C130" s="9" t="s">
        <v>171</v>
      </c>
      <c r="D130" s="17">
        <v>136257</v>
      </c>
      <c r="E130" s="12">
        <v>256.5</v>
      </c>
      <c r="F130" s="12">
        <v>32.299999999999997</v>
      </c>
      <c r="G130" s="17">
        <v>4539</v>
      </c>
      <c r="H130" s="15">
        <f t="shared" si="1"/>
        <v>33.312050023118083</v>
      </c>
    </row>
    <row r="131" spans="1:8" ht="15" customHeight="1" x14ac:dyDescent="0.3">
      <c r="A131" s="16">
        <v>46054</v>
      </c>
      <c r="B131" s="9" t="s">
        <v>300</v>
      </c>
      <c r="C131" s="9" t="s">
        <v>172</v>
      </c>
      <c r="D131" s="17">
        <v>289664</v>
      </c>
      <c r="E131" s="12">
        <v>615.1</v>
      </c>
      <c r="F131" s="12">
        <v>87.1</v>
      </c>
      <c r="G131" s="17">
        <v>5468</v>
      </c>
      <c r="H131" s="15">
        <f t="shared" si="1"/>
        <v>18.877043747238179</v>
      </c>
    </row>
    <row r="132" spans="1:8" ht="15" customHeight="1" x14ac:dyDescent="0.3">
      <c r="A132" s="16">
        <v>46054</v>
      </c>
      <c r="B132" s="9" t="s">
        <v>302</v>
      </c>
      <c r="C132" s="9" t="s">
        <v>172</v>
      </c>
      <c r="D132" s="17">
        <v>237315</v>
      </c>
      <c r="E132" s="12">
        <v>495.5</v>
      </c>
      <c r="F132" s="12">
        <v>54.2</v>
      </c>
      <c r="G132" s="17">
        <v>4461</v>
      </c>
      <c r="H132" s="15">
        <f t="shared" si="1"/>
        <v>18.797800391884206</v>
      </c>
    </row>
    <row r="133" spans="1:8" ht="15" customHeight="1" x14ac:dyDescent="0.3">
      <c r="A133" s="16">
        <v>46054</v>
      </c>
      <c r="B133" s="9" t="s">
        <v>284</v>
      </c>
      <c r="C133" s="9" t="s">
        <v>167</v>
      </c>
      <c r="D133" s="17">
        <v>619004</v>
      </c>
      <c r="E133" s="12">
        <v>519.29999999999995</v>
      </c>
      <c r="F133" s="12">
        <v>61.4</v>
      </c>
      <c r="G133" s="17">
        <v>15014</v>
      </c>
      <c r="H133" s="15">
        <f t="shared" ref="H133:H196" si="2">IF(OR(A133="",D133=0),"",G133/D133*1000)</f>
        <v>24.25509366659989</v>
      </c>
    </row>
    <row r="134" spans="1:8" ht="15" customHeight="1" x14ac:dyDescent="0.3">
      <c r="A134" s="16">
        <v>46054</v>
      </c>
      <c r="B134" s="9" t="s">
        <v>286</v>
      </c>
      <c r="C134" s="9" t="s">
        <v>167</v>
      </c>
      <c r="D134" s="17">
        <v>392113</v>
      </c>
      <c r="E134" s="12">
        <v>502.5</v>
      </c>
      <c r="F134" s="12">
        <v>66</v>
      </c>
      <c r="G134" s="17">
        <v>30999</v>
      </c>
      <c r="H134" s="15">
        <f t="shared" si="2"/>
        <v>79.05629244631011</v>
      </c>
    </row>
    <row r="135" spans="1:8" ht="15" customHeight="1" x14ac:dyDescent="0.3">
      <c r="A135" s="16">
        <v>46054</v>
      </c>
      <c r="B135" s="9" t="s">
        <v>288</v>
      </c>
      <c r="C135" s="9" t="s">
        <v>167</v>
      </c>
      <c r="D135" s="17">
        <v>695904</v>
      </c>
      <c r="E135" s="12">
        <v>488.6</v>
      </c>
      <c r="F135" s="12">
        <v>65.900000000000006</v>
      </c>
      <c r="G135" s="17">
        <v>19918</v>
      </c>
      <c r="H135" s="15">
        <f t="shared" si="2"/>
        <v>28.621763921460431</v>
      </c>
    </row>
    <row r="136" spans="1:8" ht="15" customHeight="1" x14ac:dyDescent="0.3">
      <c r="A136" s="16">
        <v>46054</v>
      </c>
      <c r="B136" s="9" t="s">
        <v>290</v>
      </c>
      <c r="C136" s="9" t="s">
        <v>167</v>
      </c>
      <c r="D136" s="17">
        <v>412682</v>
      </c>
      <c r="E136" s="12">
        <v>515.1</v>
      </c>
      <c r="F136" s="12">
        <v>62.7</v>
      </c>
      <c r="G136" s="17">
        <v>31296</v>
      </c>
      <c r="H136" s="15">
        <f t="shared" si="2"/>
        <v>75.835631309337458</v>
      </c>
    </row>
    <row r="137" spans="1:8" ht="15" customHeight="1" x14ac:dyDescent="0.3">
      <c r="A137" s="16">
        <v>46054</v>
      </c>
      <c r="B137" s="9" t="s">
        <v>291</v>
      </c>
      <c r="C137" s="9" t="s">
        <v>167</v>
      </c>
      <c r="D137" s="17">
        <v>399384</v>
      </c>
      <c r="E137" s="12">
        <v>517.79999999999995</v>
      </c>
      <c r="F137" s="12">
        <v>65.2</v>
      </c>
      <c r="G137" s="17">
        <v>20287</v>
      </c>
      <c r="H137" s="15">
        <f t="shared" si="2"/>
        <v>50.7957254171424</v>
      </c>
    </row>
    <row r="138" spans="1:8" ht="15" customHeight="1" x14ac:dyDescent="0.3">
      <c r="A138" s="16">
        <v>46054</v>
      </c>
      <c r="B138" s="9" t="s">
        <v>292</v>
      </c>
      <c r="C138" s="9" t="s">
        <v>167</v>
      </c>
      <c r="D138" s="17">
        <v>257553</v>
      </c>
      <c r="E138" s="12">
        <v>512.20000000000005</v>
      </c>
      <c r="F138" s="12">
        <v>70.400000000000006</v>
      </c>
      <c r="G138" s="17">
        <v>20848</v>
      </c>
      <c r="H138" s="15">
        <f t="shared" si="2"/>
        <v>80.946445974226663</v>
      </c>
    </row>
    <row r="139" spans="1:8" ht="15" customHeight="1" x14ac:dyDescent="0.3">
      <c r="A139" s="16">
        <v>46054</v>
      </c>
      <c r="B139" s="9" t="s">
        <v>270</v>
      </c>
      <c r="C139" s="9" t="s">
        <v>164</v>
      </c>
      <c r="D139" s="17">
        <v>280059</v>
      </c>
      <c r="E139" s="12">
        <v>472.6</v>
      </c>
      <c r="F139" s="12">
        <v>80.7</v>
      </c>
      <c r="G139" s="17">
        <v>19073</v>
      </c>
      <c r="H139" s="15">
        <f t="shared" si="2"/>
        <v>68.103506761075352</v>
      </c>
    </row>
    <row r="140" spans="1:8" ht="15" customHeight="1" x14ac:dyDescent="0.3">
      <c r="A140" s="16">
        <v>46054</v>
      </c>
      <c r="B140" s="9" t="s">
        <v>273</v>
      </c>
      <c r="C140" s="9" t="s">
        <v>164</v>
      </c>
      <c r="D140" s="17">
        <v>313137</v>
      </c>
      <c r="E140" s="12">
        <v>517.79999999999995</v>
      </c>
      <c r="F140" s="12">
        <v>58</v>
      </c>
      <c r="G140" s="17">
        <v>32892</v>
      </c>
      <c r="H140" s="15">
        <f t="shared" si="2"/>
        <v>105.04028588125965</v>
      </c>
    </row>
    <row r="141" spans="1:8" ht="15" customHeight="1" x14ac:dyDescent="0.3">
      <c r="A141" s="16">
        <v>46054</v>
      </c>
      <c r="B141" s="9" t="s">
        <v>275</v>
      </c>
      <c r="C141" s="9" t="s">
        <v>164</v>
      </c>
      <c r="D141" s="17">
        <v>214779</v>
      </c>
      <c r="E141" s="12">
        <v>508</v>
      </c>
      <c r="F141" s="12">
        <v>55.3</v>
      </c>
      <c r="G141" s="17">
        <v>33287</v>
      </c>
      <c r="H141" s="15">
        <f t="shared" si="2"/>
        <v>154.98256347222028</v>
      </c>
    </row>
    <row r="142" spans="1:8" ht="15" customHeight="1" x14ac:dyDescent="0.3">
      <c r="A142" s="16">
        <v>46054</v>
      </c>
      <c r="B142" s="9" t="s">
        <v>276</v>
      </c>
      <c r="C142" s="9" t="s">
        <v>164</v>
      </c>
      <c r="D142" s="17">
        <v>207995</v>
      </c>
      <c r="E142" s="12">
        <v>483.8</v>
      </c>
      <c r="F142" s="12">
        <v>72.8</v>
      </c>
      <c r="G142" s="17">
        <v>18412</v>
      </c>
      <c r="H142" s="15">
        <f t="shared" si="2"/>
        <v>88.521358686506886</v>
      </c>
    </row>
    <row r="143" spans="1:8" ht="15" customHeight="1" x14ac:dyDescent="0.3">
      <c r="A143" s="16">
        <v>46054</v>
      </c>
      <c r="B143" s="9" t="s">
        <v>277</v>
      </c>
      <c r="C143" s="9" t="s">
        <v>164</v>
      </c>
      <c r="D143" s="17">
        <v>194480</v>
      </c>
      <c r="E143" s="12">
        <v>418.1</v>
      </c>
      <c r="F143" s="12">
        <v>97.9</v>
      </c>
      <c r="G143" s="17">
        <v>26445</v>
      </c>
      <c r="H143" s="15">
        <f t="shared" si="2"/>
        <v>135.97799259563965</v>
      </c>
    </row>
    <row r="144" spans="1:8" ht="15" customHeight="1" x14ac:dyDescent="0.3">
      <c r="A144" s="16">
        <v>46054</v>
      </c>
      <c r="B144" s="9" t="s">
        <v>278</v>
      </c>
      <c r="C144" s="9" t="s">
        <v>164</v>
      </c>
      <c r="D144" s="17">
        <v>235335</v>
      </c>
      <c r="E144" s="12">
        <v>495.7</v>
      </c>
      <c r="F144" s="12">
        <v>62.7</v>
      </c>
      <c r="G144" s="17">
        <v>31245</v>
      </c>
      <c r="H144" s="15">
        <f t="shared" si="2"/>
        <v>132.76818152845942</v>
      </c>
    </row>
    <row r="145" spans="1:8" ht="15" customHeight="1" x14ac:dyDescent="0.3">
      <c r="A145" s="16">
        <v>46054</v>
      </c>
      <c r="B145" s="9" t="s">
        <v>279</v>
      </c>
      <c r="C145" s="9" t="s">
        <v>164</v>
      </c>
      <c r="D145" s="17">
        <v>252898</v>
      </c>
      <c r="E145" s="12">
        <v>512.6</v>
      </c>
      <c r="F145" s="12">
        <v>60.6</v>
      </c>
      <c r="G145" s="17">
        <v>25170</v>
      </c>
      <c r="H145" s="15">
        <f t="shared" si="2"/>
        <v>99.526291232038204</v>
      </c>
    </row>
    <row r="146" spans="1:8" ht="15" customHeight="1" x14ac:dyDescent="0.3">
      <c r="A146" s="16">
        <v>46054</v>
      </c>
      <c r="B146" s="9" t="s">
        <v>281</v>
      </c>
      <c r="C146" s="9" t="s">
        <v>164</v>
      </c>
      <c r="D146" s="17">
        <v>282011</v>
      </c>
      <c r="E146" s="12">
        <v>542.4</v>
      </c>
      <c r="F146" s="12">
        <v>39.200000000000003</v>
      </c>
      <c r="G146" s="17">
        <v>32713</v>
      </c>
      <c r="H146" s="15">
        <f t="shared" si="2"/>
        <v>115.99902131477141</v>
      </c>
    </row>
    <row r="147" spans="1:8" ht="15" customHeight="1" x14ac:dyDescent="0.3">
      <c r="A147" s="16">
        <v>46054</v>
      </c>
      <c r="B147" s="9" t="s">
        <v>297</v>
      </c>
      <c r="C147" s="9" t="s">
        <v>171</v>
      </c>
      <c r="D147" s="17">
        <v>125885</v>
      </c>
      <c r="E147" s="12">
        <v>254</v>
      </c>
      <c r="F147" s="12">
        <v>73.3</v>
      </c>
      <c r="G147" s="17">
        <v>4687</v>
      </c>
      <c r="H147" s="15">
        <f t="shared" si="2"/>
        <v>37.232394645906979</v>
      </c>
    </row>
    <row r="148" spans="1:8" ht="15" customHeight="1" x14ac:dyDescent="0.3">
      <c r="A148" s="16">
        <v>46054</v>
      </c>
      <c r="B148" s="9" t="s">
        <v>299</v>
      </c>
      <c r="C148" s="9" t="s">
        <v>171</v>
      </c>
      <c r="D148" s="17">
        <v>169383</v>
      </c>
      <c r="E148" s="12">
        <v>333.8</v>
      </c>
      <c r="F148" s="12">
        <v>36.4</v>
      </c>
      <c r="G148" s="17">
        <v>5985</v>
      </c>
      <c r="H148" s="15">
        <f t="shared" si="2"/>
        <v>35.334124439878856</v>
      </c>
    </row>
    <row r="149" spans="1:8" ht="15" customHeight="1" x14ac:dyDescent="0.3">
      <c r="A149" s="16">
        <v>46082</v>
      </c>
      <c r="B149" s="9" t="s">
        <v>300</v>
      </c>
      <c r="C149" s="9" t="s">
        <v>172</v>
      </c>
      <c r="D149" s="17">
        <v>257683</v>
      </c>
      <c r="E149" s="12">
        <v>556.6</v>
      </c>
      <c r="F149" s="12">
        <v>69.2</v>
      </c>
      <c r="G149" s="17">
        <v>4897</v>
      </c>
      <c r="H149" s="15">
        <f t="shared" si="2"/>
        <v>19.003969994140085</v>
      </c>
    </row>
    <row r="150" spans="1:8" ht="15" customHeight="1" x14ac:dyDescent="0.3">
      <c r="A150" s="16">
        <v>46082</v>
      </c>
      <c r="B150" s="9" t="s">
        <v>302</v>
      </c>
      <c r="C150" s="9" t="s">
        <v>172</v>
      </c>
      <c r="D150" s="17">
        <v>285556</v>
      </c>
      <c r="E150" s="12">
        <v>607.20000000000005</v>
      </c>
      <c r="F150" s="12">
        <v>93.4</v>
      </c>
      <c r="G150" s="17">
        <v>5582</v>
      </c>
      <c r="H150" s="15">
        <f t="shared" si="2"/>
        <v>19.547829497541638</v>
      </c>
    </row>
    <row r="151" spans="1:8" ht="15" customHeight="1" x14ac:dyDescent="0.3">
      <c r="A151" s="16">
        <v>46082</v>
      </c>
      <c r="B151" s="9" t="s">
        <v>284</v>
      </c>
      <c r="C151" s="9" t="s">
        <v>167</v>
      </c>
      <c r="D151" s="17">
        <v>647838</v>
      </c>
      <c r="E151" s="12">
        <v>548.4</v>
      </c>
      <c r="F151" s="12">
        <v>81.900000000000006</v>
      </c>
      <c r="G151" s="17">
        <v>15743</v>
      </c>
      <c r="H151" s="15">
        <f t="shared" si="2"/>
        <v>24.300828293493126</v>
      </c>
    </row>
    <row r="152" spans="1:8" ht="15" customHeight="1" x14ac:dyDescent="0.3">
      <c r="A152" s="16">
        <v>46082</v>
      </c>
      <c r="B152" s="9" t="s">
        <v>286</v>
      </c>
      <c r="C152" s="9" t="s">
        <v>167</v>
      </c>
      <c r="D152" s="17">
        <v>444865</v>
      </c>
      <c r="E152" s="12">
        <v>563.20000000000005</v>
      </c>
      <c r="F152" s="12">
        <v>80.5</v>
      </c>
      <c r="G152" s="17">
        <v>34554</v>
      </c>
      <c r="H152" s="15">
        <f t="shared" si="2"/>
        <v>77.673001921931373</v>
      </c>
    </row>
    <row r="153" spans="1:8" ht="15" customHeight="1" x14ac:dyDescent="0.3">
      <c r="A153" s="16">
        <v>46082</v>
      </c>
      <c r="B153" s="9" t="s">
        <v>288</v>
      </c>
      <c r="C153" s="9" t="s">
        <v>167</v>
      </c>
      <c r="D153" s="17">
        <v>851195</v>
      </c>
      <c r="E153" s="12">
        <v>589.20000000000005</v>
      </c>
      <c r="F153" s="12">
        <v>56.4</v>
      </c>
      <c r="G153" s="17">
        <v>23318</v>
      </c>
      <c r="H153" s="15">
        <f t="shared" si="2"/>
        <v>27.394427833810113</v>
      </c>
    </row>
    <row r="154" spans="1:8" ht="15" customHeight="1" x14ac:dyDescent="0.3">
      <c r="A154" s="16">
        <v>46082</v>
      </c>
      <c r="B154" s="9" t="s">
        <v>290</v>
      </c>
      <c r="C154" s="9" t="s">
        <v>167</v>
      </c>
      <c r="D154" s="17">
        <v>624779</v>
      </c>
      <c r="E154" s="12">
        <v>580.4</v>
      </c>
      <c r="F154" s="12">
        <v>68.400000000000006</v>
      </c>
      <c r="G154" s="17">
        <v>34695</v>
      </c>
      <c r="H154" s="15">
        <f t="shared" si="2"/>
        <v>55.531635986484822</v>
      </c>
    </row>
    <row r="155" spans="1:8" ht="15" customHeight="1" x14ac:dyDescent="0.3">
      <c r="A155" s="16">
        <v>46082</v>
      </c>
      <c r="B155" s="9" t="s">
        <v>291</v>
      </c>
      <c r="C155" s="9" t="s">
        <v>167</v>
      </c>
      <c r="D155" s="17">
        <v>435940</v>
      </c>
      <c r="E155" s="12">
        <v>548.20000000000005</v>
      </c>
      <c r="F155" s="12">
        <v>78.5</v>
      </c>
      <c r="G155" s="17">
        <v>21341</v>
      </c>
      <c r="H155" s="15">
        <f t="shared" si="2"/>
        <v>48.953984493278888</v>
      </c>
    </row>
    <row r="156" spans="1:8" ht="15" customHeight="1" x14ac:dyDescent="0.3">
      <c r="A156" s="16">
        <v>46082</v>
      </c>
      <c r="B156" s="9" t="s">
        <v>292</v>
      </c>
      <c r="C156" s="9" t="s">
        <v>167</v>
      </c>
      <c r="D156" s="17">
        <v>294852</v>
      </c>
      <c r="E156" s="12">
        <v>553.5</v>
      </c>
      <c r="F156" s="12">
        <v>71.099999999999994</v>
      </c>
      <c r="G156" s="17">
        <v>22143</v>
      </c>
      <c r="H156" s="15">
        <f t="shared" si="2"/>
        <v>75.098693581864794</v>
      </c>
    </row>
    <row r="157" spans="1:8" ht="15" customHeight="1" x14ac:dyDescent="0.3">
      <c r="A157" s="16">
        <v>46082</v>
      </c>
      <c r="B157" s="9" t="s">
        <v>270</v>
      </c>
      <c r="C157" s="9" t="s">
        <v>164</v>
      </c>
      <c r="D157" s="17">
        <v>354494</v>
      </c>
      <c r="E157" s="12">
        <v>591.20000000000005</v>
      </c>
      <c r="F157" s="12">
        <v>57.5</v>
      </c>
      <c r="G157" s="17">
        <v>24055</v>
      </c>
      <c r="H157" s="15">
        <f t="shared" si="2"/>
        <v>67.857283903253659</v>
      </c>
    </row>
    <row r="158" spans="1:8" ht="15" customHeight="1" x14ac:dyDescent="0.3">
      <c r="A158" s="16">
        <v>46082</v>
      </c>
      <c r="B158" s="9" t="s">
        <v>273</v>
      </c>
      <c r="C158" s="9" t="s">
        <v>164</v>
      </c>
      <c r="D158" s="17">
        <v>318860</v>
      </c>
      <c r="E158" s="12">
        <v>536.29999999999995</v>
      </c>
      <c r="F158" s="12">
        <v>81</v>
      </c>
      <c r="G158" s="17">
        <v>35876</v>
      </c>
      <c r="H158" s="15">
        <f t="shared" si="2"/>
        <v>112.51332873361351</v>
      </c>
    </row>
    <row r="159" spans="1:8" ht="15" customHeight="1" x14ac:dyDescent="0.3">
      <c r="A159" s="16">
        <v>46082</v>
      </c>
      <c r="B159" s="9" t="s">
        <v>275</v>
      </c>
      <c r="C159" s="9" t="s">
        <v>164</v>
      </c>
      <c r="D159" s="17">
        <v>229961</v>
      </c>
      <c r="E159" s="12">
        <v>536.4</v>
      </c>
      <c r="F159" s="12">
        <v>77</v>
      </c>
      <c r="G159" s="17">
        <v>36936</v>
      </c>
      <c r="H159" s="15">
        <f t="shared" si="2"/>
        <v>160.61853966542154</v>
      </c>
    </row>
    <row r="160" spans="1:8" ht="15" customHeight="1" x14ac:dyDescent="0.3">
      <c r="A160" s="16">
        <v>46082</v>
      </c>
      <c r="B160" s="9" t="s">
        <v>276</v>
      </c>
      <c r="C160" s="9" t="s">
        <v>164</v>
      </c>
      <c r="D160" s="17">
        <v>212587</v>
      </c>
      <c r="E160" s="12">
        <v>560.20000000000005</v>
      </c>
      <c r="F160" s="12">
        <v>70.5</v>
      </c>
      <c r="G160" s="17">
        <v>21821</v>
      </c>
      <c r="H160" s="15">
        <f t="shared" si="2"/>
        <v>102.64503473871873</v>
      </c>
    </row>
    <row r="161" spans="1:8" ht="15" customHeight="1" x14ac:dyDescent="0.3">
      <c r="A161" s="16">
        <v>46082</v>
      </c>
      <c r="B161" s="9" t="s">
        <v>277</v>
      </c>
      <c r="C161" s="9" t="s">
        <v>164</v>
      </c>
      <c r="D161" s="17">
        <v>213204</v>
      </c>
      <c r="E161" s="12">
        <v>516</v>
      </c>
      <c r="F161" s="12">
        <v>92.9</v>
      </c>
      <c r="G161" s="17">
        <v>32661</v>
      </c>
      <c r="H161" s="15">
        <f t="shared" si="2"/>
        <v>153.19130973152474</v>
      </c>
    </row>
    <row r="162" spans="1:8" ht="15" customHeight="1" x14ac:dyDescent="0.3">
      <c r="A162" s="16">
        <v>46082</v>
      </c>
      <c r="B162" s="9" t="s">
        <v>278</v>
      </c>
      <c r="C162" s="9" t="s">
        <v>164</v>
      </c>
      <c r="D162" s="17">
        <v>246076</v>
      </c>
      <c r="E162" s="12">
        <v>565</v>
      </c>
      <c r="F162" s="12">
        <v>60.6</v>
      </c>
      <c r="G162" s="17">
        <v>36269</v>
      </c>
      <c r="H162" s="15">
        <f t="shared" si="2"/>
        <v>147.38942440546825</v>
      </c>
    </row>
    <row r="163" spans="1:8" ht="15" customHeight="1" x14ac:dyDescent="0.3">
      <c r="A163" s="16">
        <v>46082</v>
      </c>
      <c r="B163" s="9" t="s">
        <v>279</v>
      </c>
      <c r="C163" s="9" t="s">
        <v>164</v>
      </c>
      <c r="D163" s="17">
        <v>284601</v>
      </c>
      <c r="E163" s="12">
        <v>561</v>
      </c>
      <c r="F163" s="12">
        <v>71.900000000000006</v>
      </c>
      <c r="G163" s="17">
        <v>28510</v>
      </c>
      <c r="H163" s="15">
        <f t="shared" si="2"/>
        <v>100.1753331857583</v>
      </c>
    </row>
    <row r="164" spans="1:8" ht="15" customHeight="1" x14ac:dyDescent="0.3">
      <c r="A164" s="16">
        <v>46082</v>
      </c>
      <c r="B164" s="9" t="s">
        <v>281</v>
      </c>
      <c r="C164" s="9" t="s">
        <v>164</v>
      </c>
      <c r="D164" s="17">
        <v>267819</v>
      </c>
      <c r="E164" s="12">
        <v>515.70000000000005</v>
      </c>
      <c r="F164" s="12">
        <v>84.2</v>
      </c>
      <c r="G164" s="17">
        <v>33760</v>
      </c>
      <c r="H164" s="15">
        <f t="shared" si="2"/>
        <v>126.0552836057188</v>
      </c>
    </row>
    <row r="165" spans="1:8" ht="15" customHeight="1" x14ac:dyDescent="0.3">
      <c r="A165" s="16">
        <v>46082</v>
      </c>
      <c r="B165" s="9" t="s">
        <v>297</v>
      </c>
      <c r="C165" s="9" t="s">
        <v>171</v>
      </c>
      <c r="D165" s="17">
        <v>144105</v>
      </c>
      <c r="E165" s="12">
        <v>287.39999999999998</v>
      </c>
      <c r="F165" s="12">
        <v>92.6</v>
      </c>
      <c r="G165" s="17">
        <v>5361</v>
      </c>
      <c r="H165" s="15">
        <f t="shared" si="2"/>
        <v>37.202040179036118</v>
      </c>
    </row>
    <row r="166" spans="1:8" ht="15" customHeight="1" x14ac:dyDescent="0.3">
      <c r="A166" s="16">
        <v>46082</v>
      </c>
      <c r="B166" s="9" t="s">
        <v>299</v>
      </c>
      <c r="C166" s="9" t="s">
        <v>171</v>
      </c>
      <c r="D166" s="17">
        <v>236111</v>
      </c>
      <c r="E166" s="12">
        <v>449</v>
      </c>
      <c r="F166" s="12">
        <v>62.7</v>
      </c>
      <c r="G166" s="17">
        <v>8135</v>
      </c>
      <c r="H166" s="15">
        <f t="shared" si="2"/>
        <v>34.454133860768877</v>
      </c>
    </row>
    <row r="167" spans="1:8" ht="15" customHeight="1" x14ac:dyDescent="0.3">
      <c r="A167" s="16">
        <v>46113</v>
      </c>
      <c r="B167" s="9" t="s">
        <v>300</v>
      </c>
      <c r="C167" s="9" t="s">
        <v>172</v>
      </c>
      <c r="D167" s="17">
        <v>266289</v>
      </c>
      <c r="E167" s="12">
        <v>571.4</v>
      </c>
      <c r="F167" s="12">
        <v>111.2</v>
      </c>
      <c r="G167" s="17">
        <v>5173</v>
      </c>
      <c r="H167" s="15">
        <f t="shared" si="2"/>
        <v>19.42626244418658</v>
      </c>
    </row>
    <row r="168" spans="1:8" ht="15" customHeight="1" x14ac:dyDescent="0.3">
      <c r="A168" s="16">
        <v>46113</v>
      </c>
      <c r="B168" s="9" t="s">
        <v>302</v>
      </c>
      <c r="C168" s="9" t="s">
        <v>172</v>
      </c>
      <c r="D168" s="17">
        <v>197938</v>
      </c>
      <c r="E168" s="12">
        <v>415.6</v>
      </c>
      <c r="F168" s="12">
        <v>61.8</v>
      </c>
      <c r="G168" s="17">
        <v>3794</v>
      </c>
      <c r="H168" s="15">
        <f t="shared" si="2"/>
        <v>19.167618143054895</v>
      </c>
    </row>
    <row r="169" spans="1:8" ht="15" customHeight="1" x14ac:dyDescent="0.3">
      <c r="A169" s="16">
        <v>46113</v>
      </c>
      <c r="B169" s="9" t="s">
        <v>284</v>
      </c>
      <c r="C169" s="9" t="s">
        <v>167</v>
      </c>
      <c r="D169" s="17">
        <v>618944</v>
      </c>
      <c r="E169" s="12">
        <v>529.1</v>
      </c>
      <c r="F169" s="12">
        <v>72.599999999999994</v>
      </c>
      <c r="G169" s="17">
        <v>15348</v>
      </c>
      <c r="H169" s="15">
        <f t="shared" si="2"/>
        <v>24.797073725571298</v>
      </c>
    </row>
    <row r="170" spans="1:8" ht="15" customHeight="1" x14ac:dyDescent="0.3">
      <c r="A170" s="16">
        <v>46113</v>
      </c>
      <c r="B170" s="9" t="s">
        <v>286</v>
      </c>
      <c r="C170" s="9" t="s">
        <v>167</v>
      </c>
      <c r="D170" s="17">
        <v>422758</v>
      </c>
      <c r="E170" s="12">
        <v>537.79999999999995</v>
      </c>
      <c r="F170" s="12">
        <v>68.400000000000006</v>
      </c>
      <c r="G170" s="17">
        <v>33060</v>
      </c>
      <c r="H170" s="15">
        <f t="shared" si="2"/>
        <v>78.200767342072766</v>
      </c>
    </row>
    <row r="171" spans="1:8" ht="15" customHeight="1" x14ac:dyDescent="0.3">
      <c r="A171" s="16">
        <v>46113</v>
      </c>
      <c r="B171" s="9" t="s">
        <v>288</v>
      </c>
      <c r="C171" s="9" t="s">
        <v>167</v>
      </c>
      <c r="D171" s="17">
        <v>823488</v>
      </c>
      <c r="E171" s="12">
        <v>542.4</v>
      </c>
      <c r="F171" s="12">
        <v>71</v>
      </c>
      <c r="G171" s="17">
        <v>22061</v>
      </c>
      <c r="H171" s="15">
        <f t="shared" si="2"/>
        <v>26.789704282272481</v>
      </c>
    </row>
    <row r="172" spans="1:8" ht="15" customHeight="1" x14ac:dyDescent="0.3">
      <c r="A172" s="16">
        <v>46113</v>
      </c>
      <c r="B172" s="9" t="s">
        <v>290</v>
      </c>
      <c r="C172" s="9" t="s">
        <v>167</v>
      </c>
      <c r="D172" s="17">
        <v>501212</v>
      </c>
      <c r="E172" s="12">
        <v>521</v>
      </c>
      <c r="F172" s="12">
        <v>81.599999999999994</v>
      </c>
      <c r="G172" s="17">
        <v>32362</v>
      </c>
      <c r="H172" s="15">
        <f t="shared" si="2"/>
        <v>64.567488408098768</v>
      </c>
    </row>
    <row r="173" spans="1:8" ht="15" customHeight="1" x14ac:dyDescent="0.3">
      <c r="A173" s="16">
        <v>46113</v>
      </c>
      <c r="B173" s="9" t="s">
        <v>291</v>
      </c>
      <c r="C173" s="9" t="s">
        <v>167</v>
      </c>
      <c r="D173" s="17">
        <v>412865</v>
      </c>
      <c r="E173" s="12">
        <v>523.29999999999995</v>
      </c>
      <c r="F173" s="12">
        <v>67.900000000000006</v>
      </c>
      <c r="G173" s="17">
        <v>20522</v>
      </c>
      <c r="H173" s="15">
        <f t="shared" si="2"/>
        <v>49.706320467949574</v>
      </c>
    </row>
    <row r="174" spans="1:8" ht="15" customHeight="1" x14ac:dyDescent="0.3">
      <c r="A174" s="16">
        <v>46113</v>
      </c>
      <c r="B174" s="9" t="s">
        <v>292</v>
      </c>
      <c r="C174" s="9" t="s">
        <v>167</v>
      </c>
      <c r="D174" s="17">
        <v>269825</v>
      </c>
      <c r="E174" s="12">
        <v>522.9</v>
      </c>
      <c r="F174" s="12">
        <v>80.3</v>
      </c>
      <c r="G174" s="17">
        <v>21410</v>
      </c>
      <c r="H174" s="15">
        <f t="shared" si="2"/>
        <v>79.347725377559527</v>
      </c>
    </row>
    <row r="175" spans="1:8" ht="15" customHeight="1" x14ac:dyDescent="0.3">
      <c r="A175" s="16">
        <v>46113</v>
      </c>
      <c r="B175" s="9" t="s">
        <v>270</v>
      </c>
      <c r="C175" s="9" t="s">
        <v>164</v>
      </c>
      <c r="D175" s="17">
        <v>293838</v>
      </c>
      <c r="E175" s="12">
        <v>487.3</v>
      </c>
      <c r="F175" s="12">
        <v>86.5</v>
      </c>
      <c r="G175" s="17">
        <v>19946</v>
      </c>
      <c r="H175" s="15">
        <f t="shared" si="2"/>
        <v>67.880941198891904</v>
      </c>
    </row>
    <row r="176" spans="1:8" ht="15" customHeight="1" x14ac:dyDescent="0.3">
      <c r="A176" s="16">
        <v>46113</v>
      </c>
      <c r="B176" s="9" t="s">
        <v>273</v>
      </c>
      <c r="C176" s="9" t="s">
        <v>164</v>
      </c>
      <c r="D176" s="17">
        <v>306479</v>
      </c>
      <c r="E176" s="12">
        <v>512</v>
      </c>
      <c r="F176" s="12">
        <v>72.7</v>
      </c>
      <c r="G176" s="17">
        <v>33485</v>
      </c>
      <c r="H176" s="15">
        <f t="shared" si="2"/>
        <v>109.25707797271592</v>
      </c>
    </row>
    <row r="177" spans="1:8" ht="15" customHeight="1" x14ac:dyDescent="0.3">
      <c r="A177" s="16">
        <v>46113</v>
      </c>
      <c r="B177" s="9" t="s">
        <v>275</v>
      </c>
      <c r="C177" s="9" t="s">
        <v>164</v>
      </c>
      <c r="D177" s="17">
        <v>190232</v>
      </c>
      <c r="E177" s="12">
        <v>482.2</v>
      </c>
      <c r="F177" s="12">
        <v>81.900000000000006</v>
      </c>
      <c r="G177" s="17">
        <v>33110</v>
      </c>
      <c r="H177" s="15">
        <f t="shared" si="2"/>
        <v>174.05063291139243</v>
      </c>
    </row>
    <row r="178" spans="1:8" ht="15" customHeight="1" x14ac:dyDescent="0.3">
      <c r="A178" s="16">
        <v>46113</v>
      </c>
      <c r="B178" s="9" t="s">
        <v>276</v>
      </c>
      <c r="C178" s="9" t="s">
        <v>164</v>
      </c>
      <c r="D178" s="17">
        <v>168682</v>
      </c>
      <c r="E178" s="12">
        <v>514.6</v>
      </c>
      <c r="F178" s="12">
        <v>79.3</v>
      </c>
      <c r="G178" s="17">
        <v>19844</v>
      </c>
      <c r="H178" s="15">
        <f t="shared" si="2"/>
        <v>117.64147923311319</v>
      </c>
    </row>
    <row r="179" spans="1:8" ht="15" customHeight="1" x14ac:dyDescent="0.3">
      <c r="A179" s="16">
        <v>46113</v>
      </c>
      <c r="B179" s="9" t="s">
        <v>277</v>
      </c>
      <c r="C179" s="9" t="s">
        <v>164</v>
      </c>
      <c r="D179" s="17">
        <v>171136</v>
      </c>
      <c r="E179" s="12">
        <v>444.7</v>
      </c>
      <c r="F179" s="12">
        <v>109.8</v>
      </c>
      <c r="G179" s="17">
        <v>28671</v>
      </c>
      <c r="H179" s="15">
        <f t="shared" si="2"/>
        <v>167.53342370979806</v>
      </c>
    </row>
    <row r="180" spans="1:8" ht="15" customHeight="1" x14ac:dyDescent="0.3">
      <c r="A180" s="16">
        <v>46113</v>
      </c>
      <c r="B180" s="9" t="s">
        <v>278</v>
      </c>
      <c r="C180" s="9" t="s">
        <v>164</v>
      </c>
      <c r="D180" s="17">
        <v>222892</v>
      </c>
      <c r="E180" s="12">
        <v>523</v>
      </c>
      <c r="F180" s="12">
        <v>69.5</v>
      </c>
      <c r="G180" s="17">
        <v>33502</v>
      </c>
      <c r="H180" s="15">
        <f t="shared" si="2"/>
        <v>150.30597778296215</v>
      </c>
    </row>
    <row r="181" spans="1:8" ht="15" customHeight="1" x14ac:dyDescent="0.3">
      <c r="A181" s="16">
        <v>46113</v>
      </c>
      <c r="B181" s="9" t="s">
        <v>279</v>
      </c>
      <c r="C181" s="9" t="s">
        <v>164</v>
      </c>
      <c r="D181" s="17">
        <v>260104</v>
      </c>
      <c r="E181" s="12">
        <v>510.8</v>
      </c>
      <c r="F181" s="12">
        <v>80.900000000000006</v>
      </c>
      <c r="G181" s="17">
        <v>25844</v>
      </c>
      <c r="H181" s="15">
        <f t="shared" si="2"/>
        <v>99.36025589764094</v>
      </c>
    </row>
    <row r="182" spans="1:8" ht="15" customHeight="1" x14ac:dyDescent="0.3">
      <c r="A182" s="16">
        <v>46113</v>
      </c>
      <c r="B182" s="9" t="s">
        <v>281</v>
      </c>
      <c r="C182" s="9" t="s">
        <v>164</v>
      </c>
      <c r="D182" s="17">
        <v>299498</v>
      </c>
      <c r="E182" s="12">
        <v>565.29999999999995</v>
      </c>
      <c r="F182" s="12">
        <v>57.6</v>
      </c>
      <c r="G182" s="17">
        <v>35120</v>
      </c>
      <c r="H182" s="15">
        <f t="shared" si="2"/>
        <v>117.26288656351629</v>
      </c>
    </row>
    <row r="183" spans="1:8" ht="15" customHeight="1" x14ac:dyDescent="0.3">
      <c r="A183" s="16">
        <v>46113</v>
      </c>
      <c r="B183" s="9" t="s">
        <v>297</v>
      </c>
      <c r="C183" s="9" t="s">
        <v>171</v>
      </c>
      <c r="D183" s="17">
        <v>173425</v>
      </c>
      <c r="E183" s="12">
        <v>364.7</v>
      </c>
      <c r="F183" s="12">
        <v>118.5</v>
      </c>
      <c r="G183" s="17">
        <v>6688</v>
      </c>
      <c r="H183" s="15">
        <f t="shared" si="2"/>
        <v>38.56422084474557</v>
      </c>
    </row>
    <row r="184" spans="1:8" ht="15" customHeight="1" x14ac:dyDescent="0.3">
      <c r="A184" s="16">
        <v>46113</v>
      </c>
      <c r="B184" s="9" t="s">
        <v>299</v>
      </c>
      <c r="C184" s="9" t="s">
        <v>171</v>
      </c>
      <c r="D184" s="17">
        <v>188269</v>
      </c>
      <c r="E184" s="12">
        <v>357</v>
      </c>
      <c r="F184" s="12">
        <v>57.9</v>
      </c>
      <c r="G184" s="17">
        <v>6399</v>
      </c>
      <c r="H184" s="15">
        <f t="shared" si="2"/>
        <v>33.988601416058934</v>
      </c>
    </row>
    <row r="185" spans="1:8" ht="15" customHeight="1" x14ac:dyDescent="0.3">
      <c r="A185" s="16">
        <v>46143</v>
      </c>
      <c r="B185" s="9" t="s">
        <v>300</v>
      </c>
      <c r="C185" s="9" t="s">
        <v>172</v>
      </c>
      <c r="D185" s="17">
        <v>252290</v>
      </c>
      <c r="E185" s="12">
        <v>539</v>
      </c>
      <c r="F185" s="12">
        <v>60.2</v>
      </c>
      <c r="G185" s="17">
        <v>4590</v>
      </c>
      <c r="H185" s="15">
        <f t="shared" si="2"/>
        <v>18.193348923857464</v>
      </c>
    </row>
    <row r="186" spans="1:8" ht="15" customHeight="1" x14ac:dyDescent="0.3">
      <c r="A186" s="16">
        <v>46143</v>
      </c>
      <c r="B186" s="9" t="s">
        <v>302</v>
      </c>
      <c r="C186" s="9" t="s">
        <v>172</v>
      </c>
      <c r="D186" s="17">
        <v>276864</v>
      </c>
      <c r="E186" s="12">
        <v>600.70000000000005</v>
      </c>
      <c r="F186" s="12">
        <v>79.7</v>
      </c>
      <c r="G186" s="17">
        <v>5319</v>
      </c>
      <c r="H186" s="15">
        <f t="shared" si="2"/>
        <v>19.211598474341191</v>
      </c>
    </row>
    <row r="187" spans="1:8" ht="15" customHeight="1" x14ac:dyDescent="0.3">
      <c r="A187" s="16">
        <v>46143</v>
      </c>
      <c r="B187" s="9" t="s">
        <v>284</v>
      </c>
      <c r="C187" s="9" t="s">
        <v>167</v>
      </c>
      <c r="D187" s="17">
        <v>684162</v>
      </c>
      <c r="E187" s="12">
        <v>577.4</v>
      </c>
      <c r="F187" s="12">
        <v>69</v>
      </c>
      <c r="G187" s="17">
        <v>17117</v>
      </c>
      <c r="H187" s="15">
        <f t="shared" si="2"/>
        <v>25.018928265527755</v>
      </c>
    </row>
    <row r="188" spans="1:8" ht="15" customHeight="1" x14ac:dyDescent="0.3">
      <c r="A188" s="16">
        <v>46143</v>
      </c>
      <c r="B188" s="9" t="s">
        <v>286</v>
      </c>
      <c r="C188" s="9" t="s">
        <v>167</v>
      </c>
      <c r="D188" s="17">
        <v>450398</v>
      </c>
      <c r="E188" s="12">
        <v>573.20000000000005</v>
      </c>
      <c r="F188" s="12">
        <v>70</v>
      </c>
      <c r="G188" s="17">
        <v>36013</v>
      </c>
      <c r="H188" s="15">
        <f t="shared" si="2"/>
        <v>79.958170329353152</v>
      </c>
    </row>
    <row r="189" spans="1:8" ht="15" customHeight="1" x14ac:dyDescent="0.3">
      <c r="A189" s="16">
        <v>46143</v>
      </c>
      <c r="B189" s="9" t="s">
        <v>288</v>
      </c>
      <c r="C189" s="9" t="s">
        <v>167</v>
      </c>
      <c r="D189" s="17">
        <v>814584</v>
      </c>
      <c r="E189" s="12">
        <v>569.29999999999995</v>
      </c>
      <c r="F189" s="12">
        <v>57.5</v>
      </c>
      <c r="G189" s="17">
        <v>23465</v>
      </c>
      <c r="H189" s="15">
        <f t="shared" si="2"/>
        <v>28.80611453208018</v>
      </c>
    </row>
    <row r="190" spans="1:8" ht="15" customHeight="1" x14ac:dyDescent="0.3">
      <c r="A190" s="16">
        <v>46143</v>
      </c>
      <c r="B190" s="9" t="s">
        <v>290</v>
      </c>
      <c r="C190" s="9" t="s">
        <v>167</v>
      </c>
      <c r="D190" s="17">
        <v>515568</v>
      </c>
      <c r="E190" s="12">
        <v>578.70000000000005</v>
      </c>
      <c r="F190" s="12">
        <v>60.8</v>
      </c>
      <c r="G190" s="17">
        <v>35645</v>
      </c>
      <c r="H190" s="15">
        <f t="shared" si="2"/>
        <v>69.137339788349934</v>
      </c>
    </row>
    <row r="191" spans="1:8" ht="15" customHeight="1" x14ac:dyDescent="0.3">
      <c r="A191" s="16">
        <v>46143</v>
      </c>
      <c r="B191" s="9" t="s">
        <v>291</v>
      </c>
      <c r="C191" s="9" t="s">
        <v>167</v>
      </c>
      <c r="D191" s="17">
        <v>440714</v>
      </c>
      <c r="E191" s="12">
        <v>558</v>
      </c>
      <c r="F191" s="12">
        <v>74.900000000000006</v>
      </c>
      <c r="G191" s="17">
        <v>22487</v>
      </c>
      <c r="H191" s="15">
        <f t="shared" si="2"/>
        <v>51.024020112816928</v>
      </c>
    </row>
    <row r="192" spans="1:8" ht="15" customHeight="1" x14ac:dyDescent="0.3">
      <c r="A192" s="16">
        <v>46143</v>
      </c>
      <c r="B192" s="9" t="s">
        <v>292</v>
      </c>
      <c r="C192" s="9" t="s">
        <v>167</v>
      </c>
      <c r="D192" s="17">
        <v>306412</v>
      </c>
      <c r="E192" s="12">
        <v>599.20000000000005</v>
      </c>
      <c r="F192" s="12">
        <v>50.5</v>
      </c>
      <c r="G192" s="17">
        <v>24469</v>
      </c>
      <c r="H192" s="15">
        <f t="shared" si="2"/>
        <v>79.856533033954278</v>
      </c>
    </row>
    <row r="193" spans="1:8" ht="15" customHeight="1" x14ac:dyDescent="0.3">
      <c r="A193" s="16">
        <v>46143</v>
      </c>
      <c r="B193" s="9" t="s">
        <v>270</v>
      </c>
      <c r="C193" s="9" t="s">
        <v>164</v>
      </c>
      <c r="D193" s="17">
        <v>330550</v>
      </c>
      <c r="E193" s="12">
        <v>542.29999999999995</v>
      </c>
      <c r="F193" s="12">
        <v>81.099999999999994</v>
      </c>
      <c r="G193" s="17">
        <v>21541</v>
      </c>
      <c r="H193" s="15">
        <f t="shared" si="2"/>
        <v>65.167145666313729</v>
      </c>
    </row>
    <row r="194" spans="1:8" ht="15" customHeight="1" x14ac:dyDescent="0.3">
      <c r="A194" s="16">
        <v>46143</v>
      </c>
      <c r="B194" s="9" t="s">
        <v>273</v>
      </c>
      <c r="C194" s="9" t="s">
        <v>164</v>
      </c>
      <c r="D194" s="17">
        <v>348185</v>
      </c>
      <c r="E194" s="12">
        <v>577.5</v>
      </c>
      <c r="F194" s="12">
        <v>51.9</v>
      </c>
      <c r="G194" s="17">
        <v>35874</v>
      </c>
      <c r="H194" s="15">
        <f t="shared" si="2"/>
        <v>103.03143443858869</v>
      </c>
    </row>
    <row r="195" spans="1:8" ht="15" customHeight="1" x14ac:dyDescent="0.3">
      <c r="A195" s="16">
        <v>46143</v>
      </c>
      <c r="B195" s="9" t="s">
        <v>275</v>
      </c>
      <c r="C195" s="9" t="s">
        <v>164</v>
      </c>
      <c r="D195" s="17">
        <v>218209</v>
      </c>
      <c r="E195" s="12">
        <v>538</v>
      </c>
      <c r="F195" s="12">
        <v>79.3</v>
      </c>
      <c r="G195" s="17">
        <v>35687</v>
      </c>
      <c r="H195" s="15">
        <f t="shared" si="2"/>
        <v>163.54504168022402</v>
      </c>
    </row>
    <row r="196" spans="1:8" ht="15" customHeight="1" x14ac:dyDescent="0.3">
      <c r="A196" s="16">
        <v>46143</v>
      </c>
      <c r="B196" s="9" t="s">
        <v>276</v>
      </c>
      <c r="C196" s="9" t="s">
        <v>164</v>
      </c>
      <c r="D196" s="17">
        <v>155051</v>
      </c>
      <c r="E196" s="12">
        <v>523.5</v>
      </c>
      <c r="F196" s="12">
        <v>77.3</v>
      </c>
      <c r="G196" s="17">
        <v>19715</v>
      </c>
      <c r="H196" s="15">
        <f t="shared" si="2"/>
        <v>127.15171137238715</v>
      </c>
    </row>
    <row r="197" spans="1:8" ht="15" customHeight="1" x14ac:dyDescent="0.3">
      <c r="A197" s="16">
        <v>46143</v>
      </c>
      <c r="B197" s="9" t="s">
        <v>277</v>
      </c>
      <c r="C197" s="9" t="s">
        <v>164</v>
      </c>
      <c r="D197" s="17">
        <v>174849</v>
      </c>
      <c r="E197" s="12">
        <v>540.70000000000005</v>
      </c>
      <c r="F197" s="12">
        <v>76.900000000000006</v>
      </c>
      <c r="G197" s="17">
        <v>32212</v>
      </c>
      <c r="H197" s="15">
        <f t="shared" ref="H197:H260" si="3">IF(OR(A197="",D197=0),"",G197/D197*1000)</f>
        <v>184.22753347173847</v>
      </c>
    </row>
    <row r="198" spans="1:8" ht="15" customHeight="1" x14ac:dyDescent="0.3">
      <c r="A198" s="16">
        <v>46143</v>
      </c>
      <c r="B198" s="9" t="s">
        <v>278</v>
      </c>
      <c r="C198" s="9" t="s">
        <v>164</v>
      </c>
      <c r="D198" s="17">
        <v>241287</v>
      </c>
      <c r="E198" s="12">
        <v>548.29999999999995</v>
      </c>
      <c r="F198" s="12">
        <v>61.2</v>
      </c>
      <c r="G198" s="17">
        <v>33921</v>
      </c>
      <c r="H198" s="15">
        <f t="shared" si="3"/>
        <v>140.5836203359485</v>
      </c>
    </row>
    <row r="199" spans="1:8" ht="15" customHeight="1" x14ac:dyDescent="0.3">
      <c r="A199" s="16">
        <v>46143</v>
      </c>
      <c r="B199" s="9" t="s">
        <v>279</v>
      </c>
      <c r="C199" s="9" t="s">
        <v>164</v>
      </c>
      <c r="D199" s="17">
        <v>269350</v>
      </c>
      <c r="E199" s="12">
        <v>523.9</v>
      </c>
      <c r="F199" s="12">
        <v>75.099999999999994</v>
      </c>
      <c r="G199" s="17">
        <v>25762</v>
      </c>
      <c r="H199" s="15">
        <f t="shared" si="3"/>
        <v>95.645071468349727</v>
      </c>
    </row>
    <row r="200" spans="1:8" ht="15" customHeight="1" x14ac:dyDescent="0.3">
      <c r="A200" s="16">
        <v>46143</v>
      </c>
      <c r="B200" s="9" t="s">
        <v>281</v>
      </c>
      <c r="C200" s="9" t="s">
        <v>164</v>
      </c>
      <c r="D200" s="17">
        <v>298746</v>
      </c>
      <c r="E200" s="12">
        <v>542.4</v>
      </c>
      <c r="F200" s="12">
        <v>67.3</v>
      </c>
      <c r="G200" s="17">
        <v>33383</v>
      </c>
      <c r="H200" s="15">
        <f t="shared" si="3"/>
        <v>111.74375556492807</v>
      </c>
    </row>
    <row r="201" spans="1:8" ht="15" customHeight="1" x14ac:dyDescent="0.3">
      <c r="A201" s="16">
        <v>46143</v>
      </c>
      <c r="B201" s="9" t="s">
        <v>297</v>
      </c>
      <c r="C201" s="9" t="s">
        <v>171</v>
      </c>
      <c r="D201" s="17">
        <v>193032</v>
      </c>
      <c r="E201" s="12">
        <v>406.8</v>
      </c>
      <c r="F201" s="12">
        <v>169.5</v>
      </c>
      <c r="G201" s="17">
        <v>7550</v>
      </c>
      <c r="H201" s="15">
        <f t="shared" si="3"/>
        <v>39.112685979526709</v>
      </c>
    </row>
    <row r="202" spans="1:8" ht="15" customHeight="1" x14ac:dyDescent="0.3">
      <c r="A202" s="16">
        <v>46143</v>
      </c>
      <c r="B202" s="9" t="s">
        <v>299</v>
      </c>
      <c r="C202" s="9" t="s">
        <v>171</v>
      </c>
      <c r="D202" s="17">
        <v>198934</v>
      </c>
      <c r="E202" s="12">
        <v>391.7</v>
      </c>
      <c r="F202" s="12">
        <v>56.5</v>
      </c>
      <c r="G202" s="17">
        <v>6860</v>
      </c>
      <c r="H202" s="15">
        <f t="shared" si="3"/>
        <v>34.483798646787378</v>
      </c>
    </row>
    <row r="203" spans="1:8" ht="15" customHeight="1" x14ac:dyDescent="0.3">
      <c r="A203" s="16">
        <v>46174</v>
      </c>
      <c r="B203" s="9" t="s">
        <v>300</v>
      </c>
      <c r="C203" s="9" t="s">
        <v>172</v>
      </c>
      <c r="D203" s="17">
        <v>224801</v>
      </c>
      <c r="E203" s="12">
        <v>479</v>
      </c>
      <c r="F203" s="12">
        <v>46.2</v>
      </c>
      <c r="G203" s="17">
        <v>4113</v>
      </c>
      <c r="H203" s="15">
        <f t="shared" si="3"/>
        <v>18.29618195648596</v>
      </c>
    </row>
    <row r="204" spans="1:8" ht="15" customHeight="1" x14ac:dyDescent="0.3">
      <c r="A204" s="16">
        <v>46174</v>
      </c>
      <c r="B204" s="9" t="s">
        <v>302</v>
      </c>
      <c r="C204" s="9" t="s">
        <v>172</v>
      </c>
      <c r="D204" s="17">
        <v>284339</v>
      </c>
      <c r="E204" s="12">
        <v>602.4</v>
      </c>
      <c r="F204" s="12">
        <v>65.599999999999994</v>
      </c>
      <c r="G204" s="17">
        <v>5351</v>
      </c>
      <c r="H204" s="15">
        <f t="shared" si="3"/>
        <v>18.819085668867093</v>
      </c>
    </row>
    <row r="205" spans="1:8" ht="15" customHeight="1" x14ac:dyDescent="0.3">
      <c r="A205" s="16">
        <v>46174</v>
      </c>
      <c r="B205" s="9" t="s">
        <v>284</v>
      </c>
      <c r="C205" s="9" t="s">
        <v>167</v>
      </c>
      <c r="D205" s="17">
        <v>631139</v>
      </c>
      <c r="E205" s="12">
        <v>529.6</v>
      </c>
      <c r="F205" s="12">
        <v>72.7</v>
      </c>
      <c r="G205" s="17">
        <v>15604</v>
      </c>
      <c r="H205" s="15">
        <f t="shared" si="3"/>
        <v>24.723555349930837</v>
      </c>
    </row>
    <row r="206" spans="1:8" ht="15" customHeight="1" x14ac:dyDescent="0.3">
      <c r="A206" s="16">
        <v>46174</v>
      </c>
      <c r="B206" s="9" t="s">
        <v>286</v>
      </c>
      <c r="C206" s="9" t="s">
        <v>167</v>
      </c>
      <c r="D206" s="17">
        <v>434465</v>
      </c>
      <c r="E206" s="12">
        <v>559.4</v>
      </c>
      <c r="F206" s="12">
        <v>71.900000000000006</v>
      </c>
      <c r="G206" s="17">
        <v>34965</v>
      </c>
      <c r="H206" s="15">
        <f t="shared" si="3"/>
        <v>80.478289390399695</v>
      </c>
    </row>
    <row r="207" spans="1:8" ht="15" customHeight="1" x14ac:dyDescent="0.3">
      <c r="A207" s="16">
        <v>46174</v>
      </c>
      <c r="B207" s="9" t="s">
        <v>288</v>
      </c>
      <c r="C207" s="9" t="s">
        <v>167</v>
      </c>
      <c r="D207" s="17">
        <v>800636</v>
      </c>
      <c r="E207" s="12">
        <v>546.29999999999995</v>
      </c>
      <c r="F207" s="12">
        <v>60.4</v>
      </c>
      <c r="G207" s="17">
        <v>22383</v>
      </c>
      <c r="H207" s="15">
        <f t="shared" si="3"/>
        <v>27.956524562972437</v>
      </c>
    </row>
    <row r="208" spans="1:8" ht="15" customHeight="1" x14ac:dyDescent="0.3">
      <c r="A208" s="16">
        <v>46174</v>
      </c>
      <c r="B208" s="9" t="s">
        <v>290</v>
      </c>
      <c r="C208" s="9" t="s">
        <v>167</v>
      </c>
      <c r="D208" s="17">
        <v>464472</v>
      </c>
      <c r="E208" s="12">
        <v>517.4</v>
      </c>
      <c r="F208" s="12">
        <v>84.3</v>
      </c>
      <c r="G208" s="17">
        <v>32777</v>
      </c>
      <c r="H208" s="15">
        <f t="shared" si="3"/>
        <v>70.568301210837248</v>
      </c>
    </row>
    <row r="209" spans="1:8" ht="15" customHeight="1" x14ac:dyDescent="0.3">
      <c r="A209" s="16">
        <v>46174</v>
      </c>
      <c r="B209" s="9" t="s">
        <v>291</v>
      </c>
      <c r="C209" s="9" t="s">
        <v>167</v>
      </c>
      <c r="D209" s="17">
        <v>397837</v>
      </c>
      <c r="E209" s="12">
        <v>500.9</v>
      </c>
      <c r="F209" s="12">
        <v>84.9</v>
      </c>
      <c r="G209" s="17">
        <v>20285</v>
      </c>
      <c r="H209" s="15">
        <f t="shared" si="3"/>
        <v>50.988218793123821</v>
      </c>
    </row>
    <row r="210" spans="1:8" ht="15" customHeight="1" x14ac:dyDescent="0.3">
      <c r="A210" s="16">
        <v>46174</v>
      </c>
      <c r="B210" s="9" t="s">
        <v>292</v>
      </c>
      <c r="C210" s="9" t="s">
        <v>167</v>
      </c>
      <c r="D210" s="17">
        <v>277908</v>
      </c>
      <c r="E210" s="12">
        <v>556.79999999999995</v>
      </c>
      <c r="F210" s="12">
        <v>59.6</v>
      </c>
      <c r="G210" s="17">
        <v>22725</v>
      </c>
      <c r="H210" s="15">
        <f t="shared" si="3"/>
        <v>81.771665443240209</v>
      </c>
    </row>
    <row r="211" spans="1:8" ht="15" customHeight="1" x14ac:dyDescent="0.3">
      <c r="A211" s="16">
        <v>46174</v>
      </c>
      <c r="B211" s="9" t="s">
        <v>270</v>
      </c>
      <c r="C211" s="9" t="s">
        <v>164</v>
      </c>
      <c r="D211" s="17">
        <v>328423</v>
      </c>
      <c r="E211" s="12">
        <v>548.1</v>
      </c>
      <c r="F211" s="12">
        <v>51.1</v>
      </c>
      <c r="G211" s="17">
        <v>21466</v>
      </c>
      <c r="H211" s="15">
        <f t="shared" si="3"/>
        <v>65.360830392512099</v>
      </c>
    </row>
    <row r="212" spans="1:8" ht="15" customHeight="1" x14ac:dyDescent="0.3">
      <c r="A212" s="16">
        <v>46174</v>
      </c>
      <c r="B212" s="9" t="s">
        <v>273</v>
      </c>
      <c r="C212" s="9" t="s">
        <v>164</v>
      </c>
      <c r="D212" s="17">
        <v>312609</v>
      </c>
      <c r="E212" s="12">
        <v>522.6</v>
      </c>
      <c r="F212" s="12">
        <v>71.7</v>
      </c>
      <c r="G212" s="17">
        <v>33432</v>
      </c>
      <c r="H212" s="15">
        <f t="shared" si="3"/>
        <v>106.94509754997456</v>
      </c>
    </row>
    <row r="213" spans="1:8" ht="15" customHeight="1" x14ac:dyDescent="0.3">
      <c r="A213" s="16">
        <v>46174</v>
      </c>
      <c r="B213" s="9" t="s">
        <v>275</v>
      </c>
      <c r="C213" s="9" t="s">
        <v>164</v>
      </c>
      <c r="D213" s="17">
        <v>209935</v>
      </c>
      <c r="E213" s="12">
        <v>532.29999999999995</v>
      </c>
      <c r="F213" s="12">
        <v>66.5</v>
      </c>
      <c r="G213" s="17">
        <v>34960</v>
      </c>
      <c r="H213" s="15">
        <f t="shared" si="3"/>
        <v>166.52773477504942</v>
      </c>
    </row>
    <row r="214" spans="1:8" ht="15" customHeight="1" x14ac:dyDescent="0.3">
      <c r="A214" s="16">
        <v>46174</v>
      </c>
      <c r="B214" s="9" t="s">
        <v>276</v>
      </c>
      <c r="C214" s="9" t="s">
        <v>164</v>
      </c>
      <c r="D214" s="17">
        <v>217358</v>
      </c>
      <c r="E214" s="12">
        <v>526.70000000000005</v>
      </c>
      <c r="F214" s="12">
        <v>79.099999999999994</v>
      </c>
      <c r="G214" s="17">
        <v>19903</v>
      </c>
      <c r="H214" s="15">
        <f t="shared" si="3"/>
        <v>91.567828191278906</v>
      </c>
    </row>
    <row r="215" spans="1:8" ht="15" customHeight="1" x14ac:dyDescent="0.3">
      <c r="A215" s="16">
        <v>46174</v>
      </c>
      <c r="B215" s="9" t="s">
        <v>277</v>
      </c>
      <c r="C215" s="9" t="s">
        <v>164</v>
      </c>
      <c r="D215" s="17">
        <v>170667</v>
      </c>
      <c r="E215" s="12">
        <v>420.1</v>
      </c>
      <c r="F215" s="12">
        <v>115.9</v>
      </c>
      <c r="G215" s="17">
        <v>26976</v>
      </c>
      <c r="H215" s="15">
        <f t="shared" si="3"/>
        <v>158.06219128478267</v>
      </c>
    </row>
    <row r="216" spans="1:8" ht="15" customHeight="1" x14ac:dyDescent="0.3">
      <c r="A216" s="16">
        <v>46174</v>
      </c>
      <c r="B216" s="9" t="s">
        <v>278</v>
      </c>
      <c r="C216" s="9" t="s">
        <v>164</v>
      </c>
      <c r="D216" s="17">
        <v>246727</v>
      </c>
      <c r="E216" s="12">
        <v>546</v>
      </c>
      <c r="F216" s="12">
        <v>66.900000000000006</v>
      </c>
      <c r="G216" s="17">
        <v>34094</v>
      </c>
      <c r="H216" s="15">
        <f t="shared" si="3"/>
        <v>138.18511958561487</v>
      </c>
    </row>
    <row r="217" spans="1:8" ht="15" customHeight="1" x14ac:dyDescent="0.3">
      <c r="A217" s="16">
        <v>46174</v>
      </c>
      <c r="B217" s="9" t="s">
        <v>279</v>
      </c>
      <c r="C217" s="9" t="s">
        <v>164</v>
      </c>
      <c r="D217" s="17">
        <v>284564</v>
      </c>
      <c r="E217" s="12">
        <v>551.9</v>
      </c>
      <c r="F217" s="12">
        <v>55.2</v>
      </c>
      <c r="G217" s="17">
        <v>26692</v>
      </c>
      <c r="H217" s="15">
        <f t="shared" si="3"/>
        <v>93.799637339930555</v>
      </c>
    </row>
    <row r="218" spans="1:8" ht="15" customHeight="1" x14ac:dyDescent="0.3">
      <c r="A218" s="16">
        <v>46174</v>
      </c>
      <c r="B218" s="9" t="s">
        <v>281</v>
      </c>
      <c r="C218" s="9" t="s">
        <v>164</v>
      </c>
      <c r="D218" s="17">
        <v>298256</v>
      </c>
      <c r="E218" s="12">
        <v>523.9</v>
      </c>
      <c r="F218" s="12">
        <v>78.099999999999994</v>
      </c>
      <c r="G218" s="17">
        <v>32795</v>
      </c>
      <c r="H218" s="15">
        <f t="shared" si="3"/>
        <v>109.95587683064213</v>
      </c>
    </row>
    <row r="219" spans="1:8" ht="15" customHeight="1" x14ac:dyDescent="0.3">
      <c r="A219" s="16">
        <v>46174</v>
      </c>
      <c r="B219" s="9" t="s">
        <v>297</v>
      </c>
      <c r="C219" s="9" t="s">
        <v>171</v>
      </c>
      <c r="D219" s="17">
        <v>89891</v>
      </c>
      <c r="E219" s="12">
        <v>187.5</v>
      </c>
      <c r="F219" s="12">
        <v>121.7</v>
      </c>
      <c r="G219" s="17">
        <v>3475</v>
      </c>
      <c r="H219" s="15">
        <f t="shared" si="3"/>
        <v>38.657930159860278</v>
      </c>
    </row>
    <row r="220" spans="1:8" ht="15" customHeight="1" x14ac:dyDescent="0.3">
      <c r="A220" s="16">
        <v>46174</v>
      </c>
      <c r="B220" s="9" t="s">
        <v>299</v>
      </c>
      <c r="C220" s="9" t="s">
        <v>171</v>
      </c>
      <c r="D220" s="17">
        <v>164318</v>
      </c>
      <c r="E220" s="12">
        <v>320.7</v>
      </c>
      <c r="F220" s="12">
        <v>50</v>
      </c>
      <c r="G220" s="17">
        <v>5248</v>
      </c>
      <c r="H220" s="15">
        <f t="shared" si="3"/>
        <v>31.938071300770456</v>
      </c>
    </row>
    <row r="221" spans="1:8" ht="15" customHeight="1" x14ac:dyDescent="0.3">
      <c r="A221" s="16">
        <v>46204</v>
      </c>
      <c r="B221" s="9" t="s">
        <v>300</v>
      </c>
      <c r="C221" s="9" t="s">
        <v>172</v>
      </c>
      <c r="D221" s="17">
        <v>271447</v>
      </c>
      <c r="E221" s="12">
        <v>576.6</v>
      </c>
      <c r="F221" s="12">
        <v>61.6</v>
      </c>
      <c r="G221" s="17">
        <v>5214</v>
      </c>
      <c r="H221" s="15">
        <f t="shared" si="3"/>
        <v>19.20816955059367</v>
      </c>
    </row>
    <row r="222" spans="1:8" ht="15" customHeight="1" x14ac:dyDescent="0.3">
      <c r="A222" s="16">
        <v>46204</v>
      </c>
      <c r="B222" s="9" t="s">
        <v>302</v>
      </c>
      <c r="C222" s="9" t="s">
        <v>172</v>
      </c>
      <c r="D222" s="17">
        <v>195139</v>
      </c>
      <c r="E222" s="12">
        <v>415.9</v>
      </c>
      <c r="F222" s="12">
        <v>67.8</v>
      </c>
      <c r="G222" s="17">
        <v>3981</v>
      </c>
      <c r="H222" s="15">
        <f t="shared" si="3"/>
        <v>20.400842476388625</v>
      </c>
    </row>
    <row r="223" spans="1:8" ht="15" customHeight="1" x14ac:dyDescent="0.3">
      <c r="A223" s="16">
        <v>46204</v>
      </c>
      <c r="B223" s="9" t="s">
        <v>284</v>
      </c>
      <c r="C223" s="9" t="s">
        <v>167</v>
      </c>
      <c r="D223" s="17">
        <v>668945</v>
      </c>
      <c r="E223" s="12">
        <v>568.9</v>
      </c>
      <c r="F223" s="12">
        <v>77.099999999999994</v>
      </c>
      <c r="G223" s="17">
        <v>17945</v>
      </c>
      <c r="H223" s="15">
        <f t="shared" si="3"/>
        <v>26.825822750749314</v>
      </c>
    </row>
    <row r="224" spans="1:8" ht="15" customHeight="1" x14ac:dyDescent="0.3">
      <c r="A224" s="16">
        <v>46204</v>
      </c>
      <c r="B224" s="9" t="s">
        <v>286</v>
      </c>
      <c r="C224" s="9" t="s">
        <v>167</v>
      </c>
      <c r="D224" s="17">
        <v>420470</v>
      </c>
      <c r="E224" s="12">
        <v>538.20000000000005</v>
      </c>
      <c r="F224" s="12">
        <v>79.400000000000006</v>
      </c>
      <c r="G224" s="17">
        <v>36504</v>
      </c>
      <c r="H224" s="15">
        <f t="shared" si="3"/>
        <v>86.817133208076669</v>
      </c>
    </row>
    <row r="225" spans="1:8" ht="15" customHeight="1" x14ac:dyDescent="0.3">
      <c r="A225" s="16">
        <v>46204</v>
      </c>
      <c r="B225" s="9" t="s">
        <v>288</v>
      </c>
      <c r="C225" s="9" t="s">
        <v>167</v>
      </c>
      <c r="D225" s="17">
        <v>817673</v>
      </c>
      <c r="E225" s="12">
        <v>551.6</v>
      </c>
      <c r="F225" s="12">
        <v>71.7</v>
      </c>
      <c r="G225" s="17">
        <v>24397</v>
      </c>
      <c r="H225" s="15">
        <f t="shared" si="3"/>
        <v>29.837110923315311</v>
      </c>
    </row>
    <row r="226" spans="1:8" ht="15" customHeight="1" x14ac:dyDescent="0.3">
      <c r="A226" s="16">
        <v>46204</v>
      </c>
      <c r="B226" s="9" t="s">
        <v>290</v>
      </c>
      <c r="C226" s="9" t="s">
        <v>167</v>
      </c>
      <c r="D226" s="17">
        <v>609208</v>
      </c>
      <c r="E226" s="12">
        <v>570.4</v>
      </c>
      <c r="F226" s="12">
        <v>65</v>
      </c>
      <c r="G226" s="17">
        <v>37482</v>
      </c>
      <c r="H226" s="15">
        <f t="shared" si="3"/>
        <v>61.525784296988881</v>
      </c>
    </row>
    <row r="227" spans="1:8" ht="15" customHeight="1" x14ac:dyDescent="0.3">
      <c r="A227" s="16">
        <v>46204</v>
      </c>
      <c r="B227" s="9" t="s">
        <v>291</v>
      </c>
      <c r="C227" s="9" t="s">
        <v>167</v>
      </c>
      <c r="D227" s="17">
        <v>440143</v>
      </c>
      <c r="E227" s="12">
        <v>554.29999999999995</v>
      </c>
      <c r="F227" s="12">
        <v>70.7</v>
      </c>
      <c r="G227" s="17">
        <v>23623</v>
      </c>
      <c r="H227" s="15">
        <f t="shared" si="3"/>
        <v>53.671193225837968</v>
      </c>
    </row>
    <row r="228" spans="1:8" ht="15" customHeight="1" x14ac:dyDescent="0.3">
      <c r="A228" s="16">
        <v>46204</v>
      </c>
      <c r="B228" s="9" t="s">
        <v>292</v>
      </c>
      <c r="C228" s="9" t="s">
        <v>167</v>
      </c>
      <c r="D228" s="17">
        <v>269562</v>
      </c>
      <c r="E228" s="12">
        <v>549.6</v>
      </c>
      <c r="F228" s="12">
        <v>74.7</v>
      </c>
      <c r="G228" s="17">
        <v>24302</v>
      </c>
      <c r="H228" s="15">
        <f t="shared" si="3"/>
        <v>90.153656672676419</v>
      </c>
    </row>
    <row r="229" spans="1:8" ht="15" customHeight="1" x14ac:dyDescent="0.3">
      <c r="A229" s="16">
        <v>46204</v>
      </c>
      <c r="B229" s="9" t="s">
        <v>293</v>
      </c>
      <c r="C229" s="9" t="s">
        <v>167</v>
      </c>
      <c r="D229" s="17">
        <v>370200</v>
      </c>
      <c r="E229" s="12">
        <v>395.9</v>
      </c>
      <c r="F229" s="12">
        <v>128.1</v>
      </c>
      <c r="G229" s="17">
        <v>13635</v>
      </c>
      <c r="H229" s="15">
        <f t="shared" si="3"/>
        <v>36.831442463533222</v>
      </c>
    </row>
    <row r="230" spans="1:8" ht="15" customHeight="1" x14ac:dyDescent="0.3">
      <c r="A230" s="16">
        <v>46204</v>
      </c>
      <c r="B230" s="9" t="s">
        <v>294</v>
      </c>
      <c r="C230" s="9" t="s">
        <v>167</v>
      </c>
      <c r="D230" s="17">
        <v>896850</v>
      </c>
      <c r="E230" s="12">
        <v>974</v>
      </c>
      <c r="F230" s="12">
        <v>77.5</v>
      </c>
      <c r="G230" s="17">
        <v>29845</v>
      </c>
      <c r="H230" s="15">
        <f t="shared" si="3"/>
        <v>33.277582650387465</v>
      </c>
    </row>
    <row r="231" spans="1:8" ht="15" customHeight="1" x14ac:dyDescent="0.3">
      <c r="A231" s="16">
        <v>46204</v>
      </c>
      <c r="B231" s="9" t="s">
        <v>270</v>
      </c>
      <c r="C231" s="9" t="s">
        <v>164</v>
      </c>
      <c r="D231" s="17">
        <v>340981</v>
      </c>
      <c r="E231" s="12">
        <v>563.20000000000005</v>
      </c>
      <c r="F231" s="12">
        <v>66.400000000000006</v>
      </c>
      <c r="G231" s="17">
        <v>22681</v>
      </c>
      <c r="H231" s="15">
        <f t="shared" si="3"/>
        <v>66.516902701323531</v>
      </c>
    </row>
    <row r="232" spans="1:8" ht="15" customHeight="1" x14ac:dyDescent="0.3">
      <c r="A232" s="16">
        <v>46204</v>
      </c>
      <c r="B232" s="9" t="s">
        <v>273</v>
      </c>
      <c r="C232" s="9" t="s">
        <v>164</v>
      </c>
      <c r="D232" s="17">
        <v>328769</v>
      </c>
      <c r="E232" s="12">
        <v>547.9</v>
      </c>
      <c r="F232" s="12">
        <v>74.599999999999994</v>
      </c>
      <c r="G232" s="17">
        <v>35756</v>
      </c>
      <c r="H232" s="15">
        <f t="shared" si="3"/>
        <v>108.75721251091191</v>
      </c>
    </row>
    <row r="233" spans="1:8" ht="15" customHeight="1" x14ac:dyDescent="0.3">
      <c r="A233" s="16">
        <v>46204</v>
      </c>
      <c r="B233" s="9" t="s">
        <v>275</v>
      </c>
      <c r="C233" s="9" t="s">
        <v>164</v>
      </c>
      <c r="D233" s="17">
        <v>226150</v>
      </c>
      <c r="E233" s="12">
        <v>562</v>
      </c>
      <c r="F233" s="12">
        <v>73.8</v>
      </c>
      <c r="G233" s="17">
        <v>37804</v>
      </c>
      <c r="H233" s="15">
        <f t="shared" si="3"/>
        <v>167.16338713243422</v>
      </c>
    </row>
    <row r="234" spans="1:8" ht="15" customHeight="1" x14ac:dyDescent="0.3">
      <c r="A234" s="16">
        <v>46204</v>
      </c>
      <c r="B234" s="9" t="s">
        <v>276</v>
      </c>
      <c r="C234" s="9" t="s">
        <v>164</v>
      </c>
      <c r="D234" s="17">
        <v>172814</v>
      </c>
      <c r="E234" s="12">
        <v>505.8</v>
      </c>
      <c r="F234" s="12">
        <v>91.8</v>
      </c>
      <c r="G234" s="17">
        <v>19672</v>
      </c>
      <c r="H234" s="15">
        <f t="shared" si="3"/>
        <v>113.83336998159871</v>
      </c>
    </row>
    <row r="235" spans="1:8" ht="15" customHeight="1" x14ac:dyDescent="0.3">
      <c r="A235" s="16">
        <v>46204</v>
      </c>
      <c r="B235" s="9" t="s">
        <v>277</v>
      </c>
      <c r="C235" s="9" t="s">
        <v>164</v>
      </c>
      <c r="D235" s="17">
        <v>162348</v>
      </c>
      <c r="E235" s="12">
        <v>460.9</v>
      </c>
      <c r="F235" s="12">
        <v>110.3</v>
      </c>
      <c r="G235" s="17">
        <v>29629</v>
      </c>
      <c r="H235" s="15">
        <f t="shared" si="3"/>
        <v>182.50301820780052</v>
      </c>
    </row>
    <row r="236" spans="1:8" ht="15" customHeight="1" x14ac:dyDescent="0.3">
      <c r="A236" s="16">
        <v>46204</v>
      </c>
      <c r="B236" s="9" t="s">
        <v>278</v>
      </c>
      <c r="C236" s="9" t="s">
        <v>164</v>
      </c>
      <c r="D236" s="17">
        <v>203658</v>
      </c>
      <c r="E236" s="12">
        <v>556.9</v>
      </c>
      <c r="F236" s="12">
        <v>64.900000000000006</v>
      </c>
      <c r="G236" s="17">
        <v>35363</v>
      </c>
      <c r="H236" s="15">
        <f t="shared" si="3"/>
        <v>173.63914012707579</v>
      </c>
    </row>
    <row r="237" spans="1:8" ht="15" customHeight="1" x14ac:dyDescent="0.3">
      <c r="A237" s="16">
        <v>46204</v>
      </c>
      <c r="B237" s="9" t="s">
        <v>279</v>
      </c>
      <c r="C237" s="9" t="s">
        <v>164</v>
      </c>
      <c r="D237" s="17">
        <v>297730</v>
      </c>
      <c r="E237" s="12">
        <v>571.70000000000005</v>
      </c>
      <c r="F237" s="12">
        <v>62.3</v>
      </c>
      <c r="G237" s="17">
        <v>28338</v>
      </c>
      <c r="H237" s="15">
        <f t="shared" si="3"/>
        <v>95.180196822624524</v>
      </c>
    </row>
    <row r="238" spans="1:8" ht="15" customHeight="1" x14ac:dyDescent="0.3">
      <c r="A238" s="16">
        <v>46204</v>
      </c>
      <c r="B238" s="9" t="s">
        <v>281</v>
      </c>
      <c r="C238" s="9" t="s">
        <v>164</v>
      </c>
      <c r="D238" s="17">
        <v>287905</v>
      </c>
      <c r="E238" s="12">
        <v>522.6</v>
      </c>
      <c r="F238" s="12">
        <v>81.8</v>
      </c>
      <c r="G238" s="17">
        <v>33529</v>
      </c>
      <c r="H238" s="15">
        <f t="shared" si="3"/>
        <v>116.4585540369219</v>
      </c>
    </row>
    <row r="239" spans="1:8" ht="15" customHeight="1" x14ac:dyDescent="0.3">
      <c r="A239" s="16">
        <v>46204</v>
      </c>
      <c r="B239" s="9" t="s">
        <v>282</v>
      </c>
      <c r="C239" s="9" t="s">
        <v>164</v>
      </c>
      <c r="D239" s="17">
        <v>144846</v>
      </c>
      <c r="E239" s="12">
        <v>463.4</v>
      </c>
      <c r="F239" s="12">
        <v>59.5</v>
      </c>
      <c r="G239" s="17">
        <v>18229</v>
      </c>
      <c r="H239" s="15">
        <f t="shared" si="3"/>
        <v>125.85090371843199</v>
      </c>
    </row>
    <row r="240" spans="1:8" ht="15" customHeight="1" x14ac:dyDescent="0.3">
      <c r="A240" s="16">
        <v>46204</v>
      </c>
      <c r="B240" s="9" t="s">
        <v>283</v>
      </c>
      <c r="C240" s="9" t="s">
        <v>164</v>
      </c>
      <c r="D240" s="17">
        <v>148531</v>
      </c>
      <c r="E240" s="12">
        <v>434.7</v>
      </c>
      <c r="F240" s="12">
        <v>79</v>
      </c>
      <c r="G240" s="17">
        <v>18081</v>
      </c>
      <c r="H240" s="15">
        <f t="shared" si="3"/>
        <v>121.7321636560718</v>
      </c>
    </row>
    <row r="241" spans="1:8" ht="15" customHeight="1" x14ac:dyDescent="0.3">
      <c r="A241" s="16">
        <v>46204</v>
      </c>
      <c r="B241" s="9" t="s">
        <v>297</v>
      </c>
      <c r="C241" s="9" t="s">
        <v>171</v>
      </c>
      <c r="D241" s="17">
        <v>297701</v>
      </c>
      <c r="E241" s="12">
        <v>577.4</v>
      </c>
      <c r="F241" s="12">
        <v>58.4</v>
      </c>
      <c r="G241" s="17">
        <v>10398</v>
      </c>
      <c r="H241" s="15">
        <f t="shared" si="3"/>
        <v>34.92766231890387</v>
      </c>
    </row>
    <row r="242" spans="1:8" ht="15" customHeight="1" x14ac:dyDescent="0.3">
      <c r="A242" s="16">
        <v>46204</v>
      </c>
      <c r="B242" s="9" t="s">
        <v>299</v>
      </c>
      <c r="C242" s="9" t="s">
        <v>171</v>
      </c>
      <c r="D242" s="17">
        <v>139908</v>
      </c>
      <c r="E242" s="12">
        <v>268.7</v>
      </c>
      <c r="F242" s="12">
        <v>32.1</v>
      </c>
      <c r="G242" s="17">
        <v>5028</v>
      </c>
      <c r="H242" s="15">
        <f t="shared" si="3"/>
        <v>35.937902049918513</v>
      </c>
    </row>
    <row r="243" spans="1:8" ht="15" customHeight="1" x14ac:dyDescent="0.3">
      <c r="A243" s="16">
        <v>46235</v>
      </c>
      <c r="B243" s="9" t="s">
        <v>300</v>
      </c>
      <c r="C243" s="9" t="s">
        <v>172</v>
      </c>
      <c r="D243" s="17">
        <v>262813</v>
      </c>
      <c r="E243" s="12">
        <v>558.9</v>
      </c>
      <c r="F243" s="12">
        <v>92.7</v>
      </c>
      <c r="G243" s="17">
        <v>5174</v>
      </c>
      <c r="H243" s="15">
        <f t="shared" si="3"/>
        <v>19.687001784538815</v>
      </c>
    </row>
    <row r="244" spans="1:8" ht="15" customHeight="1" x14ac:dyDescent="0.3">
      <c r="A244" s="16">
        <v>46235</v>
      </c>
      <c r="B244" s="9" t="s">
        <v>302</v>
      </c>
      <c r="C244" s="9" t="s">
        <v>172</v>
      </c>
      <c r="D244" s="17">
        <v>293488</v>
      </c>
      <c r="E244" s="12">
        <v>615.20000000000005</v>
      </c>
      <c r="F244" s="12">
        <v>64.8</v>
      </c>
      <c r="G244" s="17">
        <v>5689</v>
      </c>
      <c r="H244" s="15">
        <f t="shared" si="3"/>
        <v>19.384097475876356</v>
      </c>
    </row>
    <row r="245" spans="1:8" ht="15" customHeight="1" x14ac:dyDescent="0.3">
      <c r="A245" s="16">
        <v>46235</v>
      </c>
      <c r="B245" s="9" t="s">
        <v>284</v>
      </c>
      <c r="C245" s="9" t="s">
        <v>167</v>
      </c>
      <c r="D245" s="17">
        <v>687642</v>
      </c>
      <c r="E245" s="12">
        <v>580.4</v>
      </c>
      <c r="F245" s="12">
        <v>66.900000000000006</v>
      </c>
      <c r="G245" s="17">
        <v>18917</v>
      </c>
      <c r="H245" s="15">
        <f t="shared" si="3"/>
        <v>27.50995430761937</v>
      </c>
    </row>
    <row r="246" spans="1:8" ht="15" customHeight="1" x14ac:dyDescent="0.3">
      <c r="A246" s="16">
        <v>46235</v>
      </c>
      <c r="B246" s="9" t="s">
        <v>286</v>
      </c>
      <c r="C246" s="9" t="s">
        <v>167</v>
      </c>
      <c r="D246" s="17">
        <v>433280</v>
      </c>
      <c r="E246" s="12">
        <v>552.9</v>
      </c>
      <c r="F246" s="12">
        <v>77.900000000000006</v>
      </c>
      <c r="G246" s="17">
        <v>38735</v>
      </c>
      <c r="H246" s="15">
        <f t="shared" si="3"/>
        <v>89.399464549483014</v>
      </c>
    </row>
    <row r="247" spans="1:8" ht="15" customHeight="1" x14ac:dyDescent="0.3">
      <c r="A247" s="16">
        <v>46235</v>
      </c>
      <c r="B247" s="9" t="s">
        <v>288</v>
      </c>
      <c r="C247" s="9" t="s">
        <v>167</v>
      </c>
      <c r="D247" s="17">
        <v>850976</v>
      </c>
      <c r="E247" s="12">
        <v>564.6</v>
      </c>
      <c r="F247" s="12">
        <v>69.900000000000006</v>
      </c>
      <c r="G247" s="17">
        <v>25847</v>
      </c>
      <c r="H247" s="15">
        <f t="shared" si="3"/>
        <v>30.373359530703567</v>
      </c>
    </row>
    <row r="248" spans="1:8" ht="15" customHeight="1" x14ac:dyDescent="0.3">
      <c r="A248" s="16">
        <v>46235</v>
      </c>
      <c r="B248" s="9" t="s">
        <v>290</v>
      </c>
      <c r="C248" s="9" t="s">
        <v>167</v>
      </c>
      <c r="D248" s="17">
        <v>498120</v>
      </c>
      <c r="E248" s="12">
        <v>574.9</v>
      </c>
      <c r="F248" s="12">
        <v>67.5</v>
      </c>
      <c r="G248" s="17">
        <v>39291</v>
      </c>
      <c r="H248" s="15">
        <f t="shared" si="3"/>
        <v>78.87858347386171</v>
      </c>
    </row>
    <row r="249" spans="1:8" ht="15" customHeight="1" x14ac:dyDescent="0.3">
      <c r="A249" s="16">
        <v>46235</v>
      </c>
      <c r="B249" s="9" t="s">
        <v>291</v>
      </c>
      <c r="C249" s="9" t="s">
        <v>167</v>
      </c>
      <c r="D249" s="17">
        <v>451479</v>
      </c>
      <c r="E249" s="12">
        <v>569.9</v>
      </c>
      <c r="F249" s="12">
        <v>64</v>
      </c>
      <c r="G249" s="17">
        <v>25042</v>
      </c>
      <c r="H249" s="15">
        <f t="shared" si="3"/>
        <v>55.466588700692611</v>
      </c>
    </row>
    <row r="250" spans="1:8" ht="15" customHeight="1" x14ac:dyDescent="0.3">
      <c r="A250" s="16">
        <v>46235</v>
      </c>
      <c r="B250" s="9" t="s">
        <v>292</v>
      </c>
      <c r="C250" s="9" t="s">
        <v>167</v>
      </c>
      <c r="D250" s="17">
        <v>256712</v>
      </c>
      <c r="E250" s="12">
        <v>541.1</v>
      </c>
      <c r="F250" s="12">
        <v>72.7</v>
      </c>
      <c r="G250" s="17">
        <v>24813</v>
      </c>
      <c r="H250" s="15">
        <f t="shared" si="3"/>
        <v>96.656954096419341</v>
      </c>
    </row>
    <row r="251" spans="1:8" ht="15" customHeight="1" x14ac:dyDescent="0.3">
      <c r="A251" s="16">
        <v>46235</v>
      </c>
      <c r="B251" s="9" t="s">
        <v>293</v>
      </c>
      <c r="C251" s="9" t="s">
        <v>167</v>
      </c>
      <c r="D251" s="17">
        <v>451479</v>
      </c>
      <c r="E251" s="12">
        <v>543.79999999999995</v>
      </c>
      <c r="F251" s="12">
        <v>90.1</v>
      </c>
      <c r="G251" s="17">
        <v>18800</v>
      </c>
      <c r="H251" s="15">
        <f t="shared" si="3"/>
        <v>41.640917960746791</v>
      </c>
    </row>
    <row r="252" spans="1:8" ht="15" customHeight="1" x14ac:dyDescent="0.3">
      <c r="A252" s="16">
        <v>46235</v>
      </c>
      <c r="B252" s="9" t="s">
        <v>294</v>
      </c>
      <c r="C252" s="9" t="s">
        <v>167</v>
      </c>
      <c r="D252" s="17">
        <v>1107688</v>
      </c>
      <c r="E252" s="12">
        <v>1174.9000000000001</v>
      </c>
      <c r="F252" s="12">
        <v>89.8</v>
      </c>
      <c r="G252" s="17">
        <v>37332</v>
      </c>
      <c r="H252" s="15">
        <f t="shared" si="3"/>
        <v>33.702631065787479</v>
      </c>
    </row>
    <row r="253" spans="1:8" ht="15" customHeight="1" x14ac:dyDescent="0.3">
      <c r="A253" s="16">
        <v>46235</v>
      </c>
      <c r="B253" s="9" t="s">
        <v>270</v>
      </c>
      <c r="C253" s="9" t="s">
        <v>164</v>
      </c>
      <c r="D253" s="17">
        <v>317281</v>
      </c>
      <c r="E253" s="12">
        <v>525.79999999999995</v>
      </c>
      <c r="F253" s="12">
        <v>90.2</v>
      </c>
      <c r="G253" s="17">
        <v>23226</v>
      </c>
      <c r="H253" s="15">
        <f t="shared" si="3"/>
        <v>73.203248855115817</v>
      </c>
    </row>
    <row r="254" spans="1:8" ht="15" customHeight="1" x14ac:dyDescent="0.3">
      <c r="A254" s="16">
        <v>46235</v>
      </c>
      <c r="B254" s="9" t="s">
        <v>273</v>
      </c>
      <c r="C254" s="9" t="s">
        <v>164</v>
      </c>
      <c r="D254" s="17">
        <v>320114</v>
      </c>
      <c r="E254" s="12">
        <v>529.79999999999995</v>
      </c>
      <c r="F254" s="12">
        <v>86.3</v>
      </c>
      <c r="G254" s="17">
        <v>37889</v>
      </c>
      <c r="H254" s="15">
        <f t="shared" si="3"/>
        <v>118.36095890838888</v>
      </c>
    </row>
    <row r="255" spans="1:8" ht="15" customHeight="1" x14ac:dyDescent="0.3">
      <c r="A255" s="16">
        <v>46235</v>
      </c>
      <c r="B255" s="9" t="s">
        <v>275</v>
      </c>
      <c r="C255" s="9" t="s">
        <v>164</v>
      </c>
      <c r="D255" s="17">
        <v>239983</v>
      </c>
      <c r="E255" s="12">
        <v>574.20000000000005</v>
      </c>
      <c r="F255" s="12">
        <v>51.7</v>
      </c>
      <c r="G255" s="17">
        <v>40727</v>
      </c>
      <c r="H255" s="15">
        <f t="shared" si="3"/>
        <v>169.70785430634669</v>
      </c>
    </row>
    <row r="256" spans="1:8" ht="15" customHeight="1" x14ac:dyDescent="0.3">
      <c r="A256" s="16">
        <v>46235</v>
      </c>
      <c r="B256" s="9" t="s">
        <v>276</v>
      </c>
      <c r="C256" s="9" t="s">
        <v>164</v>
      </c>
      <c r="D256" s="17">
        <v>262721</v>
      </c>
      <c r="E256" s="12">
        <v>562.6</v>
      </c>
      <c r="F256" s="12">
        <v>64.3</v>
      </c>
      <c r="G256" s="17">
        <v>23200</v>
      </c>
      <c r="H256" s="15">
        <f t="shared" si="3"/>
        <v>88.306606628324346</v>
      </c>
    </row>
    <row r="257" spans="1:8" ht="15" customHeight="1" x14ac:dyDescent="0.3">
      <c r="A257" s="16">
        <v>46235</v>
      </c>
      <c r="B257" s="9" t="s">
        <v>277</v>
      </c>
      <c r="C257" s="9" t="s">
        <v>164</v>
      </c>
      <c r="D257" s="17">
        <v>198436</v>
      </c>
      <c r="E257" s="12">
        <v>468.2</v>
      </c>
      <c r="F257" s="12">
        <v>116.9</v>
      </c>
      <c r="G257" s="17">
        <v>32679</v>
      </c>
      <c r="H257" s="15">
        <f t="shared" si="3"/>
        <v>164.68281964966033</v>
      </c>
    </row>
    <row r="258" spans="1:8" ht="15" customHeight="1" x14ac:dyDescent="0.3">
      <c r="A258" s="16">
        <v>46235</v>
      </c>
      <c r="B258" s="9" t="s">
        <v>278</v>
      </c>
      <c r="C258" s="9" t="s">
        <v>164</v>
      </c>
      <c r="D258" s="17">
        <v>246262</v>
      </c>
      <c r="E258" s="12">
        <v>589.6</v>
      </c>
      <c r="F258" s="12">
        <v>52.7</v>
      </c>
      <c r="G258" s="17">
        <v>39758</v>
      </c>
      <c r="H258" s="15">
        <f t="shared" si="3"/>
        <v>161.44593969024859</v>
      </c>
    </row>
    <row r="259" spans="1:8" ht="15" customHeight="1" x14ac:dyDescent="0.3">
      <c r="A259" s="16">
        <v>46235</v>
      </c>
      <c r="B259" s="9" t="s">
        <v>279</v>
      </c>
      <c r="C259" s="9" t="s">
        <v>164</v>
      </c>
      <c r="D259" s="17">
        <v>290679</v>
      </c>
      <c r="E259" s="12">
        <v>575.29999999999995</v>
      </c>
      <c r="F259" s="12">
        <v>58.2</v>
      </c>
      <c r="G259" s="17">
        <v>30683</v>
      </c>
      <c r="H259" s="15">
        <f t="shared" si="3"/>
        <v>105.55630093677217</v>
      </c>
    </row>
    <row r="260" spans="1:8" ht="15" customHeight="1" x14ac:dyDescent="0.3">
      <c r="A260" s="16">
        <v>46235</v>
      </c>
      <c r="B260" s="9" t="s">
        <v>281</v>
      </c>
      <c r="C260" s="9" t="s">
        <v>164</v>
      </c>
      <c r="D260" s="17">
        <v>291213</v>
      </c>
      <c r="E260" s="12">
        <v>541.9</v>
      </c>
      <c r="F260" s="12">
        <v>72.2</v>
      </c>
      <c r="G260" s="17">
        <v>37047</v>
      </c>
      <c r="H260" s="15">
        <f t="shared" si="3"/>
        <v>127.21616136642253</v>
      </c>
    </row>
    <row r="261" spans="1:8" ht="15" customHeight="1" x14ac:dyDescent="0.3">
      <c r="A261" s="16">
        <v>46235</v>
      </c>
      <c r="B261" s="9" t="s">
        <v>282</v>
      </c>
      <c r="C261" s="9" t="s">
        <v>164</v>
      </c>
      <c r="D261" s="17">
        <v>246262</v>
      </c>
      <c r="E261" s="12">
        <v>589.6</v>
      </c>
      <c r="F261" s="12">
        <v>52.7</v>
      </c>
      <c r="G261" s="17">
        <v>24775</v>
      </c>
      <c r="H261" s="15">
        <f t="shared" ref="H261:H324" si="4">IF(OR(A261="",D261=0),"",G261/D261*1000)</f>
        <v>100.60423451446022</v>
      </c>
    </row>
    <row r="262" spans="1:8" ht="15" customHeight="1" x14ac:dyDescent="0.3">
      <c r="A262" s="16">
        <v>46235</v>
      </c>
      <c r="B262" s="9" t="s">
        <v>283</v>
      </c>
      <c r="C262" s="9" t="s">
        <v>164</v>
      </c>
      <c r="D262" s="17">
        <v>262721</v>
      </c>
      <c r="E262" s="12">
        <v>562.6</v>
      </c>
      <c r="F262" s="12">
        <v>64.3</v>
      </c>
      <c r="G262" s="17">
        <v>24775</v>
      </c>
      <c r="H262" s="15">
        <f t="shared" si="4"/>
        <v>94.301559448997224</v>
      </c>
    </row>
    <row r="263" spans="1:8" ht="15" customHeight="1" x14ac:dyDescent="0.3">
      <c r="A263" s="16">
        <v>46235</v>
      </c>
      <c r="B263" s="9" t="s">
        <v>297</v>
      </c>
      <c r="C263" s="9" t="s">
        <v>171</v>
      </c>
      <c r="D263" s="17">
        <v>260365</v>
      </c>
      <c r="E263" s="12">
        <v>521.1</v>
      </c>
      <c r="F263" s="12">
        <v>43.6</v>
      </c>
      <c r="G263" s="17">
        <v>9164</v>
      </c>
      <c r="H263" s="15">
        <f t="shared" si="4"/>
        <v>35.19674303381791</v>
      </c>
    </row>
    <row r="264" spans="1:8" ht="15" customHeight="1" x14ac:dyDescent="0.3">
      <c r="A264" s="16">
        <v>46235</v>
      </c>
      <c r="B264" s="9" t="s">
        <v>299</v>
      </c>
      <c r="C264" s="9" t="s">
        <v>171</v>
      </c>
      <c r="D264" s="17">
        <v>181425</v>
      </c>
      <c r="E264" s="12">
        <v>358</v>
      </c>
      <c r="F264" s="12">
        <v>57.2</v>
      </c>
      <c r="G264" s="17">
        <v>6671</v>
      </c>
      <c r="H264" s="15">
        <f t="shared" si="4"/>
        <v>36.770015157778694</v>
      </c>
    </row>
    <row r="265" spans="1:8" ht="15" customHeight="1" x14ac:dyDescent="0.3">
      <c r="A265" s="16">
        <v>46266</v>
      </c>
      <c r="B265" s="9" t="s">
        <v>300</v>
      </c>
      <c r="C265" s="9" t="s">
        <v>172</v>
      </c>
      <c r="D265" s="17">
        <v>307659</v>
      </c>
      <c r="E265" s="12">
        <v>669.6</v>
      </c>
      <c r="F265" s="12">
        <v>102.7</v>
      </c>
      <c r="G265" s="17">
        <v>6009</v>
      </c>
      <c r="H265" s="15">
        <f t="shared" si="4"/>
        <v>19.531364270182248</v>
      </c>
    </row>
    <row r="266" spans="1:8" ht="15" customHeight="1" x14ac:dyDescent="0.3">
      <c r="A266" s="16">
        <v>46266</v>
      </c>
      <c r="B266" s="9" t="s">
        <v>302</v>
      </c>
      <c r="C266" s="9" t="s">
        <v>172</v>
      </c>
      <c r="D266" s="17">
        <v>218103</v>
      </c>
      <c r="E266" s="12">
        <v>466.4</v>
      </c>
      <c r="F266" s="12">
        <v>72.099999999999994</v>
      </c>
      <c r="G266" s="17">
        <v>4315</v>
      </c>
      <c r="H266" s="15">
        <f t="shared" si="4"/>
        <v>19.784230386560477</v>
      </c>
    </row>
    <row r="267" spans="1:8" ht="15" customHeight="1" x14ac:dyDescent="0.3">
      <c r="A267" s="16">
        <v>46266</v>
      </c>
      <c r="B267" s="9" t="s">
        <v>284</v>
      </c>
      <c r="C267" s="9" t="s">
        <v>167</v>
      </c>
      <c r="D267" s="17">
        <v>628972</v>
      </c>
      <c r="E267" s="12">
        <v>543.4</v>
      </c>
      <c r="F267" s="12">
        <v>66.400000000000006</v>
      </c>
      <c r="G267" s="17">
        <v>17170</v>
      </c>
      <c r="H267" s="15">
        <f t="shared" si="4"/>
        <v>27.29851249340193</v>
      </c>
    </row>
    <row r="268" spans="1:8" ht="15" customHeight="1" x14ac:dyDescent="0.3">
      <c r="A268" s="16">
        <v>46266</v>
      </c>
      <c r="B268" s="9" t="s">
        <v>286</v>
      </c>
      <c r="C268" s="9" t="s">
        <v>167</v>
      </c>
      <c r="D268" s="17">
        <v>413207</v>
      </c>
      <c r="E268" s="12">
        <v>520</v>
      </c>
      <c r="F268" s="12">
        <v>86.2</v>
      </c>
      <c r="G268" s="17">
        <v>35873</v>
      </c>
      <c r="H268" s="15">
        <f t="shared" si="4"/>
        <v>86.816051034953418</v>
      </c>
    </row>
    <row r="269" spans="1:8" ht="15" customHeight="1" x14ac:dyDescent="0.3">
      <c r="A269" s="16">
        <v>46266</v>
      </c>
      <c r="B269" s="9" t="s">
        <v>288</v>
      </c>
      <c r="C269" s="9" t="s">
        <v>167</v>
      </c>
      <c r="D269" s="17">
        <v>744295</v>
      </c>
      <c r="E269" s="12">
        <v>503.4</v>
      </c>
      <c r="F269" s="12">
        <v>86.9</v>
      </c>
      <c r="G269" s="17">
        <v>22746</v>
      </c>
      <c r="H269" s="15">
        <f t="shared" si="4"/>
        <v>30.560463257176256</v>
      </c>
    </row>
    <row r="270" spans="1:8" ht="15" customHeight="1" x14ac:dyDescent="0.3">
      <c r="A270" s="16">
        <v>46266</v>
      </c>
      <c r="B270" s="9" t="s">
        <v>290</v>
      </c>
      <c r="C270" s="9" t="s">
        <v>167</v>
      </c>
      <c r="D270" s="17">
        <v>631026</v>
      </c>
      <c r="E270" s="12">
        <v>540.20000000000005</v>
      </c>
      <c r="F270" s="12">
        <v>83.6</v>
      </c>
      <c r="G270" s="17">
        <v>36613</v>
      </c>
      <c r="H270" s="15">
        <f t="shared" si="4"/>
        <v>58.021381052444745</v>
      </c>
    </row>
    <row r="271" spans="1:8" ht="15" customHeight="1" x14ac:dyDescent="0.3">
      <c r="A271" s="16">
        <v>46266</v>
      </c>
      <c r="B271" s="9" t="s">
        <v>291</v>
      </c>
      <c r="C271" s="9" t="s">
        <v>167</v>
      </c>
      <c r="D271" s="17">
        <v>392317</v>
      </c>
      <c r="E271" s="12">
        <v>502.1</v>
      </c>
      <c r="F271" s="12">
        <v>90.2</v>
      </c>
      <c r="G271" s="17">
        <v>21965</v>
      </c>
      <c r="H271" s="15">
        <f t="shared" si="4"/>
        <v>55.987887346202179</v>
      </c>
    </row>
    <row r="272" spans="1:8" ht="15" customHeight="1" x14ac:dyDescent="0.3">
      <c r="A272" s="16">
        <v>46266</v>
      </c>
      <c r="B272" s="9" t="s">
        <v>292</v>
      </c>
      <c r="C272" s="9" t="s">
        <v>167</v>
      </c>
      <c r="D272" s="17">
        <v>250918</v>
      </c>
      <c r="E272" s="12">
        <v>520.1</v>
      </c>
      <c r="F272" s="12">
        <v>77.099999999999994</v>
      </c>
      <c r="G272" s="17">
        <v>23218</v>
      </c>
      <c r="H272" s="15">
        <f t="shared" si="4"/>
        <v>92.532221681983756</v>
      </c>
    </row>
    <row r="273" spans="1:8" ht="15" customHeight="1" x14ac:dyDescent="0.3">
      <c r="A273" s="16">
        <v>46266</v>
      </c>
      <c r="B273" s="9" t="s">
        <v>293</v>
      </c>
      <c r="C273" s="9" t="s">
        <v>167</v>
      </c>
      <c r="D273" s="17">
        <v>392317</v>
      </c>
      <c r="E273" s="12">
        <v>502.1</v>
      </c>
      <c r="F273" s="12">
        <v>90.2</v>
      </c>
      <c r="G273" s="17">
        <v>16854</v>
      </c>
      <c r="H273" s="15">
        <f t="shared" si="4"/>
        <v>42.960157219799292</v>
      </c>
    </row>
    <row r="274" spans="1:8" ht="15" customHeight="1" x14ac:dyDescent="0.3">
      <c r="A274" s="16">
        <v>46266</v>
      </c>
      <c r="B274" s="9" t="s">
        <v>294</v>
      </c>
      <c r="C274" s="9" t="s">
        <v>167</v>
      </c>
      <c r="D274" s="17">
        <v>1000600</v>
      </c>
      <c r="E274" s="12">
        <v>1122.4000000000001</v>
      </c>
      <c r="F274" s="12">
        <v>92.5</v>
      </c>
      <c r="G274" s="17">
        <v>34570</v>
      </c>
      <c r="H274" s="15">
        <f t="shared" si="4"/>
        <v>34.549270437737363</v>
      </c>
    </row>
    <row r="275" spans="1:8" ht="15" customHeight="1" x14ac:dyDescent="0.3">
      <c r="A275" s="16">
        <v>46266</v>
      </c>
      <c r="B275" s="9" t="s">
        <v>270</v>
      </c>
      <c r="C275" s="9" t="s">
        <v>164</v>
      </c>
      <c r="D275" s="17">
        <v>336923</v>
      </c>
      <c r="E275" s="12">
        <v>557.20000000000005</v>
      </c>
      <c r="F275" s="12">
        <v>58.1</v>
      </c>
      <c r="G275" s="17">
        <v>23206</v>
      </c>
      <c r="H275" s="15">
        <f t="shared" si="4"/>
        <v>68.876271432938694</v>
      </c>
    </row>
    <row r="276" spans="1:8" ht="15" customHeight="1" x14ac:dyDescent="0.3">
      <c r="A276" s="16">
        <v>46266</v>
      </c>
      <c r="B276" s="9" t="s">
        <v>273</v>
      </c>
      <c r="C276" s="9" t="s">
        <v>164</v>
      </c>
      <c r="D276" s="17">
        <v>319428</v>
      </c>
      <c r="E276" s="12">
        <v>529.4</v>
      </c>
      <c r="F276" s="12">
        <v>69.599999999999994</v>
      </c>
      <c r="G276" s="17">
        <v>35788</v>
      </c>
      <c r="H276" s="15">
        <f t="shared" si="4"/>
        <v>112.03776750942309</v>
      </c>
    </row>
    <row r="277" spans="1:8" ht="15" customHeight="1" x14ac:dyDescent="0.3">
      <c r="A277" s="16">
        <v>46266</v>
      </c>
      <c r="B277" s="9" t="s">
        <v>275</v>
      </c>
      <c r="C277" s="9" t="s">
        <v>164</v>
      </c>
      <c r="D277" s="17">
        <v>207022</v>
      </c>
      <c r="E277" s="12">
        <v>525.4</v>
      </c>
      <c r="F277" s="12">
        <v>71.3</v>
      </c>
      <c r="G277" s="17">
        <v>36799</v>
      </c>
      <c r="H277" s="15">
        <f t="shared" si="4"/>
        <v>177.75405512457613</v>
      </c>
    </row>
    <row r="278" spans="1:8" ht="15" customHeight="1" x14ac:dyDescent="0.3">
      <c r="A278" s="16">
        <v>46266</v>
      </c>
      <c r="B278" s="9" t="s">
        <v>276</v>
      </c>
      <c r="C278" s="9" t="s">
        <v>164</v>
      </c>
      <c r="D278" s="17">
        <v>183410</v>
      </c>
      <c r="E278" s="12">
        <v>519.29999999999995</v>
      </c>
      <c r="F278" s="12">
        <v>77.5</v>
      </c>
      <c r="G278" s="17">
        <v>20794</v>
      </c>
      <c r="H278" s="15">
        <f t="shared" si="4"/>
        <v>113.37440706613599</v>
      </c>
    </row>
    <row r="279" spans="1:8" ht="15" customHeight="1" x14ac:dyDescent="0.3">
      <c r="A279" s="16">
        <v>46266</v>
      </c>
      <c r="B279" s="9" t="s">
        <v>277</v>
      </c>
      <c r="C279" s="9" t="s">
        <v>164</v>
      </c>
      <c r="D279" s="17">
        <v>213000</v>
      </c>
      <c r="E279" s="12">
        <v>443.9</v>
      </c>
      <c r="F279" s="12">
        <v>108.4</v>
      </c>
      <c r="G279" s="17">
        <v>29717</v>
      </c>
      <c r="H279" s="15">
        <f t="shared" si="4"/>
        <v>139.51643192488265</v>
      </c>
    </row>
    <row r="280" spans="1:8" ht="15" customHeight="1" x14ac:dyDescent="0.3">
      <c r="A280" s="16">
        <v>46266</v>
      </c>
      <c r="B280" s="9" t="s">
        <v>278</v>
      </c>
      <c r="C280" s="9" t="s">
        <v>164</v>
      </c>
      <c r="D280" s="17">
        <v>235731</v>
      </c>
      <c r="E280" s="12">
        <v>535.1</v>
      </c>
      <c r="F280" s="12">
        <v>61.5</v>
      </c>
      <c r="G280" s="17">
        <v>35252</v>
      </c>
      <c r="H280" s="15">
        <f t="shared" si="4"/>
        <v>149.54333541197383</v>
      </c>
    </row>
    <row r="281" spans="1:8" ht="15" customHeight="1" x14ac:dyDescent="0.3">
      <c r="A281" s="16">
        <v>46266</v>
      </c>
      <c r="B281" s="9" t="s">
        <v>279</v>
      </c>
      <c r="C281" s="9" t="s">
        <v>164</v>
      </c>
      <c r="D281" s="17">
        <v>287786</v>
      </c>
      <c r="E281" s="12">
        <v>538.20000000000005</v>
      </c>
      <c r="F281" s="12">
        <v>64.2</v>
      </c>
      <c r="G281" s="17">
        <v>27828</v>
      </c>
      <c r="H281" s="15">
        <f t="shared" si="4"/>
        <v>96.696851132438681</v>
      </c>
    </row>
    <row r="282" spans="1:8" ht="15" customHeight="1" x14ac:dyDescent="0.3">
      <c r="A282" s="16">
        <v>46266</v>
      </c>
      <c r="B282" s="9" t="s">
        <v>281</v>
      </c>
      <c r="C282" s="9" t="s">
        <v>164</v>
      </c>
      <c r="D282" s="17">
        <v>290475</v>
      </c>
      <c r="E282" s="12">
        <v>529</v>
      </c>
      <c r="F282" s="12">
        <v>66.900000000000006</v>
      </c>
      <c r="G282" s="17">
        <v>34653</v>
      </c>
      <c r="H282" s="15">
        <f t="shared" si="4"/>
        <v>119.29770203976246</v>
      </c>
    </row>
    <row r="283" spans="1:8" ht="15" customHeight="1" x14ac:dyDescent="0.3">
      <c r="A283" s="16">
        <v>46266</v>
      </c>
      <c r="B283" s="9" t="s">
        <v>282</v>
      </c>
      <c r="C283" s="9" t="s">
        <v>164</v>
      </c>
      <c r="D283" s="17">
        <v>235731</v>
      </c>
      <c r="E283" s="12">
        <v>535.1</v>
      </c>
      <c r="F283" s="12">
        <v>61.5</v>
      </c>
      <c r="G283" s="17">
        <v>21780</v>
      </c>
      <c r="H283" s="15">
        <f t="shared" si="4"/>
        <v>92.39344846456342</v>
      </c>
    </row>
    <row r="284" spans="1:8" ht="15" customHeight="1" x14ac:dyDescent="0.3">
      <c r="A284" s="16">
        <v>46266</v>
      </c>
      <c r="B284" s="9" t="s">
        <v>283</v>
      </c>
      <c r="C284" s="9" t="s">
        <v>164</v>
      </c>
      <c r="D284" s="17">
        <v>183410</v>
      </c>
      <c r="E284" s="12">
        <v>519.29999999999995</v>
      </c>
      <c r="F284" s="12">
        <v>77.5</v>
      </c>
      <c r="G284" s="17">
        <v>22221</v>
      </c>
      <c r="H284" s="15">
        <f t="shared" si="4"/>
        <v>121.1547898151682</v>
      </c>
    </row>
    <row r="285" spans="1:8" ht="15" customHeight="1" x14ac:dyDescent="0.3">
      <c r="A285" s="16">
        <v>46266</v>
      </c>
      <c r="B285" s="9" t="s">
        <v>297</v>
      </c>
      <c r="C285" s="9" t="s">
        <v>171</v>
      </c>
      <c r="D285" s="17">
        <v>274427</v>
      </c>
      <c r="E285" s="12">
        <v>565.20000000000005</v>
      </c>
      <c r="F285" s="12">
        <v>51.1</v>
      </c>
      <c r="G285" s="17">
        <v>10611</v>
      </c>
      <c r="H285" s="15">
        <f t="shared" si="4"/>
        <v>38.666020471746585</v>
      </c>
    </row>
    <row r="286" spans="1:8" ht="15" customHeight="1" x14ac:dyDescent="0.3">
      <c r="A286" s="16">
        <v>46266</v>
      </c>
      <c r="B286" s="9" t="s">
        <v>299</v>
      </c>
      <c r="C286" s="9" t="s">
        <v>171</v>
      </c>
      <c r="D286" s="17">
        <v>187919</v>
      </c>
      <c r="E286" s="12">
        <v>395.1</v>
      </c>
      <c r="F286" s="12">
        <v>41.5</v>
      </c>
      <c r="G286" s="17">
        <v>7700</v>
      </c>
      <c r="H286" s="15">
        <f t="shared" si="4"/>
        <v>40.975100974355968</v>
      </c>
    </row>
    <row r="287" spans="1:8" ht="15" customHeight="1" x14ac:dyDescent="0.3">
      <c r="A287" s="16">
        <v>46296</v>
      </c>
      <c r="B287" s="9" t="s">
        <v>300</v>
      </c>
      <c r="C287" s="9" t="s">
        <v>172</v>
      </c>
      <c r="D287" s="17">
        <v>240628</v>
      </c>
      <c r="E287" s="12">
        <v>515.79999999999995</v>
      </c>
      <c r="F287" s="12">
        <v>82</v>
      </c>
      <c r="G287" s="17">
        <v>4710</v>
      </c>
      <c r="H287" s="15">
        <f t="shared" si="4"/>
        <v>19.573781937264158</v>
      </c>
    </row>
    <row r="288" spans="1:8" ht="15" customHeight="1" x14ac:dyDescent="0.3">
      <c r="A288" s="16">
        <v>46296</v>
      </c>
      <c r="B288" s="9" t="s">
        <v>302</v>
      </c>
      <c r="C288" s="9" t="s">
        <v>172</v>
      </c>
      <c r="D288" s="17">
        <v>305612</v>
      </c>
      <c r="E288" s="12">
        <v>656.7</v>
      </c>
      <c r="F288" s="12">
        <v>85.6</v>
      </c>
      <c r="G288" s="17">
        <v>6089</v>
      </c>
      <c r="H288" s="15">
        <f t="shared" si="4"/>
        <v>19.923955865607372</v>
      </c>
    </row>
    <row r="289" spans="1:8" ht="15" customHeight="1" x14ac:dyDescent="0.3">
      <c r="A289" s="16">
        <v>46296</v>
      </c>
      <c r="B289" s="9" t="s">
        <v>284</v>
      </c>
      <c r="C289" s="9" t="s">
        <v>167</v>
      </c>
      <c r="D289" s="17">
        <v>643359</v>
      </c>
      <c r="E289" s="12">
        <v>546.29999999999995</v>
      </c>
      <c r="F289" s="12">
        <v>81.3</v>
      </c>
      <c r="G289" s="17">
        <v>17527</v>
      </c>
      <c r="H289" s="15">
        <f t="shared" si="4"/>
        <v>27.242954555699072</v>
      </c>
    </row>
    <row r="290" spans="1:8" ht="15" customHeight="1" x14ac:dyDescent="0.3">
      <c r="A290" s="16">
        <v>46296</v>
      </c>
      <c r="B290" s="9" t="s">
        <v>286</v>
      </c>
      <c r="C290" s="9" t="s">
        <v>167</v>
      </c>
      <c r="D290" s="17">
        <v>435331</v>
      </c>
      <c r="E290" s="12">
        <v>565.9</v>
      </c>
      <c r="F290" s="12">
        <v>77.8</v>
      </c>
      <c r="G290" s="17">
        <v>38660</v>
      </c>
      <c r="H290" s="15">
        <f t="shared" si="4"/>
        <v>88.805989006066653</v>
      </c>
    </row>
    <row r="291" spans="1:8" ht="15" customHeight="1" x14ac:dyDescent="0.3">
      <c r="A291" s="16">
        <v>46296</v>
      </c>
      <c r="B291" s="9" t="s">
        <v>288</v>
      </c>
      <c r="C291" s="9" t="s">
        <v>167</v>
      </c>
      <c r="D291" s="17">
        <v>858290</v>
      </c>
      <c r="E291" s="12">
        <v>577.70000000000005</v>
      </c>
      <c r="F291" s="12">
        <v>65.8</v>
      </c>
      <c r="G291" s="17">
        <v>25747</v>
      </c>
      <c r="H291" s="15">
        <f t="shared" si="4"/>
        <v>29.998019317480104</v>
      </c>
    </row>
    <row r="292" spans="1:8" ht="15" customHeight="1" x14ac:dyDescent="0.3">
      <c r="A292" s="16">
        <v>46296</v>
      </c>
      <c r="B292" s="9" t="s">
        <v>290</v>
      </c>
      <c r="C292" s="9" t="s">
        <v>167</v>
      </c>
      <c r="D292" s="17">
        <v>498790</v>
      </c>
      <c r="E292" s="12">
        <v>577.70000000000005</v>
      </c>
      <c r="F292" s="12">
        <v>61.6</v>
      </c>
      <c r="G292" s="17">
        <v>38317</v>
      </c>
      <c r="H292" s="15">
        <f t="shared" si="4"/>
        <v>76.819904168086779</v>
      </c>
    </row>
    <row r="293" spans="1:8" ht="15" customHeight="1" x14ac:dyDescent="0.3">
      <c r="A293" s="16">
        <v>46296</v>
      </c>
      <c r="B293" s="9" t="s">
        <v>291</v>
      </c>
      <c r="C293" s="9" t="s">
        <v>167</v>
      </c>
      <c r="D293" s="17">
        <v>466724</v>
      </c>
      <c r="E293" s="12">
        <v>595.79999999999995</v>
      </c>
      <c r="F293" s="12">
        <v>52.1</v>
      </c>
      <c r="G293" s="17">
        <v>25324</v>
      </c>
      <c r="H293" s="15">
        <f t="shared" si="4"/>
        <v>54.259048174081471</v>
      </c>
    </row>
    <row r="294" spans="1:8" ht="15" customHeight="1" x14ac:dyDescent="0.3">
      <c r="A294" s="16">
        <v>46296</v>
      </c>
      <c r="B294" s="9" t="s">
        <v>292</v>
      </c>
      <c r="C294" s="9" t="s">
        <v>167</v>
      </c>
      <c r="D294" s="17">
        <v>272972</v>
      </c>
      <c r="E294" s="12">
        <v>546.4</v>
      </c>
      <c r="F294" s="12">
        <v>68</v>
      </c>
      <c r="G294" s="17">
        <v>24394</v>
      </c>
      <c r="H294" s="15">
        <f t="shared" si="4"/>
        <v>89.364476942690089</v>
      </c>
    </row>
    <row r="295" spans="1:8" ht="15" customHeight="1" x14ac:dyDescent="0.3">
      <c r="A295" s="16">
        <v>46296</v>
      </c>
      <c r="B295" s="9" t="s">
        <v>293</v>
      </c>
      <c r="C295" s="9" t="s">
        <v>167</v>
      </c>
      <c r="D295" s="17">
        <v>466724</v>
      </c>
      <c r="E295" s="12">
        <v>595.79999999999995</v>
      </c>
      <c r="F295" s="12">
        <v>52.1</v>
      </c>
      <c r="G295" s="17">
        <v>19798</v>
      </c>
      <c r="H295" s="15">
        <f t="shared" si="4"/>
        <v>42.419074228023412</v>
      </c>
    </row>
    <row r="296" spans="1:8" ht="15" customHeight="1" x14ac:dyDescent="0.3">
      <c r="A296" s="16">
        <v>46296</v>
      </c>
      <c r="B296" s="9" t="s">
        <v>294</v>
      </c>
      <c r="C296" s="9" t="s">
        <v>167</v>
      </c>
      <c r="D296" s="17">
        <v>1131262</v>
      </c>
      <c r="E296" s="12">
        <v>1189.3</v>
      </c>
      <c r="F296" s="12">
        <v>87.5</v>
      </c>
      <c r="G296" s="17">
        <v>36917</v>
      </c>
      <c r="H296" s="15">
        <f t="shared" si="4"/>
        <v>32.633465987543119</v>
      </c>
    </row>
    <row r="297" spans="1:8" ht="15" customHeight="1" x14ac:dyDescent="0.3">
      <c r="A297" s="16">
        <v>46296</v>
      </c>
      <c r="B297" s="9" t="s">
        <v>270</v>
      </c>
      <c r="C297" s="9" t="s">
        <v>164</v>
      </c>
      <c r="D297" s="17">
        <v>348575</v>
      </c>
      <c r="E297" s="12">
        <v>577.9</v>
      </c>
      <c r="F297" s="12">
        <v>63</v>
      </c>
      <c r="G297" s="17">
        <v>23201</v>
      </c>
      <c r="H297" s="15">
        <f t="shared" si="4"/>
        <v>66.559563938894058</v>
      </c>
    </row>
    <row r="298" spans="1:8" ht="15" customHeight="1" x14ac:dyDescent="0.3">
      <c r="A298" s="16">
        <v>46296</v>
      </c>
      <c r="B298" s="9" t="s">
        <v>273</v>
      </c>
      <c r="C298" s="9" t="s">
        <v>164</v>
      </c>
      <c r="D298" s="17">
        <v>337763</v>
      </c>
      <c r="E298" s="12">
        <v>556.20000000000005</v>
      </c>
      <c r="F298" s="12">
        <v>68.599999999999994</v>
      </c>
      <c r="G298" s="17">
        <v>36021</v>
      </c>
      <c r="H298" s="15">
        <f t="shared" si="4"/>
        <v>106.64578417411025</v>
      </c>
    </row>
    <row r="299" spans="1:8" ht="15" customHeight="1" x14ac:dyDescent="0.3">
      <c r="A299" s="16">
        <v>46296</v>
      </c>
      <c r="B299" s="9" t="s">
        <v>275</v>
      </c>
      <c r="C299" s="9" t="s">
        <v>164</v>
      </c>
      <c r="D299" s="17">
        <v>238370</v>
      </c>
      <c r="E299" s="12">
        <v>569.20000000000005</v>
      </c>
      <c r="F299" s="12">
        <v>57.6</v>
      </c>
      <c r="G299" s="17">
        <v>37619</v>
      </c>
      <c r="H299" s="15">
        <f t="shared" si="4"/>
        <v>157.8176783991274</v>
      </c>
    </row>
    <row r="300" spans="1:8" ht="15" customHeight="1" x14ac:dyDescent="0.3">
      <c r="A300" s="16">
        <v>46296</v>
      </c>
      <c r="B300" s="9" t="s">
        <v>276</v>
      </c>
      <c r="C300" s="9" t="s">
        <v>164</v>
      </c>
      <c r="D300" s="17">
        <v>178845</v>
      </c>
      <c r="E300" s="12">
        <v>508.8</v>
      </c>
      <c r="F300" s="12">
        <v>84.5</v>
      </c>
      <c r="G300" s="17">
        <v>19698</v>
      </c>
      <c r="H300" s="15">
        <f t="shared" si="4"/>
        <v>110.1400654197769</v>
      </c>
    </row>
    <row r="301" spans="1:8" ht="15" customHeight="1" x14ac:dyDescent="0.3">
      <c r="A301" s="16">
        <v>46296</v>
      </c>
      <c r="B301" s="9" t="s">
        <v>277</v>
      </c>
      <c r="C301" s="9" t="s">
        <v>164</v>
      </c>
      <c r="D301" s="17">
        <v>184255</v>
      </c>
      <c r="E301" s="12">
        <v>467.4</v>
      </c>
      <c r="F301" s="12">
        <v>112.5</v>
      </c>
      <c r="G301" s="17">
        <v>30057</v>
      </c>
      <c r="H301" s="15">
        <f t="shared" si="4"/>
        <v>163.1271878646441</v>
      </c>
    </row>
    <row r="302" spans="1:8" ht="15" customHeight="1" x14ac:dyDescent="0.3">
      <c r="A302" s="16">
        <v>46296</v>
      </c>
      <c r="B302" s="9" t="s">
        <v>278</v>
      </c>
      <c r="C302" s="9" t="s">
        <v>164</v>
      </c>
      <c r="D302" s="17">
        <v>282611</v>
      </c>
      <c r="E302" s="12">
        <v>556.9</v>
      </c>
      <c r="F302" s="12">
        <v>69</v>
      </c>
      <c r="G302" s="17">
        <v>35508</v>
      </c>
      <c r="H302" s="15">
        <f t="shared" si="4"/>
        <v>125.64266783670841</v>
      </c>
    </row>
    <row r="303" spans="1:8" ht="15" customHeight="1" x14ac:dyDescent="0.3">
      <c r="A303" s="16">
        <v>46296</v>
      </c>
      <c r="B303" s="9" t="s">
        <v>279</v>
      </c>
      <c r="C303" s="9" t="s">
        <v>164</v>
      </c>
      <c r="D303" s="17">
        <v>306998</v>
      </c>
      <c r="E303" s="12">
        <v>577.1</v>
      </c>
      <c r="F303" s="12">
        <v>50.9</v>
      </c>
      <c r="G303" s="17">
        <v>28326</v>
      </c>
      <c r="H303" s="15">
        <f t="shared" si="4"/>
        <v>92.267702069720315</v>
      </c>
    </row>
    <row r="304" spans="1:8" ht="15" customHeight="1" x14ac:dyDescent="0.3">
      <c r="A304" s="16">
        <v>46296</v>
      </c>
      <c r="B304" s="9" t="s">
        <v>281</v>
      </c>
      <c r="C304" s="9" t="s">
        <v>164</v>
      </c>
      <c r="D304" s="17">
        <v>298199</v>
      </c>
      <c r="E304" s="12">
        <v>526.4</v>
      </c>
      <c r="F304" s="12">
        <v>88.3</v>
      </c>
      <c r="G304" s="17">
        <v>33970</v>
      </c>
      <c r="H304" s="15">
        <f t="shared" si="4"/>
        <v>113.91721635552098</v>
      </c>
    </row>
    <row r="305" spans="1:8" ht="15" customHeight="1" x14ac:dyDescent="0.3">
      <c r="A305" s="16">
        <v>46296</v>
      </c>
      <c r="B305" s="9" t="s">
        <v>282</v>
      </c>
      <c r="C305" s="9" t="s">
        <v>164</v>
      </c>
      <c r="D305" s="17">
        <v>282611</v>
      </c>
      <c r="E305" s="12">
        <v>556.9</v>
      </c>
      <c r="F305" s="12">
        <v>69</v>
      </c>
      <c r="G305" s="17">
        <v>21874</v>
      </c>
      <c r="H305" s="15">
        <f t="shared" si="4"/>
        <v>77.399676587252443</v>
      </c>
    </row>
    <row r="306" spans="1:8" ht="15" customHeight="1" x14ac:dyDescent="0.3">
      <c r="A306" s="16">
        <v>46296</v>
      </c>
      <c r="B306" s="9" t="s">
        <v>283</v>
      </c>
      <c r="C306" s="9" t="s">
        <v>164</v>
      </c>
      <c r="D306" s="17">
        <v>188714</v>
      </c>
      <c r="E306" s="12">
        <v>523.9</v>
      </c>
      <c r="F306" s="12">
        <v>84.5</v>
      </c>
      <c r="G306" s="17">
        <v>21652</v>
      </c>
      <c r="H306" s="15">
        <f t="shared" si="4"/>
        <v>114.73446591137912</v>
      </c>
    </row>
    <row r="307" spans="1:8" ht="15" customHeight="1" x14ac:dyDescent="0.3">
      <c r="A307" s="16">
        <v>46296</v>
      </c>
      <c r="B307" s="9" t="s">
        <v>297</v>
      </c>
      <c r="C307" s="9" t="s">
        <v>171</v>
      </c>
      <c r="D307" s="17">
        <v>327759</v>
      </c>
      <c r="E307" s="12">
        <v>632.20000000000005</v>
      </c>
      <c r="F307" s="12">
        <v>41.7</v>
      </c>
      <c r="G307" s="17">
        <v>11467</v>
      </c>
      <c r="H307" s="15">
        <f t="shared" si="4"/>
        <v>34.98607208345156</v>
      </c>
    </row>
    <row r="308" spans="1:8" ht="15" customHeight="1" x14ac:dyDescent="0.3">
      <c r="A308" s="16">
        <v>46296</v>
      </c>
      <c r="B308" s="9" t="s">
        <v>299</v>
      </c>
      <c r="C308" s="9" t="s">
        <v>171</v>
      </c>
      <c r="D308" s="17">
        <v>133388</v>
      </c>
      <c r="E308" s="12">
        <v>260.3</v>
      </c>
      <c r="F308" s="12">
        <v>29.5</v>
      </c>
      <c r="G308" s="17">
        <v>4956</v>
      </c>
      <c r="H308" s="15">
        <f t="shared" si="4"/>
        <v>37.154766545716257</v>
      </c>
    </row>
    <row r="309" spans="1:8" ht="15" customHeight="1" x14ac:dyDescent="0.3">
      <c r="A309" s="16">
        <v>46327</v>
      </c>
      <c r="B309" s="9" t="s">
        <v>300</v>
      </c>
      <c r="C309" s="9" t="s">
        <v>172</v>
      </c>
      <c r="D309" s="17">
        <v>298708</v>
      </c>
      <c r="E309" s="12">
        <v>642.6</v>
      </c>
      <c r="F309" s="12">
        <v>83.8</v>
      </c>
      <c r="G309" s="17">
        <v>5765</v>
      </c>
      <c r="H309" s="15">
        <f t="shared" si="4"/>
        <v>19.299784404836831</v>
      </c>
    </row>
    <row r="310" spans="1:8" ht="15" customHeight="1" x14ac:dyDescent="0.3">
      <c r="A310" s="16">
        <v>46327</v>
      </c>
      <c r="B310" s="9" t="s">
        <v>302</v>
      </c>
      <c r="C310" s="9" t="s">
        <v>172</v>
      </c>
      <c r="D310" s="17">
        <v>210382</v>
      </c>
      <c r="E310" s="12">
        <v>445.5</v>
      </c>
      <c r="F310" s="12">
        <v>44.3</v>
      </c>
      <c r="G310" s="17">
        <v>4047</v>
      </c>
      <c r="H310" s="15">
        <f t="shared" si="4"/>
        <v>19.236436577273722</v>
      </c>
    </row>
    <row r="311" spans="1:8" ht="15" customHeight="1" x14ac:dyDescent="0.3">
      <c r="A311" s="16">
        <v>46327</v>
      </c>
      <c r="B311" s="9" t="s">
        <v>284</v>
      </c>
      <c r="C311" s="9" t="s">
        <v>167</v>
      </c>
      <c r="D311" s="17">
        <v>624751</v>
      </c>
      <c r="E311" s="12">
        <v>530.1</v>
      </c>
      <c r="F311" s="12">
        <v>79.599999999999994</v>
      </c>
      <c r="G311" s="17">
        <v>17318</v>
      </c>
      <c r="H311" s="15">
        <f t="shared" si="4"/>
        <v>27.719843585684536</v>
      </c>
    </row>
    <row r="312" spans="1:8" ht="15" customHeight="1" x14ac:dyDescent="0.3">
      <c r="A312" s="16">
        <v>46327</v>
      </c>
      <c r="B312" s="9" t="s">
        <v>286</v>
      </c>
      <c r="C312" s="9" t="s">
        <v>167</v>
      </c>
      <c r="D312" s="17">
        <v>403446</v>
      </c>
      <c r="E312" s="12">
        <v>518.4</v>
      </c>
      <c r="F312" s="12">
        <v>77.7</v>
      </c>
      <c r="G312" s="17">
        <v>36375</v>
      </c>
      <c r="H312" s="15">
        <f t="shared" si="4"/>
        <v>90.160765009443651</v>
      </c>
    </row>
    <row r="313" spans="1:8" ht="15" customHeight="1" x14ac:dyDescent="0.3">
      <c r="A313" s="16">
        <v>46327</v>
      </c>
      <c r="B313" s="9" t="s">
        <v>288</v>
      </c>
      <c r="C313" s="9" t="s">
        <v>167</v>
      </c>
      <c r="D313" s="17">
        <v>762419</v>
      </c>
      <c r="E313" s="12">
        <v>533.9</v>
      </c>
      <c r="F313" s="12">
        <v>64.400000000000006</v>
      </c>
      <c r="G313" s="17">
        <v>24294</v>
      </c>
      <c r="H313" s="15">
        <f t="shared" si="4"/>
        <v>31.864368542756669</v>
      </c>
    </row>
    <row r="314" spans="1:8" ht="15" customHeight="1" x14ac:dyDescent="0.3">
      <c r="A314" s="16">
        <v>46327</v>
      </c>
      <c r="B314" s="9" t="s">
        <v>290</v>
      </c>
      <c r="C314" s="9" t="s">
        <v>167</v>
      </c>
      <c r="D314" s="17">
        <v>422801</v>
      </c>
      <c r="E314" s="12">
        <v>547.20000000000005</v>
      </c>
      <c r="F314" s="12">
        <v>69.3</v>
      </c>
      <c r="G314" s="17">
        <v>37442</v>
      </c>
      <c r="H314" s="15">
        <f t="shared" si="4"/>
        <v>88.557028010813596</v>
      </c>
    </row>
    <row r="315" spans="1:8" ht="15" customHeight="1" x14ac:dyDescent="0.3">
      <c r="A315" s="16">
        <v>46327</v>
      </c>
      <c r="B315" s="9" t="s">
        <v>291</v>
      </c>
      <c r="C315" s="9" t="s">
        <v>167</v>
      </c>
      <c r="D315" s="17">
        <v>447373</v>
      </c>
      <c r="E315" s="12">
        <v>568.9</v>
      </c>
      <c r="F315" s="12">
        <v>47.3</v>
      </c>
      <c r="G315" s="17">
        <v>24573</v>
      </c>
      <c r="H315" s="15">
        <f t="shared" si="4"/>
        <v>54.92732015566429</v>
      </c>
    </row>
    <row r="316" spans="1:8" ht="15" customHeight="1" x14ac:dyDescent="0.3">
      <c r="A316" s="16">
        <v>46327</v>
      </c>
      <c r="B316" s="9" t="s">
        <v>292</v>
      </c>
      <c r="C316" s="9" t="s">
        <v>167</v>
      </c>
      <c r="D316" s="17">
        <v>273793</v>
      </c>
      <c r="E316" s="12">
        <v>531</v>
      </c>
      <c r="F316" s="12">
        <v>70.3</v>
      </c>
      <c r="G316" s="17">
        <v>24213</v>
      </c>
      <c r="H316" s="15">
        <f t="shared" si="4"/>
        <v>88.435423842099695</v>
      </c>
    </row>
    <row r="317" spans="1:8" ht="15" customHeight="1" x14ac:dyDescent="0.3">
      <c r="A317" s="16">
        <v>46327</v>
      </c>
      <c r="B317" s="9" t="s">
        <v>293</v>
      </c>
      <c r="C317" s="9" t="s">
        <v>167</v>
      </c>
      <c r="D317" s="17">
        <v>447373</v>
      </c>
      <c r="E317" s="12">
        <v>568.9</v>
      </c>
      <c r="F317" s="12">
        <v>47.3</v>
      </c>
      <c r="G317" s="17">
        <v>19228</v>
      </c>
      <c r="H317" s="15">
        <f t="shared" si="4"/>
        <v>42.979795383270783</v>
      </c>
    </row>
    <row r="318" spans="1:8" ht="15" customHeight="1" x14ac:dyDescent="0.3">
      <c r="A318" s="16">
        <v>46327</v>
      </c>
      <c r="B318" s="9" t="s">
        <v>294</v>
      </c>
      <c r="C318" s="9" t="s">
        <v>167</v>
      </c>
      <c r="D318" s="17">
        <v>1036212</v>
      </c>
      <c r="E318" s="12">
        <v>1129.3</v>
      </c>
      <c r="F318" s="12">
        <v>87.1</v>
      </c>
      <c r="G318" s="17">
        <v>35716</v>
      </c>
      <c r="H318" s="15">
        <f t="shared" si="4"/>
        <v>34.467850208258547</v>
      </c>
    </row>
    <row r="319" spans="1:8" ht="15" customHeight="1" x14ac:dyDescent="0.3">
      <c r="A319" s="16">
        <v>46327</v>
      </c>
      <c r="B319" s="9" t="s">
        <v>270</v>
      </c>
      <c r="C319" s="9" t="s">
        <v>164</v>
      </c>
      <c r="D319" s="17">
        <v>304548</v>
      </c>
      <c r="E319" s="12">
        <v>514.29999999999995</v>
      </c>
      <c r="F319" s="12">
        <v>73.900000000000006</v>
      </c>
      <c r="G319" s="17">
        <v>20879</v>
      </c>
      <c r="H319" s="15">
        <f t="shared" si="4"/>
        <v>68.557337431209532</v>
      </c>
    </row>
    <row r="320" spans="1:8" ht="15" customHeight="1" x14ac:dyDescent="0.3">
      <c r="A320" s="16">
        <v>46327</v>
      </c>
      <c r="B320" s="9" t="s">
        <v>273</v>
      </c>
      <c r="C320" s="9" t="s">
        <v>164</v>
      </c>
      <c r="D320" s="17">
        <v>303182</v>
      </c>
      <c r="E320" s="12">
        <v>503.1</v>
      </c>
      <c r="F320" s="12">
        <v>84.5</v>
      </c>
      <c r="G320" s="17">
        <v>33432</v>
      </c>
      <c r="H320" s="15">
        <f t="shared" si="4"/>
        <v>110.27039863844159</v>
      </c>
    </row>
    <row r="321" spans="1:8" ht="15" customHeight="1" x14ac:dyDescent="0.3">
      <c r="A321" s="16">
        <v>46327</v>
      </c>
      <c r="B321" s="9" t="s">
        <v>275</v>
      </c>
      <c r="C321" s="9" t="s">
        <v>164</v>
      </c>
      <c r="D321" s="17">
        <v>219769</v>
      </c>
      <c r="E321" s="12">
        <v>522.79999999999995</v>
      </c>
      <c r="F321" s="12">
        <v>73.900000000000006</v>
      </c>
      <c r="G321" s="17">
        <v>35388</v>
      </c>
      <c r="H321" s="15">
        <f t="shared" si="4"/>
        <v>161.02362025581408</v>
      </c>
    </row>
    <row r="322" spans="1:8" ht="15" customHeight="1" x14ac:dyDescent="0.3">
      <c r="A322" s="16">
        <v>46327</v>
      </c>
      <c r="B322" s="9" t="s">
        <v>276</v>
      </c>
      <c r="C322" s="9" t="s">
        <v>164</v>
      </c>
      <c r="D322" s="17">
        <v>196317</v>
      </c>
      <c r="E322" s="12">
        <v>534.29999999999995</v>
      </c>
      <c r="F322" s="12">
        <v>67.400000000000006</v>
      </c>
      <c r="G322" s="17">
        <v>20481</v>
      </c>
      <c r="H322" s="15">
        <f t="shared" si="4"/>
        <v>104.32616635339782</v>
      </c>
    </row>
    <row r="323" spans="1:8" ht="15" customHeight="1" x14ac:dyDescent="0.3">
      <c r="A323" s="16">
        <v>46327</v>
      </c>
      <c r="B323" s="9" t="s">
        <v>277</v>
      </c>
      <c r="C323" s="9" t="s">
        <v>164</v>
      </c>
      <c r="D323" s="17">
        <v>208333</v>
      </c>
      <c r="E323" s="12">
        <v>466.4</v>
      </c>
      <c r="F323" s="12">
        <v>101</v>
      </c>
      <c r="G323" s="17">
        <v>29637</v>
      </c>
      <c r="H323" s="15">
        <f t="shared" si="4"/>
        <v>142.25782761252418</v>
      </c>
    </row>
    <row r="324" spans="1:8" ht="15" customHeight="1" x14ac:dyDescent="0.3">
      <c r="A324" s="16">
        <v>46327</v>
      </c>
      <c r="B324" s="9" t="s">
        <v>278</v>
      </c>
      <c r="C324" s="9" t="s">
        <v>164</v>
      </c>
      <c r="D324" s="17">
        <v>204481</v>
      </c>
      <c r="E324" s="12">
        <v>510.2</v>
      </c>
      <c r="F324" s="12">
        <v>83.3</v>
      </c>
      <c r="G324" s="17">
        <v>33334</v>
      </c>
      <c r="H324" s="15">
        <f t="shared" si="4"/>
        <v>163.01759087641395</v>
      </c>
    </row>
    <row r="325" spans="1:8" ht="15" customHeight="1" x14ac:dyDescent="0.3">
      <c r="A325" s="16">
        <v>46327</v>
      </c>
      <c r="B325" s="9" t="s">
        <v>279</v>
      </c>
      <c r="C325" s="9" t="s">
        <v>164</v>
      </c>
      <c r="D325" s="17">
        <v>259480</v>
      </c>
      <c r="E325" s="12">
        <v>524.29999999999995</v>
      </c>
      <c r="F325" s="12">
        <v>74.7</v>
      </c>
      <c r="G325" s="17">
        <v>26385</v>
      </c>
      <c r="H325" s="15">
        <f t="shared" ref="H325:H388" si="5">IF(OR(A325="",D325=0),"",G325/D325*1000)</f>
        <v>101.68413750578078</v>
      </c>
    </row>
    <row r="326" spans="1:8" ht="15" customHeight="1" x14ac:dyDescent="0.3">
      <c r="A326" s="16">
        <v>46327</v>
      </c>
      <c r="B326" s="9" t="s">
        <v>281</v>
      </c>
      <c r="C326" s="9" t="s">
        <v>164</v>
      </c>
      <c r="D326" s="17">
        <v>310712</v>
      </c>
      <c r="E326" s="12">
        <v>536.9</v>
      </c>
      <c r="F326" s="12">
        <v>62.8</v>
      </c>
      <c r="G326" s="17">
        <v>33700</v>
      </c>
      <c r="H326" s="15">
        <f t="shared" si="5"/>
        <v>108.46056798578749</v>
      </c>
    </row>
    <row r="327" spans="1:8" ht="15" customHeight="1" x14ac:dyDescent="0.3">
      <c r="A327" s="16">
        <v>46327</v>
      </c>
      <c r="B327" s="9" t="s">
        <v>282</v>
      </c>
      <c r="C327" s="9" t="s">
        <v>164</v>
      </c>
      <c r="D327" s="17">
        <v>204481</v>
      </c>
      <c r="E327" s="12">
        <v>510.2</v>
      </c>
      <c r="F327" s="12">
        <v>83.3</v>
      </c>
      <c r="G327" s="17">
        <v>20277</v>
      </c>
      <c r="H327" s="15">
        <f t="shared" si="5"/>
        <v>99.163247441082547</v>
      </c>
    </row>
    <row r="328" spans="1:8" ht="15" customHeight="1" x14ac:dyDescent="0.3">
      <c r="A328" s="16">
        <v>46327</v>
      </c>
      <c r="B328" s="9" t="s">
        <v>283</v>
      </c>
      <c r="C328" s="9" t="s">
        <v>164</v>
      </c>
      <c r="D328" s="17">
        <v>196317</v>
      </c>
      <c r="E328" s="12">
        <v>534.29999999999995</v>
      </c>
      <c r="F328" s="12">
        <v>67.400000000000006</v>
      </c>
      <c r="G328" s="17">
        <v>21877</v>
      </c>
      <c r="H328" s="15">
        <f t="shared" si="5"/>
        <v>111.43711446283307</v>
      </c>
    </row>
    <row r="329" spans="1:8" ht="15" customHeight="1" x14ac:dyDescent="0.3">
      <c r="A329" s="16">
        <v>46327</v>
      </c>
      <c r="B329" s="9" t="s">
        <v>297</v>
      </c>
      <c r="C329" s="9" t="s">
        <v>171</v>
      </c>
      <c r="D329" s="17">
        <v>214205</v>
      </c>
      <c r="E329" s="12">
        <v>431.2</v>
      </c>
      <c r="F329" s="12">
        <v>34.1</v>
      </c>
      <c r="G329" s="17">
        <v>7605</v>
      </c>
      <c r="H329" s="15">
        <f t="shared" si="5"/>
        <v>35.503372937139659</v>
      </c>
    </row>
    <row r="330" spans="1:8" ht="15" customHeight="1" x14ac:dyDescent="0.3">
      <c r="A330" s="16">
        <v>46327</v>
      </c>
      <c r="B330" s="9" t="s">
        <v>299</v>
      </c>
      <c r="C330" s="9" t="s">
        <v>171</v>
      </c>
      <c r="D330" s="17">
        <v>168869</v>
      </c>
      <c r="E330" s="12">
        <v>336.9</v>
      </c>
      <c r="F330" s="12">
        <v>61</v>
      </c>
      <c r="G330" s="17">
        <v>6351</v>
      </c>
      <c r="H330" s="15">
        <f t="shared" si="5"/>
        <v>37.609034221793223</v>
      </c>
    </row>
    <row r="331" spans="1:8" ht="15" customHeight="1" x14ac:dyDescent="0.3">
      <c r="A331" s="16">
        <v>46357</v>
      </c>
      <c r="B331" s="9" t="s">
        <v>300</v>
      </c>
      <c r="C331" s="9" t="s">
        <v>172</v>
      </c>
      <c r="D331" s="17">
        <v>304586</v>
      </c>
      <c r="E331" s="12">
        <v>650.29999999999995</v>
      </c>
      <c r="F331" s="12">
        <v>74.8</v>
      </c>
      <c r="G331" s="17">
        <v>5799</v>
      </c>
      <c r="H331" s="15">
        <f t="shared" si="5"/>
        <v>19.038957798454295</v>
      </c>
    </row>
    <row r="332" spans="1:8" ht="15" customHeight="1" x14ac:dyDescent="0.3">
      <c r="A332" s="16">
        <v>46357</v>
      </c>
      <c r="B332" s="9" t="s">
        <v>302</v>
      </c>
      <c r="C332" s="9" t="s">
        <v>172</v>
      </c>
      <c r="D332" s="17">
        <v>284781</v>
      </c>
      <c r="E332" s="12">
        <v>595.29999999999995</v>
      </c>
      <c r="F332" s="12">
        <v>88.4</v>
      </c>
      <c r="G332" s="17">
        <v>5556</v>
      </c>
      <c r="H332" s="15">
        <f t="shared" si="5"/>
        <v>19.509728528237488</v>
      </c>
    </row>
    <row r="333" spans="1:8" ht="15" customHeight="1" x14ac:dyDescent="0.3">
      <c r="A333" s="16">
        <v>46357</v>
      </c>
      <c r="B333" s="9" t="s">
        <v>284</v>
      </c>
      <c r="C333" s="9" t="s">
        <v>167</v>
      </c>
      <c r="D333" s="17">
        <v>611607</v>
      </c>
      <c r="E333" s="12">
        <v>531</v>
      </c>
      <c r="F333" s="12">
        <v>80</v>
      </c>
      <c r="G333" s="17">
        <v>15861</v>
      </c>
      <c r="H333" s="15">
        <f t="shared" si="5"/>
        <v>25.933319926030933</v>
      </c>
    </row>
    <row r="334" spans="1:8" ht="15" customHeight="1" x14ac:dyDescent="0.3">
      <c r="A334" s="16">
        <v>46357</v>
      </c>
      <c r="B334" s="9" t="s">
        <v>286</v>
      </c>
      <c r="C334" s="9" t="s">
        <v>167</v>
      </c>
      <c r="D334" s="17">
        <v>438665</v>
      </c>
      <c r="E334" s="12">
        <v>563.4</v>
      </c>
      <c r="F334" s="12">
        <v>60.9</v>
      </c>
      <c r="G334" s="17">
        <v>35083</v>
      </c>
      <c r="H334" s="15">
        <f t="shared" si="5"/>
        <v>79.97674763201988</v>
      </c>
    </row>
    <row r="335" spans="1:8" ht="15" customHeight="1" x14ac:dyDescent="0.3">
      <c r="A335" s="16">
        <v>46357</v>
      </c>
      <c r="B335" s="9" t="s">
        <v>288</v>
      </c>
      <c r="C335" s="9" t="s">
        <v>167</v>
      </c>
      <c r="D335" s="17">
        <v>750002</v>
      </c>
      <c r="E335" s="12">
        <v>519.5</v>
      </c>
      <c r="F335" s="12">
        <v>87.3</v>
      </c>
      <c r="G335" s="17">
        <v>22025</v>
      </c>
      <c r="H335" s="15">
        <f t="shared" si="5"/>
        <v>29.366588355764385</v>
      </c>
    </row>
    <row r="336" spans="1:8" ht="15" customHeight="1" x14ac:dyDescent="0.3">
      <c r="A336" s="16">
        <v>46357</v>
      </c>
      <c r="B336" s="9" t="s">
        <v>290</v>
      </c>
      <c r="C336" s="9" t="s">
        <v>167</v>
      </c>
      <c r="D336" s="17">
        <v>506692</v>
      </c>
      <c r="E336" s="12">
        <v>578.20000000000005</v>
      </c>
      <c r="F336" s="12">
        <v>44.1</v>
      </c>
      <c r="G336" s="17">
        <v>34969</v>
      </c>
      <c r="H336" s="15">
        <f t="shared" si="5"/>
        <v>69.014312442272626</v>
      </c>
    </row>
    <row r="337" spans="1:8" ht="15" customHeight="1" x14ac:dyDescent="0.3">
      <c r="A337" s="16">
        <v>46357</v>
      </c>
      <c r="B337" s="9" t="s">
        <v>291</v>
      </c>
      <c r="C337" s="9" t="s">
        <v>167</v>
      </c>
      <c r="D337" s="17">
        <v>396021</v>
      </c>
      <c r="E337" s="12">
        <v>503.7</v>
      </c>
      <c r="F337" s="12">
        <v>92.4</v>
      </c>
      <c r="G337" s="17">
        <v>20742</v>
      </c>
      <c r="H337" s="15">
        <f t="shared" si="5"/>
        <v>52.376010363086806</v>
      </c>
    </row>
    <row r="338" spans="1:8" ht="15" customHeight="1" x14ac:dyDescent="0.3">
      <c r="A338" s="16">
        <v>46357</v>
      </c>
      <c r="B338" s="9" t="s">
        <v>292</v>
      </c>
      <c r="C338" s="9" t="s">
        <v>167</v>
      </c>
      <c r="D338" s="17">
        <v>228541</v>
      </c>
      <c r="E338" s="12">
        <v>492.5</v>
      </c>
      <c r="F338" s="12">
        <v>83.3</v>
      </c>
      <c r="G338" s="17">
        <v>20834</v>
      </c>
      <c r="H338" s="15">
        <f t="shared" si="5"/>
        <v>91.160885792921178</v>
      </c>
    </row>
    <row r="339" spans="1:8" ht="15" customHeight="1" x14ac:dyDescent="0.3">
      <c r="A339" s="16">
        <v>46357</v>
      </c>
      <c r="B339" s="9" t="s">
        <v>293</v>
      </c>
      <c r="C339" s="9" t="s">
        <v>167</v>
      </c>
      <c r="D339" s="17">
        <v>396021</v>
      </c>
      <c r="E339" s="12">
        <v>503.8</v>
      </c>
      <c r="F339" s="12">
        <v>92.3</v>
      </c>
      <c r="G339" s="17">
        <v>15905</v>
      </c>
      <c r="H339" s="15">
        <f t="shared" si="5"/>
        <v>40.162011610495405</v>
      </c>
    </row>
    <row r="340" spans="1:8" ht="15" customHeight="1" x14ac:dyDescent="0.3">
      <c r="A340" s="16">
        <v>46357</v>
      </c>
      <c r="B340" s="9" t="s">
        <v>294</v>
      </c>
      <c r="C340" s="9" t="s">
        <v>167</v>
      </c>
      <c r="D340" s="17">
        <v>978543</v>
      </c>
      <c r="E340" s="12">
        <v>1099.0999999999999</v>
      </c>
      <c r="F340" s="12">
        <v>106.6</v>
      </c>
      <c r="G340" s="17">
        <v>31925</v>
      </c>
      <c r="H340" s="15">
        <f t="shared" si="5"/>
        <v>32.625035384239631</v>
      </c>
    </row>
    <row r="341" spans="1:8" ht="15" customHeight="1" x14ac:dyDescent="0.3">
      <c r="A341" s="16">
        <v>46357</v>
      </c>
      <c r="B341" s="9" t="s">
        <v>270</v>
      </c>
      <c r="C341" s="9" t="s">
        <v>164</v>
      </c>
      <c r="D341" s="17">
        <v>324372</v>
      </c>
      <c r="E341" s="12">
        <v>541.6</v>
      </c>
      <c r="F341" s="12">
        <v>62.3</v>
      </c>
      <c r="G341" s="17">
        <v>22112</v>
      </c>
      <c r="H341" s="15">
        <f t="shared" si="5"/>
        <v>68.168645875722945</v>
      </c>
    </row>
    <row r="342" spans="1:8" ht="15" customHeight="1" x14ac:dyDescent="0.3">
      <c r="A342" s="16">
        <v>46357</v>
      </c>
      <c r="B342" s="9" t="s">
        <v>273</v>
      </c>
      <c r="C342" s="9" t="s">
        <v>164</v>
      </c>
      <c r="D342" s="17">
        <v>354409</v>
      </c>
      <c r="E342" s="12">
        <v>582.9</v>
      </c>
      <c r="F342" s="12">
        <v>42.1</v>
      </c>
      <c r="G342" s="17">
        <v>37219</v>
      </c>
      <c r="H342" s="15">
        <f t="shared" si="5"/>
        <v>105.01708478057837</v>
      </c>
    </row>
    <row r="343" spans="1:8" ht="15" customHeight="1" x14ac:dyDescent="0.3">
      <c r="A343" s="16">
        <v>46357</v>
      </c>
      <c r="B343" s="9" t="s">
        <v>275</v>
      </c>
      <c r="C343" s="9" t="s">
        <v>164</v>
      </c>
      <c r="D343" s="17">
        <v>215626</v>
      </c>
      <c r="E343" s="12">
        <v>530.1</v>
      </c>
      <c r="F343" s="12">
        <v>71.5</v>
      </c>
      <c r="G343" s="17">
        <v>36257</v>
      </c>
      <c r="H343" s="15">
        <f t="shared" si="5"/>
        <v>168.14762598202444</v>
      </c>
    </row>
    <row r="344" spans="1:8" ht="15" customHeight="1" x14ac:dyDescent="0.3">
      <c r="A344" s="16">
        <v>46357</v>
      </c>
      <c r="B344" s="9" t="s">
        <v>276</v>
      </c>
      <c r="C344" s="9" t="s">
        <v>164</v>
      </c>
      <c r="D344" s="17">
        <v>215079</v>
      </c>
      <c r="E344" s="12">
        <v>554</v>
      </c>
      <c r="F344" s="12">
        <v>63</v>
      </c>
      <c r="G344" s="17">
        <v>21464</v>
      </c>
      <c r="H344" s="15">
        <f t="shared" si="5"/>
        <v>99.79588895243144</v>
      </c>
    </row>
    <row r="345" spans="1:8" ht="15" customHeight="1" x14ac:dyDescent="0.3">
      <c r="A345" s="16">
        <v>46357</v>
      </c>
      <c r="B345" s="9" t="s">
        <v>277</v>
      </c>
      <c r="C345" s="9" t="s">
        <v>164</v>
      </c>
      <c r="D345" s="17">
        <v>221598</v>
      </c>
      <c r="E345" s="12">
        <v>474.7</v>
      </c>
      <c r="F345" s="12">
        <v>105.3</v>
      </c>
      <c r="G345" s="17">
        <v>30678</v>
      </c>
      <c r="H345" s="15">
        <f t="shared" si="5"/>
        <v>138.43987761622398</v>
      </c>
    </row>
    <row r="346" spans="1:8" ht="15" customHeight="1" x14ac:dyDescent="0.3">
      <c r="A346" s="16">
        <v>46357</v>
      </c>
      <c r="B346" s="9" t="s">
        <v>278</v>
      </c>
      <c r="C346" s="9" t="s">
        <v>164</v>
      </c>
      <c r="D346" s="17">
        <v>257666</v>
      </c>
      <c r="E346" s="12">
        <v>521.9</v>
      </c>
      <c r="F346" s="12">
        <v>67.3</v>
      </c>
      <c r="G346" s="17">
        <v>33883</v>
      </c>
      <c r="H346" s="15">
        <f t="shared" si="5"/>
        <v>131.49969340153532</v>
      </c>
    </row>
    <row r="347" spans="1:8" ht="15" customHeight="1" x14ac:dyDescent="0.3">
      <c r="A347" s="16">
        <v>46357</v>
      </c>
      <c r="B347" s="9" t="s">
        <v>279</v>
      </c>
      <c r="C347" s="9" t="s">
        <v>164</v>
      </c>
      <c r="D347" s="17">
        <v>254589</v>
      </c>
      <c r="E347" s="12">
        <v>522.9</v>
      </c>
      <c r="F347" s="12">
        <v>68.2</v>
      </c>
      <c r="G347" s="17">
        <v>26549</v>
      </c>
      <c r="H347" s="15">
        <f t="shared" si="5"/>
        <v>104.28180322009199</v>
      </c>
    </row>
    <row r="348" spans="1:8" ht="15" customHeight="1" x14ac:dyDescent="0.3">
      <c r="A348" s="16">
        <v>46357</v>
      </c>
      <c r="B348" s="9" t="s">
        <v>281</v>
      </c>
      <c r="C348" s="9" t="s">
        <v>164</v>
      </c>
      <c r="D348" s="17">
        <v>292172</v>
      </c>
      <c r="E348" s="12">
        <v>538.6</v>
      </c>
      <c r="F348" s="12">
        <v>71.5</v>
      </c>
      <c r="G348" s="17">
        <v>34592</v>
      </c>
      <c r="H348" s="15">
        <f t="shared" si="5"/>
        <v>118.39601330722999</v>
      </c>
    </row>
    <row r="349" spans="1:8" ht="15" customHeight="1" x14ac:dyDescent="0.3">
      <c r="A349" s="16">
        <v>46357</v>
      </c>
      <c r="B349" s="9" t="s">
        <v>282</v>
      </c>
      <c r="C349" s="9" t="s">
        <v>164</v>
      </c>
      <c r="D349" s="17">
        <v>257666</v>
      </c>
      <c r="E349" s="12">
        <v>522</v>
      </c>
      <c r="F349" s="12">
        <v>67.3</v>
      </c>
      <c r="G349" s="17">
        <v>20840</v>
      </c>
      <c r="H349" s="15">
        <f t="shared" si="5"/>
        <v>80.879898783696717</v>
      </c>
    </row>
    <row r="350" spans="1:8" ht="15" customHeight="1" x14ac:dyDescent="0.3">
      <c r="A350" s="16">
        <v>46357</v>
      </c>
      <c r="B350" s="9" t="s">
        <v>283</v>
      </c>
      <c r="C350" s="9" t="s">
        <v>164</v>
      </c>
      <c r="D350" s="17">
        <v>215079</v>
      </c>
      <c r="E350" s="12">
        <v>554.1</v>
      </c>
      <c r="F350" s="12">
        <v>62.9</v>
      </c>
      <c r="G350" s="17">
        <v>22925</v>
      </c>
      <c r="H350" s="15">
        <f t="shared" si="5"/>
        <v>106.58874181114847</v>
      </c>
    </row>
    <row r="351" spans="1:8" ht="15" customHeight="1" x14ac:dyDescent="0.3">
      <c r="A351" s="16">
        <v>46357</v>
      </c>
      <c r="B351" s="9" t="s">
        <v>297</v>
      </c>
      <c r="C351" s="9" t="s">
        <v>171</v>
      </c>
      <c r="D351" s="17">
        <v>146908</v>
      </c>
      <c r="E351" s="12">
        <v>296.60000000000002</v>
      </c>
      <c r="F351" s="12">
        <v>23.5</v>
      </c>
      <c r="G351" s="17">
        <v>5191</v>
      </c>
      <c r="H351" s="15">
        <f t="shared" si="5"/>
        <v>35.335039616630816</v>
      </c>
    </row>
    <row r="352" spans="1:8" ht="15" customHeight="1" x14ac:dyDescent="0.3">
      <c r="A352" s="16">
        <v>46357</v>
      </c>
      <c r="B352" s="9" t="s">
        <v>299</v>
      </c>
      <c r="C352" s="9" t="s">
        <v>171</v>
      </c>
      <c r="D352" s="17">
        <v>212195</v>
      </c>
      <c r="E352" s="12">
        <v>433.2</v>
      </c>
      <c r="F352" s="12">
        <v>63.8</v>
      </c>
      <c r="G352" s="17">
        <v>8015</v>
      </c>
      <c r="H352" s="15">
        <f t="shared" si="5"/>
        <v>37.771860788425741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20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50" customWidth="1"/>
    <col min="3" max="4" width="14" customWidth="1"/>
    <col min="5" max="5" width="11" customWidth="1"/>
    <col min="6" max="6" width="8" customWidth="1"/>
    <col min="7" max="7" width="9" customWidth="1"/>
    <col min="8" max="9" width="10" customWidth="1"/>
    <col min="10" max="11" width="8" customWidth="1"/>
    <col min="12" max="12" width="7" customWidth="1"/>
    <col min="13" max="13" width="8" customWidth="1"/>
    <col min="14" max="14" width="9" customWidth="1"/>
    <col min="15" max="15" width="44" customWidth="1"/>
    <col min="16" max="16" width="9" customWidth="1"/>
    <col min="17" max="17" width="10" customWidth="1"/>
    <col min="18" max="18" width="36" customWidth="1"/>
    <col min="19" max="19" width="6" customWidth="1"/>
    <col min="20" max="20" width="9" customWidth="1"/>
  </cols>
  <sheetData>
    <row r="1" spans="1:20" ht="17.399999999999999" x14ac:dyDescent="0.3">
      <c r="A1" s="1" t="s">
        <v>309</v>
      </c>
    </row>
    <row r="2" spans="1:20" x14ac:dyDescent="0.3">
      <c r="A2" s="2" t="s">
        <v>310</v>
      </c>
    </row>
    <row r="4" spans="1:20" ht="39.6" x14ac:dyDescent="0.3">
      <c r="A4" s="8" t="s">
        <v>311</v>
      </c>
      <c r="B4" s="8" t="s">
        <v>104</v>
      </c>
      <c r="C4" s="8" t="s">
        <v>312</v>
      </c>
      <c r="D4" s="8" t="s">
        <v>313</v>
      </c>
      <c r="E4" s="11" t="s">
        <v>314</v>
      </c>
      <c r="F4" s="8" t="s">
        <v>315</v>
      </c>
      <c r="G4" s="11" t="s">
        <v>316</v>
      </c>
      <c r="H4" s="11" t="s">
        <v>317</v>
      </c>
      <c r="I4" s="8" t="s">
        <v>318</v>
      </c>
      <c r="J4" s="11" t="s">
        <v>319</v>
      </c>
      <c r="K4" s="11" t="s">
        <v>320</v>
      </c>
      <c r="L4" s="8" t="s">
        <v>321</v>
      </c>
      <c r="M4" s="11" t="s">
        <v>322</v>
      </c>
      <c r="N4" s="11" t="s">
        <v>323</v>
      </c>
      <c r="O4" s="8" t="s">
        <v>324</v>
      </c>
      <c r="P4" s="8" t="s">
        <v>325</v>
      </c>
      <c r="Q4" s="8" t="s">
        <v>14</v>
      </c>
      <c r="R4" s="8" t="s">
        <v>326</v>
      </c>
      <c r="S4" s="11" t="s">
        <v>327</v>
      </c>
      <c r="T4" s="11" t="s">
        <v>328</v>
      </c>
    </row>
    <row r="5" spans="1:20" ht="45" customHeight="1" x14ac:dyDescent="0.3">
      <c r="A5" s="9" t="s">
        <v>329</v>
      </c>
      <c r="B5" s="9" t="s">
        <v>330</v>
      </c>
      <c r="C5" s="9" t="s">
        <v>168</v>
      </c>
      <c r="D5" s="9" t="s">
        <v>331</v>
      </c>
      <c r="E5" s="13">
        <f>IF(A5="","",SUMPRODUCT(ISNUMBER(SEARCH(tbl_usos[ID_Uso]&amp;";",C5&amp;";"))*tbl_usos[kWh_12m]))</f>
        <v>1035153</v>
      </c>
      <c r="F5" s="22">
        <v>0.15</v>
      </c>
      <c r="G5" s="13">
        <f t="shared" ref="G5:G20" si="0">IF(A5="","",E5*F5/1000)</f>
        <v>155.27294999999998</v>
      </c>
      <c r="H5" s="23">
        <f t="shared" ref="H5:H20" si="1">IF(A5="","",G5*1000*preco_medio)</f>
        <v>20728.938824999997</v>
      </c>
      <c r="I5" s="24">
        <v>6000</v>
      </c>
      <c r="J5" s="15">
        <f t="shared" ref="J5:J20" si="2">IF(OR(A5="",H5=0),"",I5/H5)</f>
        <v>0.28945041763371604</v>
      </c>
      <c r="K5" s="15">
        <f t="shared" ref="K5:K20" si="3">IF(A5="","",G5*fe_elet_lb)</f>
        <v>17.080024499999997</v>
      </c>
      <c r="L5" s="20">
        <v>3</v>
      </c>
      <c r="M5" s="15">
        <f t="shared" ref="M5:M20" si="4">IF(A5="","",MIN(3,G5/50)+IF(J5="",0,IF(J5&lt;=1,3,IF(J5&lt;=3,2,1)))+L5)</f>
        <v>9</v>
      </c>
      <c r="N5" s="19" t="str">
        <f t="shared" ref="N5:N20" si="5">IF(A5="","",IF(M5&gt;=7,"Alta",IF(M5&gt;=5,"Média","Baixa")))</f>
        <v>Alta</v>
      </c>
      <c r="O5" s="9" t="s">
        <v>332</v>
      </c>
      <c r="P5" s="9" t="s">
        <v>333</v>
      </c>
      <c r="Q5" s="9" t="s">
        <v>334</v>
      </c>
      <c r="R5" s="9" t="s">
        <v>335</v>
      </c>
      <c r="S5" s="18">
        <f t="shared" ref="S5:S20" si="6">IF(A5="","",IF(C5="—",0,LEN(C5)-LEN(SUBSTITUTE(C5,";",""))+1))</f>
        <v>1</v>
      </c>
      <c r="T5" s="13">
        <f t="shared" ref="T5:T20" si="7">IF(OR(A5="",S5=0),0,G5/S5)</f>
        <v>155.27294999999998</v>
      </c>
    </row>
    <row r="6" spans="1:20" ht="45" customHeight="1" x14ac:dyDescent="0.3">
      <c r="A6" s="9" t="s">
        <v>336</v>
      </c>
      <c r="B6" s="9" t="s">
        <v>337</v>
      </c>
      <c r="C6" s="9" t="s">
        <v>168</v>
      </c>
      <c r="D6" s="9" t="s">
        <v>331</v>
      </c>
      <c r="E6" s="13">
        <f>IF(A6="","",SUMPRODUCT(ISNUMBER(SEARCH(tbl_usos[ID_Uso]&amp;";",C6&amp;";"))*tbl_usos[kWh_12m]))</f>
        <v>1035153</v>
      </c>
      <c r="F6" s="22">
        <v>0.04</v>
      </c>
      <c r="G6" s="13">
        <f t="shared" si="0"/>
        <v>41.406120000000001</v>
      </c>
      <c r="H6" s="23">
        <f t="shared" si="1"/>
        <v>5527.717020000001</v>
      </c>
      <c r="I6" s="24">
        <v>500</v>
      </c>
      <c r="J6" s="15">
        <f t="shared" si="2"/>
        <v>9.0453255510536235E-2</v>
      </c>
      <c r="K6" s="15">
        <f t="shared" si="3"/>
        <v>4.5546731999999999</v>
      </c>
      <c r="L6" s="20">
        <v>3</v>
      </c>
      <c r="M6" s="15">
        <f t="shared" si="4"/>
        <v>6.8281223999999998</v>
      </c>
      <c r="N6" s="19" t="str">
        <f t="shared" si="5"/>
        <v>Média</v>
      </c>
      <c r="O6" s="9" t="s">
        <v>338</v>
      </c>
      <c r="P6" s="9" t="s">
        <v>333</v>
      </c>
      <c r="Q6" s="9" t="s">
        <v>339</v>
      </c>
      <c r="R6" s="9" t="s">
        <v>340</v>
      </c>
      <c r="S6" s="18">
        <f t="shared" si="6"/>
        <v>1</v>
      </c>
      <c r="T6" s="13">
        <f t="shared" si="7"/>
        <v>41.406120000000001</v>
      </c>
    </row>
    <row r="7" spans="1:20" ht="45" customHeight="1" x14ac:dyDescent="0.3">
      <c r="A7" s="9" t="s">
        <v>341</v>
      </c>
      <c r="B7" s="9" t="s">
        <v>342</v>
      </c>
      <c r="C7" s="9" t="s">
        <v>343</v>
      </c>
      <c r="D7" s="9" t="s">
        <v>344</v>
      </c>
      <c r="E7" s="13">
        <f>IF(A7="","",SUMPRODUCT(ISNUMBER(SEARCH(tbl_usos[ID_Uso]&amp;";",C7&amp;";"))*tbl_usos[kWh_12m]))</f>
        <v>5323307</v>
      </c>
      <c r="F7" s="22">
        <v>0.03</v>
      </c>
      <c r="G7" s="13">
        <f t="shared" si="0"/>
        <v>159.69920999999999</v>
      </c>
      <c r="H7" s="23">
        <f t="shared" si="1"/>
        <v>21319.844535</v>
      </c>
      <c r="I7" s="24">
        <v>0</v>
      </c>
      <c r="J7" s="15">
        <f t="shared" si="2"/>
        <v>0</v>
      </c>
      <c r="K7" s="15">
        <f t="shared" si="3"/>
        <v>17.566913100000001</v>
      </c>
      <c r="L7" s="20">
        <v>3</v>
      </c>
      <c r="M7" s="15">
        <f t="shared" si="4"/>
        <v>9</v>
      </c>
      <c r="N7" s="19" t="str">
        <f t="shared" si="5"/>
        <v>Alta</v>
      </c>
      <c r="O7" s="9" t="s">
        <v>345</v>
      </c>
      <c r="P7" s="9" t="s">
        <v>346</v>
      </c>
      <c r="Q7" s="9" t="s">
        <v>339</v>
      </c>
      <c r="R7" s="9" t="s">
        <v>347</v>
      </c>
      <c r="S7" s="18">
        <f t="shared" si="6"/>
        <v>2</v>
      </c>
      <c r="T7" s="13">
        <f t="shared" si="7"/>
        <v>79.849604999999997</v>
      </c>
    </row>
    <row r="8" spans="1:20" ht="45" customHeight="1" x14ac:dyDescent="0.3">
      <c r="A8" s="9" t="s">
        <v>348</v>
      </c>
      <c r="B8" s="9" t="s">
        <v>349</v>
      </c>
      <c r="C8" s="9" t="s">
        <v>168</v>
      </c>
      <c r="D8" s="9" t="s">
        <v>331</v>
      </c>
      <c r="E8" s="13">
        <f>IF(A8="","",SUMPRODUCT(ISNUMBER(SEARCH(tbl_usos[ID_Uso]&amp;";",C8&amp;";"))*tbl_usos[kWh_12m]))</f>
        <v>1035153</v>
      </c>
      <c r="F8" s="22">
        <v>0.03</v>
      </c>
      <c r="G8" s="13">
        <f t="shared" si="0"/>
        <v>31.054590000000001</v>
      </c>
      <c r="H8" s="23">
        <f t="shared" si="1"/>
        <v>4145.787765</v>
      </c>
      <c r="I8" s="24">
        <v>1200</v>
      </c>
      <c r="J8" s="15">
        <f t="shared" si="2"/>
        <v>0.28945041763371598</v>
      </c>
      <c r="K8" s="15">
        <f t="shared" si="3"/>
        <v>3.4160049000000003</v>
      </c>
      <c r="L8" s="20">
        <v>3</v>
      </c>
      <c r="M8" s="15">
        <f t="shared" si="4"/>
        <v>6.6210918000000003</v>
      </c>
      <c r="N8" s="19" t="str">
        <f t="shared" si="5"/>
        <v>Média</v>
      </c>
      <c r="O8" s="9" t="s">
        <v>350</v>
      </c>
      <c r="P8" s="9" t="s">
        <v>333</v>
      </c>
      <c r="Q8" s="9" t="s">
        <v>339</v>
      </c>
      <c r="R8" s="9" t="s">
        <v>351</v>
      </c>
      <c r="S8" s="18">
        <f t="shared" si="6"/>
        <v>1</v>
      </c>
      <c r="T8" s="13">
        <f t="shared" si="7"/>
        <v>31.054590000000001</v>
      </c>
    </row>
    <row r="9" spans="1:20" ht="45" customHeight="1" x14ac:dyDescent="0.3">
      <c r="A9" s="9" t="s">
        <v>352</v>
      </c>
      <c r="B9" s="9" t="s">
        <v>353</v>
      </c>
      <c r="C9" s="9" t="s">
        <v>167</v>
      </c>
      <c r="D9" s="9" t="s">
        <v>354</v>
      </c>
      <c r="E9" s="13">
        <f>IF(A9="","",SUMPRODUCT(ISNUMBER(SEARCH(tbl_usos[ID_Uso]&amp;";",C9&amp;";"))*tbl_usos[kWh_12m]))</f>
        <v>2186144</v>
      </c>
      <c r="F9" s="22">
        <v>0.05</v>
      </c>
      <c r="G9" s="13">
        <f t="shared" si="0"/>
        <v>109.30720000000001</v>
      </c>
      <c r="H9" s="23">
        <f t="shared" si="1"/>
        <v>14592.511200000003</v>
      </c>
      <c r="I9" s="24">
        <v>7200</v>
      </c>
      <c r="J9" s="15">
        <f t="shared" si="2"/>
        <v>0.49340376726933732</v>
      </c>
      <c r="K9" s="15">
        <f t="shared" si="3"/>
        <v>12.023792</v>
      </c>
      <c r="L9" s="20">
        <v>2</v>
      </c>
      <c r="M9" s="15">
        <f t="shared" si="4"/>
        <v>7.1861440000000005</v>
      </c>
      <c r="N9" s="19" t="str">
        <f t="shared" si="5"/>
        <v>Alta</v>
      </c>
      <c r="O9" s="9" t="s">
        <v>355</v>
      </c>
      <c r="P9" s="9" t="s">
        <v>356</v>
      </c>
      <c r="Q9" s="9" t="s">
        <v>357</v>
      </c>
      <c r="R9" s="9"/>
      <c r="S9" s="18">
        <f t="shared" si="6"/>
        <v>1</v>
      </c>
      <c r="T9" s="13">
        <f t="shared" si="7"/>
        <v>109.30720000000001</v>
      </c>
    </row>
    <row r="10" spans="1:20" ht="45" customHeight="1" x14ac:dyDescent="0.3">
      <c r="A10" s="9" t="s">
        <v>358</v>
      </c>
      <c r="B10" s="9" t="s">
        <v>359</v>
      </c>
      <c r="C10" s="9" t="s">
        <v>167</v>
      </c>
      <c r="D10" s="9" t="s">
        <v>354</v>
      </c>
      <c r="E10" s="13">
        <f>IF(A10="","",SUMPRODUCT(ISNUMBER(SEARCH(tbl_usos[ID_Uso]&amp;";",C10&amp;";"))*tbl_usos[kWh_12m]))</f>
        <v>2186144</v>
      </c>
      <c r="F10" s="22">
        <v>0.08</v>
      </c>
      <c r="G10" s="13">
        <f t="shared" si="0"/>
        <v>174.89151999999999</v>
      </c>
      <c r="H10" s="23">
        <f t="shared" si="1"/>
        <v>23348.017919999998</v>
      </c>
      <c r="I10" s="24">
        <v>56000</v>
      </c>
      <c r="J10" s="15">
        <f t="shared" si="2"/>
        <v>2.3984905353370571</v>
      </c>
      <c r="K10" s="15">
        <f t="shared" si="3"/>
        <v>19.2380672</v>
      </c>
      <c r="L10" s="20">
        <v>2</v>
      </c>
      <c r="M10" s="15">
        <f t="shared" si="4"/>
        <v>7</v>
      </c>
      <c r="N10" s="19" t="str">
        <f t="shared" si="5"/>
        <v>Alta</v>
      </c>
      <c r="O10" s="9" t="s">
        <v>360</v>
      </c>
      <c r="P10" s="9" t="s">
        <v>356</v>
      </c>
      <c r="Q10" s="9" t="s">
        <v>357</v>
      </c>
      <c r="R10" s="9"/>
      <c r="S10" s="18">
        <f t="shared" si="6"/>
        <v>1</v>
      </c>
      <c r="T10" s="13">
        <f t="shared" si="7"/>
        <v>174.89151999999999</v>
      </c>
    </row>
    <row r="11" spans="1:20" ht="45" customHeight="1" x14ac:dyDescent="0.3">
      <c r="A11" s="9" t="s">
        <v>361</v>
      </c>
      <c r="B11" s="9" t="s">
        <v>362</v>
      </c>
      <c r="C11" s="9" t="s">
        <v>168</v>
      </c>
      <c r="D11" s="9" t="s">
        <v>354</v>
      </c>
      <c r="E11" s="13">
        <f>IF(A11="","",SUMPRODUCT(ISNUMBER(SEARCH(tbl_usos[ID_Uso]&amp;";",C11&amp;";"))*tbl_usos[kWh_12m]))</f>
        <v>1035153</v>
      </c>
      <c r="F11" s="22">
        <v>0.1</v>
      </c>
      <c r="G11" s="13">
        <f t="shared" si="0"/>
        <v>103.5153</v>
      </c>
      <c r="H11" s="23">
        <f t="shared" si="1"/>
        <v>13819.292550000002</v>
      </c>
      <c r="I11" s="24">
        <v>45000</v>
      </c>
      <c r="J11" s="15">
        <f t="shared" si="2"/>
        <v>3.2563171983793042</v>
      </c>
      <c r="K11" s="15">
        <f t="shared" si="3"/>
        <v>11.386683</v>
      </c>
      <c r="L11" s="20">
        <v>2</v>
      </c>
      <c r="M11" s="15">
        <f t="shared" si="4"/>
        <v>5.0703060000000004</v>
      </c>
      <c r="N11" s="19" t="str">
        <f t="shared" si="5"/>
        <v>Média</v>
      </c>
      <c r="O11" s="9" t="s">
        <v>363</v>
      </c>
      <c r="P11" s="9" t="s">
        <v>364</v>
      </c>
      <c r="Q11" s="9" t="s">
        <v>365</v>
      </c>
      <c r="R11" s="9" t="s">
        <v>366</v>
      </c>
      <c r="S11" s="18">
        <f t="shared" si="6"/>
        <v>1</v>
      </c>
      <c r="T11" s="13">
        <f t="shared" si="7"/>
        <v>103.5153</v>
      </c>
    </row>
    <row r="12" spans="1:20" ht="45" customHeight="1" x14ac:dyDescent="0.3">
      <c r="A12" s="9" t="s">
        <v>367</v>
      </c>
      <c r="B12" s="9" t="s">
        <v>368</v>
      </c>
      <c r="C12" s="9" t="s">
        <v>169</v>
      </c>
      <c r="D12" s="9" t="s">
        <v>331</v>
      </c>
      <c r="E12" s="13">
        <f>IF(A12="","",SUMPRODUCT(ISNUMBER(SEARCH(tbl_usos[ID_Uso]&amp;";",C12&amp;";"))*tbl_usos[kWh_12m]))</f>
        <v>585183</v>
      </c>
      <c r="F12" s="22">
        <v>0.12</v>
      </c>
      <c r="G12" s="13">
        <f t="shared" si="0"/>
        <v>70.221959999999996</v>
      </c>
      <c r="H12" s="23">
        <f t="shared" si="1"/>
        <v>9374.6316599999991</v>
      </c>
      <c r="I12" s="24">
        <v>2000</v>
      </c>
      <c r="J12" s="15">
        <f t="shared" si="2"/>
        <v>0.21334171544399647</v>
      </c>
      <c r="K12" s="15">
        <f t="shared" si="3"/>
        <v>7.7244155999999995</v>
      </c>
      <c r="L12" s="20">
        <v>2</v>
      </c>
      <c r="M12" s="15">
        <f t="shared" si="4"/>
        <v>6.4044391999999997</v>
      </c>
      <c r="N12" s="19" t="str">
        <f t="shared" si="5"/>
        <v>Média</v>
      </c>
      <c r="O12" s="9" t="s">
        <v>369</v>
      </c>
      <c r="P12" s="9" t="s">
        <v>370</v>
      </c>
      <c r="Q12" s="9" t="s">
        <v>334</v>
      </c>
      <c r="R12" s="9" t="s">
        <v>371</v>
      </c>
      <c r="S12" s="18">
        <f t="shared" si="6"/>
        <v>1</v>
      </c>
      <c r="T12" s="13">
        <f t="shared" si="7"/>
        <v>70.221959999999996</v>
      </c>
    </row>
    <row r="13" spans="1:20" ht="45" customHeight="1" x14ac:dyDescent="0.3">
      <c r="A13" s="9" t="s">
        <v>372</v>
      </c>
      <c r="B13" s="9" t="s">
        <v>373</v>
      </c>
      <c r="C13" s="9" t="s">
        <v>169</v>
      </c>
      <c r="D13" s="9" t="s">
        <v>354</v>
      </c>
      <c r="E13" s="13">
        <f>IF(A13="","",SUMPRODUCT(ISNUMBER(SEARCH(tbl_usos[ID_Uso]&amp;";",C13&amp;";"))*tbl_usos[kWh_12m]))</f>
        <v>585183</v>
      </c>
      <c r="F13" s="22">
        <v>0.2</v>
      </c>
      <c r="G13" s="13">
        <f t="shared" si="0"/>
        <v>117.03660000000001</v>
      </c>
      <c r="H13" s="23">
        <f t="shared" si="1"/>
        <v>15624.386100000002</v>
      </c>
      <c r="I13" s="24">
        <v>40000</v>
      </c>
      <c r="J13" s="15">
        <f t="shared" si="2"/>
        <v>2.560100585327957</v>
      </c>
      <c r="K13" s="15">
        <f t="shared" si="3"/>
        <v>12.874026000000001</v>
      </c>
      <c r="L13" s="20">
        <v>2</v>
      </c>
      <c r="M13" s="15">
        <f t="shared" si="4"/>
        <v>6.340732</v>
      </c>
      <c r="N13" s="19" t="str">
        <f t="shared" si="5"/>
        <v>Média</v>
      </c>
      <c r="O13" s="9" t="s">
        <v>374</v>
      </c>
      <c r="P13" s="9" t="s">
        <v>370</v>
      </c>
      <c r="Q13" s="9" t="s">
        <v>357</v>
      </c>
      <c r="R13" s="9" t="s">
        <v>375</v>
      </c>
      <c r="S13" s="18">
        <f t="shared" si="6"/>
        <v>1</v>
      </c>
      <c r="T13" s="13">
        <f t="shared" si="7"/>
        <v>117.03660000000001</v>
      </c>
    </row>
    <row r="14" spans="1:20" ht="45" customHeight="1" x14ac:dyDescent="0.3">
      <c r="A14" s="9" t="s">
        <v>376</v>
      </c>
      <c r="B14" s="9" t="s">
        <v>377</v>
      </c>
      <c r="C14" s="9" t="s">
        <v>169</v>
      </c>
      <c r="D14" s="9" t="s">
        <v>354</v>
      </c>
      <c r="E14" s="13">
        <f>IF(A14="","",SUMPRODUCT(ISNUMBER(SEARCH(tbl_usos[ID_Uso]&amp;";",C14&amp;";"))*tbl_usos[kWh_12m]))</f>
        <v>585183</v>
      </c>
      <c r="F14" s="22">
        <v>0.1</v>
      </c>
      <c r="G14" s="13">
        <f t="shared" si="0"/>
        <v>58.518300000000004</v>
      </c>
      <c r="H14" s="23">
        <f t="shared" si="1"/>
        <v>7812.1930500000008</v>
      </c>
      <c r="I14" s="24">
        <v>12000</v>
      </c>
      <c r="J14" s="15">
        <f t="shared" si="2"/>
        <v>1.5360603511967743</v>
      </c>
      <c r="K14" s="15">
        <f t="shared" si="3"/>
        <v>6.4370130000000003</v>
      </c>
      <c r="L14" s="20">
        <v>2</v>
      </c>
      <c r="M14" s="15">
        <f t="shared" si="4"/>
        <v>5.1703659999999996</v>
      </c>
      <c r="N14" s="19" t="str">
        <f t="shared" si="5"/>
        <v>Média</v>
      </c>
      <c r="O14" s="9" t="s">
        <v>378</v>
      </c>
      <c r="P14" s="9" t="s">
        <v>364</v>
      </c>
      <c r="Q14" s="9" t="s">
        <v>365</v>
      </c>
      <c r="R14" s="9"/>
      <c r="S14" s="18">
        <f t="shared" si="6"/>
        <v>1</v>
      </c>
      <c r="T14" s="13">
        <f t="shared" si="7"/>
        <v>58.518300000000004</v>
      </c>
    </row>
    <row r="15" spans="1:20" ht="45" customHeight="1" x14ac:dyDescent="0.3">
      <c r="A15" s="9" t="s">
        <v>379</v>
      </c>
      <c r="B15" s="9" t="s">
        <v>380</v>
      </c>
      <c r="C15" s="9" t="s">
        <v>170</v>
      </c>
      <c r="D15" s="9" t="s">
        <v>354</v>
      </c>
      <c r="E15" s="13">
        <f>IF(A15="","",SUMPRODUCT(ISNUMBER(SEARCH(tbl_usos[ID_Uso]&amp;";",C15&amp;";"))*tbl_usos[kWh_12m]))</f>
        <v>553890</v>
      </c>
      <c r="F15" s="22">
        <v>0.06</v>
      </c>
      <c r="G15" s="13">
        <f t="shared" si="0"/>
        <v>33.233400000000003</v>
      </c>
      <c r="H15" s="23">
        <f t="shared" si="1"/>
        <v>4436.6589000000004</v>
      </c>
      <c r="I15" s="24">
        <v>25000</v>
      </c>
      <c r="J15" s="15">
        <f t="shared" si="2"/>
        <v>5.634870870961028</v>
      </c>
      <c r="K15" s="15">
        <f t="shared" si="3"/>
        <v>3.6556740000000003</v>
      </c>
      <c r="L15" s="20">
        <v>3</v>
      </c>
      <c r="M15" s="15">
        <f t="shared" si="4"/>
        <v>4.6646679999999998</v>
      </c>
      <c r="N15" s="19" t="str">
        <f t="shared" si="5"/>
        <v>Baixa</v>
      </c>
      <c r="O15" s="9" t="s">
        <v>381</v>
      </c>
      <c r="P15" s="9" t="s">
        <v>364</v>
      </c>
      <c r="Q15" s="9" t="s">
        <v>365</v>
      </c>
      <c r="R15" s="9"/>
      <c r="S15" s="18">
        <f t="shared" si="6"/>
        <v>1</v>
      </c>
      <c r="T15" s="13">
        <f t="shared" si="7"/>
        <v>33.233400000000003</v>
      </c>
    </row>
    <row r="16" spans="1:20" ht="45" customHeight="1" x14ac:dyDescent="0.3">
      <c r="A16" s="9" t="s">
        <v>382</v>
      </c>
      <c r="B16" s="9" t="s">
        <v>383</v>
      </c>
      <c r="C16" s="9" t="s">
        <v>364</v>
      </c>
      <c r="D16" s="9" t="s">
        <v>384</v>
      </c>
      <c r="E16" s="13">
        <f>IF(A16="","",SUMPRODUCT(ISNUMBER(SEARCH(tbl_usos[ID_Uso]&amp;";",C16&amp;";"))*tbl_usos[kWh_12m]))</f>
        <v>0</v>
      </c>
      <c r="F16" s="22">
        <v>0</v>
      </c>
      <c r="G16" s="13">
        <f t="shared" si="0"/>
        <v>0</v>
      </c>
      <c r="H16" s="23">
        <f t="shared" si="1"/>
        <v>0</v>
      </c>
      <c r="I16" s="24">
        <v>850000</v>
      </c>
      <c r="J16" s="15" t="str">
        <f t="shared" si="2"/>
        <v/>
      </c>
      <c r="K16" s="15">
        <f t="shared" si="3"/>
        <v>0</v>
      </c>
      <c r="L16" s="20">
        <v>1</v>
      </c>
      <c r="M16" s="15">
        <f t="shared" si="4"/>
        <v>1</v>
      </c>
      <c r="N16" s="19" t="str">
        <f t="shared" si="5"/>
        <v>Baixa</v>
      </c>
      <c r="O16" s="9" t="s">
        <v>385</v>
      </c>
      <c r="P16" s="9" t="s">
        <v>386</v>
      </c>
      <c r="Q16" s="9" t="s">
        <v>365</v>
      </c>
      <c r="R16" s="9" t="s">
        <v>387</v>
      </c>
      <c r="S16" s="18">
        <f t="shared" si="6"/>
        <v>0</v>
      </c>
      <c r="T16" s="13">
        <f t="shared" si="7"/>
        <v>0</v>
      </c>
    </row>
    <row r="17" spans="1:20" ht="45" customHeight="1" x14ac:dyDescent="0.3">
      <c r="A17" s="9" t="s">
        <v>388</v>
      </c>
      <c r="B17" s="9" t="s">
        <v>389</v>
      </c>
      <c r="C17" s="9" t="s">
        <v>170</v>
      </c>
      <c r="D17" s="9" t="s">
        <v>354</v>
      </c>
      <c r="E17" s="13">
        <f>IF(A17="","",SUMPRODUCT(ISNUMBER(SEARCH(tbl_usos[ID_Uso]&amp;";",C17&amp;";"))*tbl_usos[kWh_12m]))</f>
        <v>553890</v>
      </c>
      <c r="F17" s="22">
        <v>0.1</v>
      </c>
      <c r="G17" s="13">
        <f t="shared" si="0"/>
        <v>55.389000000000003</v>
      </c>
      <c r="H17" s="23">
        <f t="shared" si="1"/>
        <v>7394.4315000000006</v>
      </c>
      <c r="I17" s="24">
        <v>14000</v>
      </c>
      <c r="J17" s="15">
        <f t="shared" si="2"/>
        <v>1.8933166126429055</v>
      </c>
      <c r="K17" s="15">
        <f t="shared" si="3"/>
        <v>6.0927899999999999</v>
      </c>
      <c r="L17" s="20">
        <v>2</v>
      </c>
      <c r="M17" s="15">
        <f t="shared" si="4"/>
        <v>5.10778</v>
      </c>
      <c r="N17" s="19" t="str">
        <f t="shared" si="5"/>
        <v>Média</v>
      </c>
      <c r="O17" s="9" t="s">
        <v>390</v>
      </c>
      <c r="P17" s="9" t="s">
        <v>391</v>
      </c>
      <c r="Q17" s="9" t="s">
        <v>357</v>
      </c>
      <c r="R17" s="9"/>
      <c r="S17" s="18">
        <f t="shared" si="6"/>
        <v>1</v>
      </c>
      <c r="T17" s="13">
        <f t="shared" si="7"/>
        <v>55.389000000000003</v>
      </c>
    </row>
    <row r="18" spans="1:20" ht="45" customHeight="1" x14ac:dyDescent="0.3">
      <c r="A18" s="9" t="s">
        <v>392</v>
      </c>
      <c r="B18" s="9" t="s">
        <v>393</v>
      </c>
      <c r="C18" s="9" t="s">
        <v>164</v>
      </c>
      <c r="D18" s="9" t="s">
        <v>354</v>
      </c>
      <c r="E18" s="13">
        <f>IF(A18="","",SUMPRODUCT(ISNUMBER(SEARCH(tbl_usos[ID_Uso]&amp;";",C18&amp;";"))*tbl_usos[kWh_12m]))</f>
        <v>3137163</v>
      </c>
      <c r="F18" s="22">
        <v>7.0000000000000007E-2</v>
      </c>
      <c r="G18" s="13">
        <f t="shared" si="0"/>
        <v>219.60141000000004</v>
      </c>
      <c r="H18" s="23">
        <f t="shared" si="1"/>
        <v>29316.788235000007</v>
      </c>
      <c r="I18" s="24">
        <v>900000</v>
      </c>
      <c r="J18" s="15">
        <f t="shared" si="2"/>
        <v>30.699133642665881</v>
      </c>
      <c r="K18" s="15">
        <f t="shared" si="3"/>
        <v>24.156155100000007</v>
      </c>
      <c r="L18" s="20">
        <v>1</v>
      </c>
      <c r="M18" s="15">
        <f t="shared" si="4"/>
        <v>5</v>
      </c>
      <c r="N18" s="19" t="str">
        <f t="shared" si="5"/>
        <v>Média</v>
      </c>
      <c r="O18" s="9" t="s">
        <v>394</v>
      </c>
      <c r="P18" s="9" t="s">
        <v>364</v>
      </c>
      <c r="Q18" s="9" t="s">
        <v>365</v>
      </c>
      <c r="R18" s="9" t="s">
        <v>395</v>
      </c>
      <c r="S18" s="18">
        <f t="shared" si="6"/>
        <v>1</v>
      </c>
      <c r="T18" s="13">
        <f t="shared" si="7"/>
        <v>219.60141000000004</v>
      </c>
    </row>
    <row r="19" spans="1:20" ht="45" customHeight="1" x14ac:dyDescent="0.3">
      <c r="A19" s="9" t="s">
        <v>396</v>
      </c>
      <c r="B19" s="9" t="s">
        <v>397</v>
      </c>
      <c r="C19" s="9" t="s">
        <v>398</v>
      </c>
      <c r="D19" s="9" t="s">
        <v>344</v>
      </c>
      <c r="E19" s="13">
        <f>IF(A19="","",SUMPRODUCT(ISNUMBER(SEARCH(tbl_usos[ID_Uso]&amp;";",C19&amp;";"))*tbl_usos[kWh_12m]))</f>
        <v>5607141</v>
      </c>
      <c r="F19" s="22">
        <v>0.02</v>
      </c>
      <c r="G19" s="13">
        <f t="shared" si="0"/>
        <v>112.14282</v>
      </c>
      <c r="H19" s="23">
        <f t="shared" si="1"/>
        <v>14971.066470000002</v>
      </c>
      <c r="I19" s="24">
        <v>3000</v>
      </c>
      <c r="J19" s="15">
        <f t="shared" si="2"/>
        <v>0.20038652597071796</v>
      </c>
      <c r="K19" s="15">
        <f t="shared" si="3"/>
        <v>12.335710199999999</v>
      </c>
      <c r="L19" s="20">
        <v>3</v>
      </c>
      <c r="M19" s="15">
        <f t="shared" si="4"/>
        <v>8.2428564000000009</v>
      </c>
      <c r="N19" s="19" t="str">
        <f t="shared" si="5"/>
        <v>Alta</v>
      </c>
      <c r="O19" s="9" t="s">
        <v>399</v>
      </c>
      <c r="P19" s="9" t="s">
        <v>364</v>
      </c>
      <c r="Q19" s="9" t="s">
        <v>357</v>
      </c>
      <c r="R19" s="9" t="s">
        <v>400</v>
      </c>
      <c r="S19" s="18">
        <f t="shared" si="6"/>
        <v>4</v>
      </c>
      <c r="T19" s="13">
        <f t="shared" si="7"/>
        <v>28.035705</v>
      </c>
    </row>
    <row r="20" spans="1:20" ht="45" customHeight="1" x14ac:dyDescent="0.3">
      <c r="A20" s="9" t="s">
        <v>401</v>
      </c>
      <c r="B20" s="9" t="s">
        <v>402</v>
      </c>
      <c r="C20" s="9" t="s">
        <v>364</v>
      </c>
      <c r="D20" s="9" t="s">
        <v>403</v>
      </c>
      <c r="E20" s="13">
        <f>IF(A20="","",SUMPRODUCT(ISNUMBER(SEARCH(tbl_usos[ID_Uso]&amp;";",C20&amp;";"))*tbl_usos[kWh_12m]))</f>
        <v>0</v>
      </c>
      <c r="F20" s="22">
        <v>0</v>
      </c>
      <c r="G20" s="13">
        <f t="shared" si="0"/>
        <v>0</v>
      </c>
      <c r="H20" s="23">
        <f t="shared" si="1"/>
        <v>0</v>
      </c>
      <c r="I20" s="24">
        <v>8000</v>
      </c>
      <c r="J20" s="15" t="str">
        <f t="shared" si="2"/>
        <v/>
      </c>
      <c r="K20" s="15">
        <f t="shared" si="3"/>
        <v>0</v>
      </c>
      <c r="L20" s="20">
        <v>2</v>
      </c>
      <c r="M20" s="15">
        <f t="shared" si="4"/>
        <v>2</v>
      </c>
      <c r="N20" s="19" t="str">
        <f t="shared" si="5"/>
        <v>Baixa</v>
      </c>
      <c r="O20" s="9" t="s">
        <v>404</v>
      </c>
      <c r="P20" s="9" t="s">
        <v>364</v>
      </c>
      <c r="Q20" s="9" t="s">
        <v>365</v>
      </c>
      <c r="R20" s="9" t="s">
        <v>405</v>
      </c>
      <c r="S20" s="18">
        <f t="shared" si="6"/>
        <v>0</v>
      </c>
      <c r="T20" s="13">
        <f t="shared" si="7"/>
        <v>0</v>
      </c>
    </row>
  </sheetData>
  <conditionalFormatting sqref="N5:N220">
    <cfRule type="expression" dxfId="2" priority="1">
      <formula>ISNUMBER(SEARCH("Alta",N5))</formula>
    </cfRule>
    <cfRule type="expression" dxfId="1" priority="2">
      <formula>ISNUMBER(SEARCH("Média",N5))</formula>
    </cfRule>
    <cfRule type="expression" dxfId="0" priority="3">
      <formula>ISNUMBER(SEARCH("Baixa",N5))</formula>
    </cfRule>
  </conditionalFormatting>
  <dataValidations count="3">
    <dataValidation type="list" allowBlank="1" showErrorMessage="1" errorTitle="Valor inválido" error="Valor fora da lista controlada (ver folha Listas)." sqref="D5:D220" xr:uid="{00000000-0002-0000-0800-000000000000}">
      <formula1>lst_TipoOport</formula1>
    </dataValidation>
    <dataValidation type="list" allowBlank="1" showErrorMessage="1" errorTitle="Valor inválido" error="Valor fora da lista controlada (ver folha Listas)." sqref="L5:L220" xr:uid="{00000000-0002-0000-0800-000001000000}">
      <formula1>lst_Facilidade</formula1>
    </dataValidation>
    <dataValidation type="list" allowBlank="1" showErrorMessage="1" errorTitle="Valor inválido" error="Valor fora da lista controlada (ver folha Listas)." sqref="Q5:Q220" xr:uid="{00000000-0002-0000-0800-000002000000}">
      <formula1>lst_EstadoOport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11" customWidth="1"/>
    <col min="5" max="5" width="10" customWidth="1"/>
    <col min="6" max="6" width="11" customWidth="1"/>
    <col min="7" max="7" width="50" customWidth="1"/>
  </cols>
  <sheetData>
    <row r="1" spans="1:7" ht="17.399999999999999" x14ac:dyDescent="0.3">
      <c r="A1" s="1" t="s">
        <v>406</v>
      </c>
    </row>
    <row r="2" spans="1:7" x14ac:dyDescent="0.3">
      <c r="A2" s="2" t="s">
        <v>407</v>
      </c>
    </row>
    <row r="4" spans="1:7" ht="39.6" x14ac:dyDescent="0.3">
      <c r="A4" s="8" t="s">
        <v>162</v>
      </c>
      <c r="B4" s="11" t="s">
        <v>135</v>
      </c>
      <c r="C4" s="8" t="s">
        <v>408</v>
      </c>
      <c r="D4" s="11" t="s">
        <v>409</v>
      </c>
      <c r="E4" s="11" t="s">
        <v>410</v>
      </c>
      <c r="F4" s="11" t="s">
        <v>411</v>
      </c>
      <c r="G4" s="8" t="s">
        <v>412</v>
      </c>
    </row>
    <row r="5" spans="1:7" ht="18" customHeight="1" x14ac:dyDescent="0.3">
      <c r="A5" s="9" t="s">
        <v>164</v>
      </c>
      <c r="B5" s="13">
        <f>IF(A5="","",INDEX(tbl_usos[kWh_12m],MATCH(A5,tbl_usos[ID_Uso],0)))</f>
        <v>3137163</v>
      </c>
      <c r="C5" s="25">
        <v>1</v>
      </c>
      <c r="D5" s="13">
        <f t="shared" ref="D5:D13" si="0">IF(A5="","",B5*(1+cresc_2027*C5))</f>
        <v>3513622.5600000005</v>
      </c>
      <c r="E5" s="13">
        <f>IF(A5="","",SUMPRODUCT(ISNUMBER(SEARCH(A5&amp;";",tbl_oportunidades[Usos_Afetados]&amp;";"))*((tbl_oportunidades[Estado]="Aprovada")+(tbl_oportunidades[Estado]="Em curso"))*tbl_oportunidades[Poupanca_MWh_Parcela]))</f>
        <v>28.035705</v>
      </c>
      <c r="F5" s="13">
        <f t="shared" ref="F5:F13" si="1">IF(A5="","",D5-E5*1000)</f>
        <v>3485586.8550000004</v>
      </c>
      <c r="G5" s="9" t="s">
        <v>413</v>
      </c>
    </row>
    <row r="6" spans="1:7" ht="18" customHeight="1" x14ac:dyDescent="0.3">
      <c r="A6" s="9" t="s">
        <v>167</v>
      </c>
      <c r="B6" s="13">
        <f>IF(A6="","",INDEX(tbl_usos[kWh_12m],MATCH(A6,tbl_usos[ID_Uso],0)))</f>
        <v>2186144</v>
      </c>
      <c r="C6" s="25">
        <v>1</v>
      </c>
      <c r="D6" s="13">
        <f t="shared" si="0"/>
        <v>2448481.2800000003</v>
      </c>
      <c r="E6" s="13">
        <f>IF(A6="","",SUMPRODUCT(ISNUMBER(SEARCH(A6&amp;";",tbl_oportunidades[Usos_Afetados]&amp;";"))*((tbl_oportunidades[Estado]="Aprovada")+(tbl_oportunidades[Estado]="Em curso"))*tbl_oportunidades[Poupanca_MWh_Parcela]))</f>
        <v>312.23442499999999</v>
      </c>
      <c r="F6" s="13">
        <f t="shared" si="1"/>
        <v>2136246.8550000004</v>
      </c>
      <c r="G6" s="9" t="s">
        <v>414</v>
      </c>
    </row>
    <row r="7" spans="1:7" ht="18" customHeight="1" x14ac:dyDescent="0.3">
      <c r="A7" s="9" t="s">
        <v>168</v>
      </c>
      <c r="B7" s="13">
        <f>IF(A7="","",INDEX(tbl_usos[kWh_12m],MATCH(A7,tbl_usos[ID_Uso],0)))</f>
        <v>1035153</v>
      </c>
      <c r="C7" s="25">
        <v>1</v>
      </c>
      <c r="D7" s="13">
        <f t="shared" si="0"/>
        <v>1159371.3600000001</v>
      </c>
      <c r="E7" s="13">
        <f>IF(A7="","",SUMPRODUCT(ISNUMBER(SEARCH(A7&amp;";",tbl_oportunidades[Usos_Afetados]&amp;";"))*((tbl_oportunidades[Estado]="Aprovada")+(tbl_oportunidades[Estado]="Em curso"))*tbl_oportunidades[Poupanca_MWh_Parcela]))</f>
        <v>155.27294999999998</v>
      </c>
      <c r="F7" s="13">
        <f t="shared" si="1"/>
        <v>1004098.4100000001</v>
      </c>
      <c r="G7" s="9" t="s">
        <v>415</v>
      </c>
    </row>
    <row r="8" spans="1:7" ht="18" customHeight="1" x14ac:dyDescent="0.3">
      <c r="A8" s="9" t="s">
        <v>169</v>
      </c>
      <c r="B8" s="13">
        <f>IF(A8="","",INDEX(tbl_usos[kWh_12m],MATCH(A8,tbl_usos[ID_Uso],0)))</f>
        <v>585183</v>
      </c>
      <c r="C8" s="25">
        <v>1</v>
      </c>
      <c r="D8" s="13">
        <f t="shared" si="0"/>
        <v>655404.96000000008</v>
      </c>
      <c r="E8" s="13">
        <f>IF(A8="","",SUMPRODUCT(ISNUMBER(SEARCH(A8&amp;";",tbl_oportunidades[Usos_Afetados]&amp;";"))*((tbl_oportunidades[Estado]="Aprovada")+(tbl_oportunidades[Estado]="Em curso"))*tbl_oportunidades[Poupanca_MWh_Parcela]))</f>
        <v>187.25855999999999</v>
      </c>
      <c r="F8" s="13">
        <f t="shared" si="1"/>
        <v>468146.40000000008</v>
      </c>
      <c r="G8" s="9" t="s">
        <v>416</v>
      </c>
    </row>
    <row r="9" spans="1:7" ht="18" customHeight="1" x14ac:dyDescent="0.3">
      <c r="A9" s="9" t="s">
        <v>170</v>
      </c>
      <c r="B9" s="13">
        <f>IF(A9="","",INDEX(tbl_usos[kWh_12m],MATCH(A9,tbl_usos[ID_Uso],0)))</f>
        <v>553890</v>
      </c>
      <c r="C9" s="25">
        <v>0.1</v>
      </c>
      <c r="D9" s="13">
        <f t="shared" si="0"/>
        <v>560536.68000000005</v>
      </c>
      <c r="E9" s="13">
        <f>IF(A9="","",SUMPRODUCT(ISNUMBER(SEARCH(A9&amp;";",tbl_oportunidades[Usos_Afetados]&amp;";"))*((tbl_oportunidades[Estado]="Aprovada")+(tbl_oportunidades[Estado]="Em curso"))*tbl_oportunidades[Poupanca_MWh_Parcela]))</f>
        <v>55.389000000000003</v>
      </c>
      <c r="F9" s="13">
        <f t="shared" si="1"/>
        <v>505147.68000000005</v>
      </c>
      <c r="G9" s="9" t="s">
        <v>417</v>
      </c>
    </row>
    <row r="10" spans="1:7" ht="18" customHeight="1" x14ac:dyDescent="0.3">
      <c r="A10" s="9" t="s">
        <v>171</v>
      </c>
      <c r="B10" s="13">
        <f>IF(A10="","",INDEX(tbl_usos[kWh_12m],MATCH(A10,tbl_usos[ID_Uso],0)))</f>
        <v>163765</v>
      </c>
      <c r="C10" s="25">
        <v>0.5</v>
      </c>
      <c r="D10" s="13">
        <f t="shared" si="0"/>
        <v>173590.90000000002</v>
      </c>
      <c r="E10" s="13">
        <f>IF(A10="","",SUMPRODUCT(ISNUMBER(SEARCH(A10&amp;";",tbl_oportunidades[Usos_Afetados]&amp;";"))*((tbl_oportunidades[Estado]="Aprovada")+(tbl_oportunidades[Estado]="Em curso"))*tbl_oportunidades[Poupanca_MWh_Parcela]))</f>
        <v>28.035705</v>
      </c>
      <c r="F10" s="13">
        <f t="shared" si="1"/>
        <v>145555.19500000001</v>
      </c>
      <c r="G10" s="9" t="s">
        <v>418</v>
      </c>
    </row>
    <row r="11" spans="1:7" ht="18" customHeight="1" x14ac:dyDescent="0.3">
      <c r="A11" s="9" t="s">
        <v>172</v>
      </c>
      <c r="B11" s="13">
        <f>IF(A11="","",INDEX(tbl_usos[kWh_12m],MATCH(A11,tbl_usos[ID_Uso],0)))</f>
        <v>120069</v>
      </c>
      <c r="C11" s="25">
        <v>0.5</v>
      </c>
      <c r="D11" s="13">
        <f t="shared" si="0"/>
        <v>127273.14</v>
      </c>
      <c r="E11" s="13">
        <f>IF(A11="","",SUMPRODUCT(ISNUMBER(SEARCH(A11&amp;";",tbl_oportunidades[Usos_Afetados]&amp;";"))*((tbl_oportunidades[Estado]="Aprovada")+(tbl_oportunidades[Estado]="Em curso"))*tbl_oportunidades[Poupanca_MWh_Parcela]))</f>
        <v>28.035705</v>
      </c>
      <c r="F11" s="13">
        <f t="shared" si="1"/>
        <v>99237.434999999998</v>
      </c>
      <c r="G11" s="9" t="s">
        <v>419</v>
      </c>
    </row>
    <row r="12" spans="1:7" ht="18" customHeight="1" x14ac:dyDescent="0.3">
      <c r="A12" s="9" t="s">
        <v>173</v>
      </c>
      <c r="B12" s="13">
        <f>IF(A12="","",INDEX(tbl_usos[kWh_12m],MATCH(A12,tbl_usos[ID_Uso],0)))</f>
        <v>32091</v>
      </c>
      <c r="C12" s="25">
        <v>0</v>
      </c>
      <c r="D12" s="13">
        <f t="shared" si="0"/>
        <v>32091</v>
      </c>
      <c r="E12" s="13">
        <f>IF(A12="","",SUMPRODUCT(ISNUMBER(SEARCH(A12&amp;";",tbl_oportunidades[Usos_Afetados]&amp;";"))*((tbl_oportunidades[Estado]="Aprovada")+(tbl_oportunidades[Estado]="Em curso"))*tbl_oportunidades[Poupanca_MWh_Parcela]))</f>
        <v>0</v>
      </c>
      <c r="F12" s="13">
        <f t="shared" si="1"/>
        <v>32091</v>
      </c>
      <c r="G12" s="9" t="s">
        <v>420</v>
      </c>
    </row>
    <row r="13" spans="1:7" ht="18" customHeight="1" x14ac:dyDescent="0.3">
      <c r="A13" s="9" t="s">
        <v>176</v>
      </c>
      <c r="B13" s="13">
        <f>IF(A13="","",INDEX(tbl_usos[kWh_12m],MATCH(A13,tbl_usos[ID_Uso],0)))</f>
        <v>2185</v>
      </c>
      <c r="C13" s="25">
        <v>0</v>
      </c>
      <c r="D13" s="13">
        <f t="shared" si="0"/>
        <v>2185</v>
      </c>
      <c r="E13" s="13">
        <f>IF(A13="","",SUMPRODUCT(ISNUMBER(SEARCH(A13&amp;";",tbl_oportunidades[Usos_Afetados]&amp;";"))*((tbl_oportunidades[Estado]="Aprovada")+(tbl_oportunidades[Estado]="Em curso"))*tbl_oportunidades[Poupanca_MWh_Parcela]))</f>
        <v>0</v>
      </c>
      <c r="F13" s="13">
        <f t="shared" si="1"/>
        <v>2185</v>
      </c>
      <c r="G13" s="9" t="s">
        <v>421</v>
      </c>
    </row>
    <row r="15" spans="1:7" x14ac:dyDescent="0.3">
      <c r="A15" s="26" t="s">
        <v>422</v>
      </c>
      <c r="B15" s="27">
        <f>SUM(B5:B13)</f>
        <v>7815643</v>
      </c>
      <c r="D15" s="27">
        <f>SUM(D5:D13)</f>
        <v>8672556.8800000008</v>
      </c>
      <c r="E15" s="27">
        <f>SUM(E5:E13)</f>
        <v>794.26204999999993</v>
      </c>
      <c r="F15" s="27">
        <f>SUM(F5:F13)</f>
        <v>7878294.830000001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1"/>
  <sheetViews>
    <sheetView showGridLines="0" workbookViewId="0"/>
  </sheetViews>
  <sheetFormatPr defaultRowHeight="14.4" x14ac:dyDescent="0.3"/>
  <cols>
    <col min="1" max="1" width="26" customWidth="1"/>
  </cols>
  <sheetData>
    <row r="1" spans="1:10" ht="17.399999999999999" x14ac:dyDescent="0.3">
      <c r="A1" s="1" t="s">
        <v>423</v>
      </c>
    </row>
    <row r="3" spans="1:10" ht="30" customHeight="1" x14ac:dyDescent="0.3">
      <c r="A3" s="5" t="s">
        <v>424</v>
      </c>
      <c r="B3" s="32" t="s">
        <v>425</v>
      </c>
      <c r="C3" s="33"/>
      <c r="D3" s="33"/>
      <c r="E3" s="33"/>
      <c r="F3" s="33"/>
      <c r="G3" s="33"/>
      <c r="H3" s="33"/>
      <c r="I3" s="33"/>
      <c r="J3" s="33"/>
    </row>
    <row r="4" spans="1:10" ht="30" customHeight="1" x14ac:dyDescent="0.3">
      <c r="A4" s="5" t="s">
        <v>426</v>
      </c>
      <c r="B4" s="32" t="s">
        <v>427</v>
      </c>
      <c r="C4" s="33"/>
      <c r="D4" s="33"/>
      <c r="E4" s="33"/>
      <c r="F4" s="33"/>
      <c r="G4" s="33"/>
      <c r="H4" s="33"/>
      <c r="I4" s="33"/>
      <c r="J4" s="33"/>
    </row>
    <row r="5" spans="1:10" ht="30" customHeight="1" x14ac:dyDescent="0.3">
      <c r="A5" s="5" t="s">
        <v>428</v>
      </c>
      <c r="B5" s="32" t="s">
        <v>429</v>
      </c>
      <c r="C5" s="33"/>
      <c r="D5" s="33"/>
      <c r="E5" s="33"/>
      <c r="F5" s="33"/>
      <c r="G5" s="33"/>
      <c r="H5" s="33"/>
      <c r="I5" s="33"/>
      <c r="J5" s="33"/>
    </row>
    <row r="6" spans="1:10" ht="15" customHeight="1" x14ac:dyDescent="0.3">
      <c r="A6" s="5" t="s">
        <v>430</v>
      </c>
      <c r="B6" s="32" t="s">
        <v>431</v>
      </c>
      <c r="C6" s="33"/>
      <c r="D6" s="33"/>
      <c r="E6" s="33"/>
      <c r="F6" s="33"/>
      <c r="G6" s="33"/>
      <c r="H6" s="33"/>
      <c r="I6" s="33"/>
      <c r="J6" s="33"/>
    </row>
    <row r="7" spans="1:10" ht="15" customHeight="1" x14ac:dyDescent="0.3">
      <c r="A7" s="5" t="s">
        <v>432</v>
      </c>
      <c r="B7" s="32" t="s">
        <v>433</v>
      </c>
      <c r="C7" s="33"/>
      <c r="D7" s="33"/>
      <c r="E7" s="33"/>
      <c r="F7" s="33"/>
      <c r="G7" s="33"/>
      <c r="H7" s="33"/>
      <c r="I7" s="33"/>
      <c r="J7" s="33"/>
    </row>
    <row r="8" spans="1:10" ht="15" customHeight="1" x14ac:dyDescent="0.3">
      <c r="A8" s="5" t="s">
        <v>434</v>
      </c>
      <c r="B8" s="32" t="s">
        <v>435</v>
      </c>
      <c r="C8" s="33"/>
      <c r="D8" s="33"/>
      <c r="E8" s="33"/>
      <c r="F8" s="33"/>
      <c r="G8" s="33"/>
      <c r="H8" s="33"/>
      <c r="I8" s="33"/>
      <c r="J8" s="33"/>
    </row>
    <row r="9" spans="1:10" ht="15" customHeight="1" x14ac:dyDescent="0.3">
      <c r="A9" s="5" t="s">
        <v>436</v>
      </c>
      <c r="B9" s="32" t="s">
        <v>437</v>
      </c>
      <c r="C9" s="33"/>
      <c r="D9" s="33"/>
      <c r="E9" s="33"/>
      <c r="F9" s="33"/>
      <c r="G9" s="33"/>
      <c r="H9" s="33"/>
      <c r="I9" s="33"/>
      <c r="J9" s="33"/>
    </row>
    <row r="10" spans="1:10" ht="30" customHeight="1" x14ac:dyDescent="0.3">
      <c r="A10" s="5" t="s">
        <v>438</v>
      </c>
      <c r="B10" s="32" t="s">
        <v>439</v>
      </c>
      <c r="C10" s="33"/>
      <c r="D10" s="33"/>
      <c r="E10" s="33"/>
      <c r="F10" s="33"/>
      <c r="G10" s="33"/>
      <c r="H10" s="33"/>
      <c r="I10" s="33"/>
      <c r="J10" s="33"/>
    </row>
    <row r="11" spans="1:10" ht="30" customHeight="1" x14ac:dyDescent="0.3">
      <c r="A11" s="5" t="s">
        <v>440</v>
      </c>
      <c r="B11" s="32" t="s">
        <v>441</v>
      </c>
      <c r="C11" s="33"/>
      <c r="D11" s="33"/>
      <c r="E11" s="33"/>
      <c r="F11" s="33"/>
      <c r="G11" s="33"/>
      <c r="H11" s="33"/>
      <c r="I11" s="33"/>
      <c r="J11" s="33"/>
    </row>
  </sheetData>
  <mergeCells count="9">
    <mergeCell ref="B7:J7"/>
    <mergeCell ref="B11:J11"/>
    <mergeCell ref="B3:J3"/>
    <mergeCell ref="B5:J5"/>
    <mergeCell ref="B10:J10"/>
    <mergeCell ref="B9:J9"/>
    <mergeCell ref="B8:J8"/>
    <mergeCell ref="B4:J4"/>
    <mergeCell ref="B6:J6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3" width="16" customWidth="1"/>
    <col min="4" max="4" width="21" customWidth="1"/>
    <col min="5" max="6" width="16" customWidth="1"/>
  </cols>
  <sheetData>
    <row r="1" spans="1:6" x14ac:dyDescent="0.3">
      <c r="A1" s="28" t="s">
        <v>442</v>
      </c>
    </row>
    <row r="2" spans="1:6" x14ac:dyDescent="0.3">
      <c r="A2" s="29" t="s">
        <v>443</v>
      </c>
      <c r="B2" s="29" t="s">
        <v>444</v>
      </c>
      <c r="C2" s="29" t="s">
        <v>181</v>
      </c>
      <c r="D2" s="29" t="s">
        <v>445</v>
      </c>
      <c r="E2" s="29" t="s">
        <v>446</v>
      </c>
      <c r="F2" s="29" t="s">
        <v>321</v>
      </c>
    </row>
    <row r="3" spans="1:6" x14ac:dyDescent="0.3">
      <c r="A3" s="30">
        <v>46387</v>
      </c>
      <c r="B3" s="6" t="s">
        <v>447</v>
      </c>
      <c r="C3" s="6" t="s">
        <v>164</v>
      </c>
      <c r="D3" s="6" t="s">
        <v>344</v>
      </c>
      <c r="E3" s="6" t="s">
        <v>365</v>
      </c>
      <c r="F3" s="6">
        <v>1</v>
      </c>
    </row>
    <row r="4" spans="1:6" x14ac:dyDescent="0.3">
      <c r="B4" s="6" t="s">
        <v>448</v>
      </c>
      <c r="C4" s="6" t="s">
        <v>167</v>
      </c>
      <c r="D4" s="6" t="s">
        <v>331</v>
      </c>
      <c r="E4" s="6" t="s">
        <v>357</v>
      </c>
      <c r="F4" s="6">
        <v>2</v>
      </c>
    </row>
    <row r="5" spans="1:6" ht="26.4" x14ac:dyDescent="0.3">
      <c r="B5" s="6" t="s">
        <v>449</v>
      </c>
      <c r="C5" s="6" t="s">
        <v>168</v>
      </c>
      <c r="D5" s="6" t="s">
        <v>354</v>
      </c>
      <c r="E5" s="6" t="s">
        <v>334</v>
      </c>
      <c r="F5" s="6">
        <v>3</v>
      </c>
    </row>
    <row r="6" spans="1:6" x14ac:dyDescent="0.3">
      <c r="B6" s="6" t="s">
        <v>450</v>
      </c>
      <c r="C6" s="6" t="s">
        <v>169</v>
      </c>
      <c r="D6" s="6" t="s">
        <v>384</v>
      </c>
      <c r="E6" s="6" t="s">
        <v>339</v>
      </c>
    </row>
    <row r="7" spans="1:6" x14ac:dyDescent="0.3">
      <c r="B7" s="6" t="s">
        <v>451</v>
      </c>
      <c r="C7" s="6" t="s">
        <v>170</v>
      </c>
      <c r="D7" s="6" t="s">
        <v>403</v>
      </c>
      <c r="E7" s="6" t="s">
        <v>452</v>
      </c>
    </row>
    <row r="8" spans="1:6" x14ac:dyDescent="0.3">
      <c r="B8" s="6" t="s">
        <v>453</v>
      </c>
      <c r="C8" s="6" t="s">
        <v>171</v>
      </c>
    </row>
    <row r="9" spans="1:6" x14ac:dyDescent="0.3">
      <c r="B9" s="6" t="s">
        <v>454</v>
      </c>
      <c r="C9" s="6" t="s">
        <v>172</v>
      </c>
    </row>
    <row r="10" spans="1:6" x14ac:dyDescent="0.3">
      <c r="B10" s="6" t="s">
        <v>455</v>
      </c>
      <c r="C10" s="6" t="s">
        <v>173</v>
      </c>
    </row>
    <row r="11" spans="1:6" x14ac:dyDescent="0.3">
      <c r="B11" s="6" t="s">
        <v>456</v>
      </c>
      <c r="C11" s="6" t="s">
        <v>176</v>
      </c>
    </row>
    <row r="12" spans="1:6" x14ac:dyDescent="0.3">
      <c r="B12" s="6" t="s">
        <v>457</v>
      </c>
    </row>
    <row r="13" spans="1:6" x14ac:dyDescent="0.3">
      <c r="B13" s="6" t="s">
        <v>458</v>
      </c>
    </row>
    <row r="14" spans="1:6" x14ac:dyDescent="0.3">
      <c r="B14" s="6" t="s">
        <v>459</v>
      </c>
    </row>
    <row r="15" spans="1:6" x14ac:dyDescent="0.3">
      <c r="B15" s="6" t="s">
        <v>460</v>
      </c>
    </row>
    <row r="16" spans="1:6" x14ac:dyDescent="0.3">
      <c r="B16" s="6" t="s">
        <v>461</v>
      </c>
    </row>
    <row r="17" spans="2:2" x14ac:dyDescent="0.3">
      <c r="B17" s="6" t="s">
        <v>462</v>
      </c>
    </row>
    <row r="18" spans="2:2" x14ac:dyDescent="0.3">
      <c r="B18" s="6" t="s">
        <v>463</v>
      </c>
    </row>
    <row r="19" spans="2:2" x14ac:dyDescent="0.3">
      <c r="B19" s="6" t="s">
        <v>464</v>
      </c>
    </row>
    <row r="20" spans="2:2" x14ac:dyDescent="0.3">
      <c r="B20" s="6" t="s">
        <v>465</v>
      </c>
    </row>
    <row r="21" spans="2:2" x14ac:dyDescent="0.3">
      <c r="B21" s="6" t="s">
        <v>466</v>
      </c>
    </row>
    <row r="22" spans="2:2" x14ac:dyDescent="0.3">
      <c r="B22" s="6" t="s">
        <v>467</v>
      </c>
    </row>
    <row r="23" spans="2:2" x14ac:dyDescent="0.3">
      <c r="B23" s="6" t="s">
        <v>468</v>
      </c>
    </row>
    <row r="24" spans="2:2" x14ac:dyDescent="0.3">
      <c r="B24" s="6" t="s">
        <v>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470</v>
      </c>
      <c r="B1" s="8" t="s">
        <v>471</v>
      </c>
      <c r="C1" s="8" t="s">
        <v>472</v>
      </c>
      <c r="D1" s="8" t="s">
        <v>313</v>
      </c>
      <c r="E1" s="8" t="s">
        <v>128</v>
      </c>
      <c r="F1" s="8" t="s">
        <v>104</v>
      </c>
      <c r="G1" s="8" t="s">
        <v>473</v>
      </c>
      <c r="H1" s="8" t="s">
        <v>474</v>
      </c>
      <c r="I1" s="8" t="s">
        <v>475</v>
      </c>
    </row>
    <row r="2" spans="1:9" x14ac:dyDescent="0.3">
      <c r="A2" s="31" t="s">
        <v>50</v>
      </c>
      <c r="B2" s="31" t="s">
        <v>476</v>
      </c>
      <c r="C2" s="31" t="s">
        <v>101</v>
      </c>
      <c r="D2" s="31" t="s">
        <v>477</v>
      </c>
      <c r="E2" s="31" t="s">
        <v>478</v>
      </c>
      <c r="F2" s="31" t="s">
        <v>479</v>
      </c>
      <c r="G2" s="31"/>
      <c r="H2" s="31" t="s">
        <v>142</v>
      </c>
      <c r="I2" s="31" t="s">
        <v>480</v>
      </c>
    </row>
    <row r="3" spans="1:9" x14ac:dyDescent="0.3">
      <c r="A3" s="31" t="s">
        <v>50</v>
      </c>
      <c r="B3" s="31" t="s">
        <v>476</v>
      </c>
      <c r="C3" s="31" t="s">
        <v>102</v>
      </c>
      <c r="D3" s="31" t="s">
        <v>481</v>
      </c>
      <c r="E3" s="31" t="s">
        <v>478</v>
      </c>
      <c r="F3" s="31" t="s">
        <v>482</v>
      </c>
      <c r="G3" s="31"/>
      <c r="H3" s="31" t="s">
        <v>142</v>
      </c>
      <c r="I3" s="31"/>
    </row>
    <row r="4" spans="1:9" x14ac:dyDescent="0.3">
      <c r="A4" s="31" t="s">
        <v>50</v>
      </c>
      <c r="B4" s="31" t="s">
        <v>476</v>
      </c>
      <c r="C4" s="31" t="s">
        <v>103</v>
      </c>
      <c r="D4" s="31" t="s">
        <v>477</v>
      </c>
      <c r="E4" s="31" t="s">
        <v>478</v>
      </c>
      <c r="F4" s="31" t="s">
        <v>483</v>
      </c>
      <c r="G4" s="31"/>
      <c r="H4" s="31" t="s">
        <v>142</v>
      </c>
      <c r="I4" s="31"/>
    </row>
    <row r="5" spans="1:9" x14ac:dyDescent="0.3">
      <c r="A5" s="31" t="s">
        <v>50</v>
      </c>
      <c r="B5" s="31" t="s">
        <v>476</v>
      </c>
      <c r="C5" s="31" t="s">
        <v>104</v>
      </c>
      <c r="D5" s="31" t="s">
        <v>477</v>
      </c>
      <c r="E5" s="31" t="s">
        <v>478</v>
      </c>
      <c r="F5" s="31" t="s">
        <v>484</v>
      </c>
      <c r="G5" s="31"/>
      <c r="H5" s="31" t="s">
        <v>142</v>
      </c>
      <c r="I5" s="31"/>
    </row>
    <row r="6" spans="1:9" x14ac:dyDescent="0.3">
      <c r="A6" s="31" t="s">
        <v>50</v>
      </c>
      <c r="B6" s="31" t="s">
        <v>476</v>
      </c>
      <c r="C6" s="31" t="s">
        <v>105</v>
      </c>
      <c r="D6" s="31" t="s">
        <v>477</v>
      </c>
      <c r="E6" s="31" t="s">
        <v>478</v>
      </c>
      <c r="F6" s="31" t="s">
        <v>485</v>
      </c>
      <c r="G6" s="31"/>
      <c r="H6" s="31" t="s">
        <v>142</v>
      </c>
      <c r="I6" s="31"/>
    </row>
    <row r="7" spans="1:9" x14ac:dyDescent="0.3">
      <c r="A7" s="31" t="s">
        <v>52</v>
      </c>
      <c r="B7" s="31" t="s">
        <v>486</v>
      </c>
      <c r="C7" s="31" t="s">
        <v>126</v>
      </c>
      <c r="D7" s="31" t="s">
        <v>477</v>
      </c>
      <c r="E7" s="31" t="s">
        <v>478</v>
      </c>
      <c r="F7" s="31" t="s">
        <v>487</v>
      </c>
      <c r="G7" s="31"/>
      <c r="H7" s="31" t="s">
        <v>142</v>
      </c>
      <c r="I7" s="31" t="s">
        <v>480</v>
      </c>
    </row>
    <row r="8" spans="1:9" x14ac:dyDescent="0.3">
      <c r="A8" s="31" t="s">
        <v>52</v>
      </c>
      <c r="B8" s="31" t="s">
        <v>486</v>
      </c>
      <c r="C8" s="31" t="s">
        <v>127</v>
      </c>
      <c r="D8" s="31" t="s">
        <v>477</v>
      </c>
      <c r="E8" s="31" t="s">
        <v>478</v>
      </c>
      <c r="F8" s="31" t="s">
        <v>488</v>
      </c>
      <c r="G8" s="31"/>
      <c r="H8" s="31" t="s">
        <v>142</v>
      </c>
      <c r="I8" s="31"/>
    </row>
    <row r="9" spans="1:9" x14ac:dyDescent="0.3">
      <c r="A9" s="31" t="s">
        <v>52</v>
      </c>
      <c r="B9" s="31" t="s">
        <v>486</v>
      </c>
      <c r="C9" s="31" t="s">
        <v>128</v>
      </c>
      <c r="D9" s="31" t="s">
        <v>477</v>
      </c>
      <c r="E9" s="31" t="s">
        <v>478</v>
      </c>
      <c r="F9" s="31" t="s">
        <v>489</v>
      </c>
      <c r="G9" s="31"/>
      <c r="H9" s="31" t="s">
        <v>142</v>
      </c>
      <c r="I9" s="31"/>
    </row>
    <row r="10" spans="1:9" x14ac:dyDescent="0.3">
      <c r="A10" s="31" t="s">
        <v>52</v>
      </c>
      <c r="B10" s="31" t="s">
        <v>486</v>
      </c>
      <c r="C10" s="31" t="s">
        <v>129</v>
      </c>
      <c r="D10" s="31" t="s">
        <v>477</v>
      </c>
      <c r="E10" s="31" t="s">
        <v>478</v>
      </c>
      <c r="F10" s="31" t="s">
        <v>490</v>
      </c>
      <c r="G10" s="31"/>
      <c r="H10" s="31" t="s">
        <v>142</v>
      </c>
      <c r="I10" s="31"/>
    </row>
    <row r="11" spans="1:9" x14ac:dyDescent="0.3">
      <c r="A11" s="31" t="s">
        <v>52</v>
      </c>
      <c r="B11" s="31" t="s">
        <v>486</v>
      </c>
      <c r="C11" s="31" t="s">
        <v>130</v>
      </c>
      <c r="D11" s="31" t="s">
        <v>481</v>
      </c>
      <c r="E11" s="31" t="s">
        <v>478</v>
      </c>
      <c r="F11" s="31" t="s">
        <v>491</v>
      </c>
      <c r="G11" s="31"/>
      <c r="H11" s="31" t="s">
        <v>492</v>
      </c>
      <c r="I11" s="31"/>
    </row>
    <row r="12" spans="1:9" x14ac:dyDescent="0.3">
      <c r="A12" s="31" t="s">
        <v>52</v>
      </c>
      <c r="B12" s="31" t="s">
        <v>486</v>
      </c>
      <c r="C12" s="31" t="s">
        <v>131</v>
      </c>
      <c r="D12" s="31" t="s">
        <v>481</v>
      </c>
      <c r="E12" s="31" t="s">
        <v>478</v>
      </c>
      <c r="F12" s="31" t="s">
        <v>493</v>
      </c>
      <c r="G12" s="31"/>
      <c r="H12" s="31" t="s">
        <v>492</v>
      </c>
      <c r="I12" s="31"/>
    </row>
    <row r="13" spans="1:9" x14ac:dyDescent="0.3">
      <c r="A13" s="31" t="s">
        <v>52</v>
      </c>
      <c r="B13" s="31" t="s">
        <v>486</v>
      </c>
      <c r="C13" s="31" t="s">
        <v>132</v>
      </c>
      <c r="D13" s="31" t="s">
        <v>481</v>
      </c>
      <c r="E13" s="31" t="s">
        <v>478</v>
      </c>
      <c r="F13" s="31" t="s">
        <v>494</v>
      </c>
      <c r="G13" s="31"/>
      <c r="H13" s="31" t="s">
        <v>492</v>
      </c>
      <c r="I13" s="31"/>
    </row>
    <row r="14" spans="1:9" x14ac:dyDescent="0.3">
      <c r="A14" s="31" t="s">
        <v>52</v>
      </c>
      <c r="B14" s="31" t="s">
        <v>486</v>
      </c>
      <c r="C14" s="31" t="s">
        <v>133</v>
      </c>
      <c r="D14" s="31" t="s">
        <v>481</v>
      </c>
      <c r="E14" s="31" t="s">
        <v>478</v>
      </c>
      <c r="F14" s="31" t="s">
        <v>495</v>
      </c>
      <c r="G14" s="31"/>
      <c r="H14" s="31" t="s">
        <v>492</v>
      </c>
      <c r="I14" s="31"/>
    </row>
    <row r="15" spans="1:9" x14ac:dyDescent="0.3">
      <c r="A15" s="31" t="s">
        <v>52</v>
      </c>
      <c r="B15" s="31" t="s">
        <v>486</v>
      </c>
      <c r="C15" s="31" t="s">
        <v>134</v>
      </c>
      <c r="D15" s="31" t="s">
        <v>477</v>
      </c>
      <c r="E15" s="31" t="s">
        <v>478</v>
      </c>
      <c r="F15" s="31" t="s">
        <v>496</v>
      </c>
      <c r="G15" s="31"/>
      <c r="H15" s="31" t="s">
        <v>142</v>
      </c>
      <c r="I15" s="31"/>
    </row>
    <row r="16" spans="1:9" x14ac:dyDescent="0.3">
      <c r="A16" s="31" t="s">
        <v>52</v>
      </c>
      <c r="B16" s="31" t="s">
        <v>486</v>
      </c>
      <c r="C16" s="31" t="s">
        <v>135</v>
      </c>
      <c r="D16" s="31" t="s">
        <v>497</v>
      </c>
      <c r="E16" s="31" t="s">
        <v>498</v>
      </c>
      <c r="F16" s="31" t="s">
        <v>499</v>
      </c>
      <c r="G16" s="31"/>
      <c r="H16" s="31" t="s">
        <v>142</v>
      </c>
      <c r="I16" s="31"/>
    </row>
    <row r="17" spans="1:9" ht="26.4" x14ac:dyDescent="0.3">
      <c r="A17" s="31" t="s">
        <v>52</v>
      </c>
      <c r="B17" s="31" t="s">
        <v>486</v>
      </c>
      <c r="C17" s="31" t="s">
        <v>136</v>
      </c>
      <c r="D17" s="31" t="s">
        <v>500</v>
      </c>
      <c r="E17" s="31" t="s">
        <v>498</v>
      </c>
      <c r="F17" s="31" t="s">
        <v>501</v>
      </c>
      <c r="G17" s="31"/>
      <c r="H17" s="31" t="s">
        <v>142</v>
      </c>
      <c r="I17" s="31"/>
    </row>
    <row r="18" spans="1:9" x14ac:dyDescent="0.3">
      <c r="A18" s="31" t="s">
        <v>52</v>
      </c>
      <c r="B18" s="31" t="s">
        <v>486</v>
      </c>
      <c r="C18" s="31" t="s">
        <v>137</v>
      </c>
      <c r="D18" s="31" t="s">
        <v>481</v>
      </c>
      <c r="E18" s="31" t="s">
        <v>498</v>
      </c>
      <c r="F18" s="31" t="s">
        <v>502</v>
      </c>
      <c r="G18" s="31"/>
      <c r="H18" s="31" t="s">
        <v>142</v>
      </c>
      <c r="I18" s="31"/>
    </row>
    <row r="19" spans="1:9" ht="26.4" x14ac:dyDescent="0.3">
      <c r="A19" s="31" t="s">
        <v>54</v>
      </c>
      <c r="B19" s="31" t="s">
        <v>503</v>
      </c>
      <c r="C19" s="31" t="s">
        <v>161</v>
      </c>
      <c r="D19" s="31" t="s">
        <v>504</v>
      </c>
      <c r="E19" s="31" t="s">
        <v>478</v>
      </c>
      <c r="F19" s="31" t="s">
        <v>505</v>
      </c>
      <c r="G19" s="31"/>
      <c r="H19" s="31" t="s">
        <v>142</v>
      </c>
      <c r="I19" s="31" t="s">
        <v>506</v>
      </c>
    </row>
    <row r="20" spans="1:9" ht="26.4" x14ac:dyDescent="0.3">
      <c r="A20" s="31" t="s">
        <v>54</v>
      </c>
      <c r="B20" s="31" t="s">
        <v>503</v>
      </c>
      <c r="C20" s="31" t="s">
        <v>162</v>
      </c>
      <c r="D20" s="31" t="s">
        <v>477</v>
      </c>
      <c r="E20" s="31" t="s">
        <v>478</v>
      </c>
      <c r="F20" s="31" t="s">
        <v>507</v>
      </c>
      <c r="G20" s="31" t="s">
        <v>508</v>
      </c>
      <c r="H20" s="31" t="s">
        <v>142</v>
      </c>
      <c r="I20" s="31" t="s">
        <v>509</v>
      </c>
    </row>
    <row r="21" spans="1:9" ht="39.6" x14ac:dyDescent="0.3">
      <c r="A21" s="31" t="s">
        <v>54</v>
      </c>
      <c r="B21" s="31" t="s">
        <v>503</v>
      </c>
      <c r="C21" s="31" t="s">
        <v>126</v>
      </c>
      <c r="D21" s="31" t="s">
        <v>477</v>
      </c>
      <c r="E21" s="31" t="s">
        <v>478</v>
      </c>
      <c r="F21" s="31" t="s">
        <v>487</v>
      </c>
      <c r="G21" s="31"/>
      <c r="H21" s="31" t="s">
        <v>142</v>
      </c>
      <c r="I21" s="31" t="s">
        <v>510</v>
      </c>
    </row>
    <row r="22" spans="1:9" x14ac:dyDescent="0.3">
      <c r="A22" s="31" t="s">
        <v>54</v>
      </c>
      <c r="B22" s="31" t="s">
        <v>503</v>
      </c>
      <c r="C22" s="31" t="s">
        <v>141</v>
      </c>
      <c r="D22" s="31" t="s">
        <v>497</v>
      </c>
      <c r="E22" s="31" t="s">
        <v>478</v>
      </c>
      <c r="F22" s="31" t="s">
        <v>511</v>
      </c>
      <c r="G22" s="31"/>
      <c r="H22" s="31" t="s">
        <v>142</v>
      </c>
      <c r="I22" s="31"/>
    </row>
    <row r="23" spans="1:9" x14ac:dyDescent="0.3">
      <c r="A23" s="31" t="s">
        <v>54</v>
      </c>
      <c r="B23" s="31" t="s">
        <v>503</v>
      </c>
      <c r="C23" s="31" t="s">
        <v>105</v>
      </c>
      <c r="D23" s="31" t="s">
        <v>477</v>
      </c>
      <c r="E23" s="31" t="s">
        <v>478</v>
      </c>
      <c r="F23" s="31" t="s">
        <v>512</v>
      </c>
      <c r="G23" s="31"/>
      <c r="H23" s="31" t="s">
        <v>142</v>
      </c>
      <c r="I23" s="31"/>
    </row>
    <row r="24" spans="1:9" x14ac:dyDescent="0.3">
      <c r="A24" s="31" t="s">
        <v>54</v>
      </c>
      <c r="B24" s="31" t="s">
        <v>503</v>
      </c>
      <c r="C24" s="31" t="s">
        <v>163</v>
      </c>
      <c r="D24" s="31" t="s">
        <v>477</v>
      </c>
      <c r="E24" s="31" t="s">
        <v>478</v>
      </c>
      <c r="F24" s="31" t="s">
        <v>513</v>
      </c>
      <c r="G24" s="31"/>
      <c r="H24" s="31" t="s">
        <v>142</v>
      </c>
      <c r="I24" s="31"/>
    </row>
    <row r="25" spans="1:9" x14ac:dyDescent="0.3">
      <c r="A25" s="31" t="s">
        <v>56</v>
      </c>
      <c r="B25" s="31" t="s">
        <v>514</v>
      </c>
      <c r="C25" s="31" t="s">
        <v>162</v>
      </c>
      <c r="D25" s="31" t="s">
        <v>477</v>
      </c>
      <c r="E25" s="31" t="s">
        <v>478</v>
      </c>
      <c r="F25" s="31" t="s">
        <v>515</v>
      </c>
      <c r="G25" s="31"/>
      <c r="H25" s="31" t="s">
        <v>142</v>
      </c>
      <c r="I25" s="31" t="s">
        <v>480</v>
      </c>
    </row>
    <row r="26" spans="1:9" x14ac:dyDescent="0.3">
      <c r="A26" s="31" t="s">
        <v>56</v>
      </c>
      <c r="B26" s="31" t="s">
        <v>514</v>
      </c>
      <c r="C26" s="31" t="s">
        <v>181</v>
      </c>
      <c r="D26" s="31" t="s">
        <v>477</v>
      </c>
      <c r="E26" s="31" t="s">
        <v>478</v>
      </c>
      <c r="F26" s="31" t="s">
        <v>484</v>
      </c>
      <c r="G26" s="31"/>
      <c r="H26" s="31" t="s">
        <v>142</v>
      </c>
      <c r="I26" s="31"/>
    </row>
    <row r="27" spans="1:9" x14ac:dyDescent="0.3">
      <c r="A27" s="31" t="s">
        <v>56</v>
      </c>
      <c r="B27" s="31" t="s">
        <v>514</v>
      </c>
      <c r="C27" s="31" t="s">
        <v>127</v>
      </c>
      <c r="D27" s="31" t="s">
        <v>477</v>
      </c>
      <c r="E27" s="31" t="s">
        <v>478</v>
      </c>
      <c r="F27" s="31" t="s">
        <v>487</v>
      </c>
      <c r="G27" s="31"/>
      <c r="H27" s="31" t="s">
        <v>142</v>
      </c>
      <c r="I27" s="31"/>
    </row>
    <row r="28" spans="1:9" x14ac:dyDescent="0.3">
      <c r="A28" s="31" t="s">
        <v>56</v>
      </c>
      <c r="B28" s="31" t="s">
        <v>514</v>
      </c>
      <c r="C28" s="31" t="s">
        <v>182</v>
      </c>
      <c r="D28" s="31" t="s">
        <v>477</v>
      </c>
      <c r="E28" s="31" t="s">
        <v>478</v>
      </c>
      <c r="F28" s="31" t="s">
        <v>516</v>
      </c>
      <c r="G28" s="31"/>
      <c r="H28" s="31" t="s">
        <v>142</v>
      </c>
      <c r="I28" s="31"/>
    </row>
    <row r="29" spans="1:9" x14ac:dyDescent="0.3">
      <c r="A29" s="31" t="s">
        <v>56</v>
      </c>
      <c r="B29" s="31" t="s">
        <v>514</v>
      </c>
      <c r="C29" s="31" t="s">
        <v>135</v>
      </c>
      <c r="D29" s="31" t="s">
        <v>497</v>
      </c>
      <c r="E29" s="31" t="s">
        <v>498</v>
      </c>
      <c r="F29" s="31" t="s">
        <v>517</v>
      </c>
      <c r="G29" s="31"/>
      <c r="H29" s="31" t="s">
        <v>142</v>
      </c>
      <c r="I29" s="31"/>
    </row>
    <row r="30" spans="1:9" ht="26.4" x14ac:dyDescent="0.3">
      <c r="A30" s="31" t="s">
        <v>56</v>
      </c>
      <c r="B30" s="31" t="s">
        <v>514</v>
      </c>
      <c r="C30" s="31" t="s">
        <v>183</v>
      </c>
      <c r="D30" s="31" t="s">
        <v>500</v>
      </c>
      <c r="E30" s="31" t="s">
        <v>498</v>
      </c>
      <c r="F30" s="31" t="s">
        <v>518</v>
      </c>
      <c r="G30" s="31"/>
      <c r="H30" s="31" t="s">
        <v>142</v>
      </c>
      <c r="I30" s="31"/>
    </row>
    <row r="31" spans="1:9" x14ac:dyDescent="0.3">
      <c r="A31" s="31" t="s">
        <v>56</v>
      </c>
      <c r="B31" s="31" t="s">
        <v>514</v>
      </c>
      <c r="C31" s="31" t="s">
        <v>184</v>
      </c>
      <c r="D31" s="31" t="s">
        <v>519</v>
      </c>
      <c r="E31" s="31" t="s">
        <v>498</v>
      </c>
      <c r="F31" s="31" t="s">
        <v>520</v>
      </c>
      <c r="G31" s="31"/>
      <c r="H31" s="31" t="s">
        <v>142</v>
      </c>
      <c r="I31" s="31"/>
    </row>
    <row r="32" spans="1:9" ht="26.4" x14ac:dyDescent="0.3">
      <c r="A32" s="31" t="s">
        <v>56</v>
      </c>
      <c r="B32" s="31" t="s">
        <v>514</v>
      </c>
      <c r="C32" s="31" t="s">
        <v>185</v>
      </c>
      <c r="D32" s="31" t="s">
        <v>500</v>
      </c>
      <c r="E32" s="31" t="s">
        <v>498</v>
      </c>
      <c r="F32" s="31" t="s">
        <v>521</v>
      </c>
      <c r="G32" s="31"/>
      <c r="H32" s="31" t="s">
        <v>142</v>
      </c>
      <c r="I32" s="31"/>
    </row>
    <row r="33" spans="1:9" ht="26.4" x14ac:dyDescent="0.3">
      <c r="A33" s="31" t="s">
        <v>56</v>
      </c>
      <c r="B33" s="31" t="s">
        <v>514</v>
      </c>
      <c r="C33" s="31" t="s">
        <v>186</v>
      </c>
      <c r="D33" s="31" t="s">
        <v>481</v>
      </c>
      <c r="E33" s="31" t="s">
        <v>498</v>
      </c>
      <c r="F33" s="31" t="s">
        <v>522</v>
      </c>
      <c r="G33" s="31"/>
      <c r="H33" s="31" t="s">
        <v>142</v>
      </c>
      <c r="I33" s="31"/>
    </row>
    <row r="34" spans="1:9" x14ac:dyDescent="0.3">
      <c r="A34" s="31" t="s">
        <v>56</v>
      </c>
      <c r="B34" s="31" t="s">
        <v>514</v>
      </c>
      <c r="C34" s="31" t="s">
        <v>187</v>
      </c>
      <c r="D34" s="31" t="s">
        <v>477</v>
      </c>
      <c r="E34" s="31" t="s">
        <v>498</v>
      </c>
      <c r="F34" s="31" t="s">
        <v>523</v>
      </c>
      <c r="G34" s="31"/>
      <c r="H34" s="31" t="s">
        <v>142</v>
      </c>
      <c r="I34" s="31"/>
    </row>
    <row r="35" spans="1:9" x14ac:dyDescent="0.3">
      <c r="A35" s="31" t="s">
        <v>56</v>
      </c>
      <c r="B35" s="31" t="s">
        <v>514</v>
      </c>
      <c r="C35" s="31" t="s">
        <v>188</v>
      </c>
      <c r="D35" s="31" t="s">
        <v>477</v>
      </c>
      <c r="E35" s="31" t="s">
        <v>498</v>
      </c>
      <c r="F35" s="31" t="s">
        <v>524</v>
      </c>
      <c r="G35" s="31"/>
      <c r="H35" s="31" t="s">
        <v>142</v>
      </c>
      <c r="I35" s="31"/>
    </row>
    <row r="36" spans="1:9" x14ac:dyDescent="0.3">
      <c r="A36" s="31" t="s">
        <v>56</v>
      </c>
      <c r="B36" s="31" t="s">
        <v>514</v>
      </c>
      <c r="C36" s="31" t="s">
        <v>189</v>
      </c>
      <c r="D36" s="31" t="s">
        <v>477</v>
      </c>
      <c r="E36" s="31" t="s">
        <v>498</v>
      </c>
      <c r="F36" s="31" t="s">
        <v>525</v>
      </c>
      <c r="G36" s="31"/>
      <c r="H36" s="31" t="s">
        <v>142</v>
      </c>
      <c r="I36" s="31"/>
    </row>
    <row r="37" spans="1:9" x14ac:dyDescent="0.3">
      <c r="A37" s="31" t="s">
        <v>56</v>
      </c>
      <c r="B37" s="31" t="s">
        <v>514</v>
      </c>
      <c r="C37" s="31" t="s">
        <v>163</v>
      </c>
      <c r="D37" s="31" t="s">
        <v>477</v>
      </c>
      <c r="E37" s="31" t="s">
        <v>478</v>
      </c>
      <c r="F37" s="31" t="s">
        <v>526</v>
      </c>
      <c r="G37" s="31"/>
      <c r="H37" s="31" t="s">
        <v>142</v>
      </c>
      <c r="I37" s="31"/>
    </row>
    <row r="38" spans="1:9" x14ac:dyDescent="0.3">
      <c r="A38" s="31" t="s">
        <v>56</v>
      </c>
      <c r="B38" s="31" t="s">
        <v>514</v>
      </c>
      <c r="C38" s="31" t="s">
        <v>190</v>
      </c>
      <c r="D38" s="31" t="s">
        <v>477</v>
      </c>
      <c r="E38" s="31" t="s">
        <v>478</v>
      </c>
      <c r="F38" s="31" t="s">
        <v>527</v>
      </c>
      <c r="G38" s="31"/>
      <c r="H38" s="31" t="s">
        <v>492</v>
      </c>
      <c r="I38" s="31"/>
    </row>
    <row r="39" spans="1:9" x14ac:dyDescent="0.3">
      <c r="A39" s="31" t="s">
        <v>58</v>
      </c>
      <c r="B39" s="31" t="s">
        <v>528</v>
      </c>
      <c r="C39" s="31" t="s">
        <v>218</v>
      </c>
      <c r="D39" s="31" t="s">
        <v>477</v>
      </c>
      <c r="E39" s="31" t="s">
        <v>478</v>
      </c>
      <c r="F39" s="31" t="s">
        <v>529</v>
      </c>
      <c r="G39" s="31"/>
      <c r="H39" s="31" t="s">
        <v>142</v>
      </c>
      <c r="I39" s="31" t="s">
        <v>480</v>
      </c>
    </row>
    <row r="40" spans="1:9" ht="26.4" x14ac:dyDescent="0.3">
      <c r="A40" s="31" t="s">
        <v>58</v>
      </c>
      <c r="B40" s="31" t="s">
        <v>528</v>
      </c>
      <c r="C40" s="31" t="s">
        <v>162</v>
      </c>
      <c r="D40" s="31" t="s">
        <v>477</v>
      </c>
      <c r="E40" s="31" t="s">
        <v>478</v>
      </c>
      <c r="F40" s="31" t="s">
        <v>530</v>
      </c>
      <c r="G40" s="31"/>
      <c r="H40" s="31" t="s">
        <v>142</v>
      </c>
      <c r="I40" s="31" t="s">
        <v>509</v>
      </c>
    </row>
    <row r="41" spans="1:9" ht="26.4" x14ac:dyDescent="0.3">
      <c r="A41" s="31" t="s">
        <v>58</v>
      </c>
      <c r="B41" s="31" t="s">
        <v>528</v>
      </c>
      <c r="C41" s="31" t="s">
        <v>219</v>
      </c>
      <c r="D41" s="31" t="s">
        <v>500</v>
      </c>
      <c r="E41" s="31" t="s">
        <v>498</v>
      </c>
      <c r="F41" s="31" t="s">
        <v>531</v>
      </c>
      <c r="G41" s="31"/>
      <c r="H41" s="31" t="s">
        <v>142</v>
      </c>
      <c r="I41" s="31"/>
    </row>
    <row r="42" spans="1:9" x14ac:dyDescent="0.3">
      <c r="A42" s="31" t="s">
        <v>58</v>
      </c>
      <c r="B42" s="31" t="s">
        <v>528</v>
      </c>
      <c r="C42" s="31" t="s">
        <v>220</v>
      </c>
      <c r="D42" s="31" t="s">
        <v>477</v>
      </c>
      <c r="E42" s="31" t="s">
        <v>498</v>
      </c>
      <c r="F42" s="31" t="s">
        <v>532</v>
      </c>
      <c r="G42" s="31"/>
      <c r="H42" s="31" t="s">
        <v>142</v>
      </c>
      <c r="I42" s="31"/>
    </row>
    <row r="43" spans="1:9" x14ac:dyDescent="0.3">
      <c r="A43" s="31" t="s">
        <v>58</v>
      </c>
      <c r="B43" s="31" t="s">
        <v>528</v>
      </c>
      <c r="C43" s="31" t="s">
        <v>221</v>
      </c>
      <c r="D43" s="31" t="s">
        <v>477</v>
      </c>
      <c r="E43" s="31" t="s">
        <v>478</v>
      </c>
      <c r="F43" s="31" t="s">
        <v>533</v>
      </c>
      <c r="G43" s="31"/>
      <c r="H43" s="31" t="s">
        <v>142</v>
      </c>
      <c r="I43" s="31"/>
    </row>
    <row r="44" spans="1:9" x14ac:dyDescent="0.3">
      <c r="A44" s="31" t="s">
        <v>58</v>
      </c>
      <c r="B44" s="31" t="s">
        <v>528</v>
      </c>
      <c r="C44" s="31" t="s">
        <v>222</v>
      </c>
      <c r="D44" s="31" t="s">
        <v>477</v>
      </c>
      <c r="E44" s="31" t="s">
        <v>478</v>
      </c>
      <c r="F44" s="31" t="s">
        <v>534</v>
      </c>
      <c r="G44" s="31"/>
      <c r="H44" s="31" t="s">
        <v>142</v>
      </c>
      <c r="I44" s="31"/>
    </row>
    <row r="45" spans="1:9" ht="26.4" x14ac:dyDescent="0.3">
      <c r="A45" s="31" t="s">
        <v>58</v>
      </c>
      <c r="B45" s="31" t="s">
        <v>528</v>
      </c>
      <c r="C45" s="31" t="s">
        <v>223</v>
      </c>
      <c r="D45" s="31" t="s">
        <v>477</v>
      </c>
      <c r="E45" s="31" t="s">
        <v>478</v>
      </c>
      <c r="F45" s="31" t="s">
        <v>535</v>
      </c>
      <c r="G45" s="31"/>
      <c r="H45" s="31" t="s">
        <v>142</v>
      </c>
      <c r="I45" s="31"/>
    </row>
    <row r="46" spans="1:9" x14ac:dyDescent="0.3">
      <c r="A46" s="31" t="s">
        <v>58</v>
      </c>
      <c r="B46" s="31" t="s">
        <v>528</v>
      </c>
      <c r="C46" s="31" t="s">
        <v>224</v>
      </c>
      <c r="D46" s="31" t="s">
        <v>477</v>
      </c>
      <c r="E46" s="31" t="s">
        <v>478</v>
      </c>
      <c r="F46" s="31" t="s">
        <v>536</v>
      </c>
      <c r="G46" s="31"/>
      <c r="H46" s="31" t="s">
        <v>142</v>
      </c>
      <c r="I46" s="31"/>
    </row>
    <row r="47" spans="1:9" ht="39.6" x14ac:dyDescent="0.3">
      <c r="A47" s="31" t="s">
        <v>58</v>
      </c>
      <c r="B47" s="31" t="s">
        <v>528</v>
      </c>
      <c r="C47" s="31" t="s">
        <v>225</v>
      </c>
      <c r="D47" s="31" t="s">
        <v>477</v>
      </c>
      <c r="E47" s="31" t="s">
        <v>478</v>
      </c>
      <c r="F47" s="31" t="s">
        <v>537</v>
      </c>
      <c r="G47" s="31"/>
      <c r="H47" s="31" t="s">
        <v>142</v>
      </c>
      <c r="I47" s="31" t="s">
        <v>538</v>
      </c>
    </row>
    <row r="48" spans="1:9" x14ac:dyDescent="0.3">
      <c r="A48" s="31" t="s">
        <v>60</v>
      </c>
      <c r="B48" s="31" t="s">
        <v>539</v>
      </c>
      <c r="C48" s="31" t="s">
        <v>252</v>
      </c>
      <c r="D48" s="31" t="s">
        <v>477</v>
      </c>
      <c r="E48" s="31" t="s">
        <v>478</v>
      </c>
      <c r="F48" s="31" t="s">
        <v>540</v>
      </c>
      <c r="G48" s="31"/>
      <c r="H48" s="31" t="s">
        <v>142</v>
      </c>
      <c r="I48" s="31" t="s">
        <v>480</v>
      </c>
    </row>
    <row r="49" spans="1:9" x14ac:dyDescent="0.3">
      <c r="A49" s="31" t="s">
        <v>60</v>
      </c>
      <c r="B49" s="31" t="s">
        <v>539</v>
      </c>
      <c r="C49" s="31" t="s">
        <v>253</v>
      </c>
      <c r="D49" s="31" t="s">
        <v>477</v>
      </c>
      <c r="E49" s="31" t="s">
        <v>478</v>
      </c>
      <c r="F49" s="31" t="s">
        <v>530</v>
      </c>
      <c r="G49" s="31"/>
      <c r="H49" s="31" t="s">
        <v>142</v>
      </c>
      <c r="I49" s="31"/>
    </row>
    <row r="50" spans="1:9" x14ac:dyDescent="0.3">
      <c r="A50" s="31" t="s">
        <v>60</v>
      </c>
      <c r="B50" s="31" t="s">
        <v>539</v>
      </c>
      <c r="C50" s="31" t="s">
        <v>254</v>
      </c>
      <c r="D50" s="31" t="s">
        <v>519</v>
      </c>
      <c r="E50" s="31" t="s">
        <v>478</v>
      </c>
      <c r="F50" s="31" t="s">
        <v>541</v>
      </c>
      <c r="G50" s="31"/>
      <c r="H50" s="31" t="s">
        <v>142</v>
      </c>
      <c r="I50" s="31"/>
    </row>
    <row r="51" spans="1:9" x14ac:dyDescent="0.3">
      <c r="A51" s="31" t="s">
        <v>60</v>
      </c>
      <c r="B51" s="31" t="s">
        <v>539</v>
      </c>
      <c r="C51" s="31" t="s">
        <v>255</v>
      </c>
      <c r="D51" s="31" t="s">
        <v>477</v>
      </c>
      <c r="E51" s="31" t="s">
        <v>478</v>
      </c>
      <c r="F51" s="31" t="s">
        <v>542</v>
      </c>
      <c r="G51" s="31"/>
      <c r="H51" s="31" t="s">
        <v>142</v>
      </c>
      <c r="I51" s="31"/>
    </row>
    <row r="52" spans="1:9" ht="26.4" x14ac:dyDescent="0.3">
      <c r="A52" s="31" t="s">
        <v>60</v>
      </c>
      <c r="B52" s="31" t="s">
        <v>539</v>
      </c>
      <c r="C52" s="31" t="s">
        <v>256</v>
      </c>
      <c r="D52" s="31" t="s">
        <v>504</v>
      </c>
      <c r="E52" s="31" t="s">
        <v>478</v>
      </c>
      <c r="F52" s="31" t="s">
        <v>543</v>
      </c>
      <c r="G52" s="31"/>
      <c r="H52" s="31" t="s">
        <v>142</v>
      </c>
      <c r="I52" s="31"/>
    </row>
    <row r="53" spans="1:9" x14ac:dyDescent="0.3">
      <c r="A53" s="31" t="s">
        <v>60</v>
      </c>
      <c r="B53" s="31" t="s">
        <v>539</v>
      </c>
      <c r="C53" s="31" t="s">
        <v>257</v>
      </c>
      <c r="D53" s="31" t="s">
        <v>519</v>
      </c>
      <c r="E53" s="31" t="s">
        <v>478</v>
      </c>
      <c r="F53" s="31" t="s">
        <v>544</v>
      </c>
      <c r="G53" s="31"/>
      <c r="H53" s="31" t="s">
        <v>142</v>
      </c>
      <c r="I53" s="31"/>
    </row>
    <row r="54" spans="1:9" ht="26.4" x14ac:dyDescent="0.3">
      <c r="A54" s="31" t="s">
        <v>60</v>
      </c>
      <c r="B54" s="31" t="s">
        <v>539</v>
      </c>
      <c r="C54" s="31" t="s">
        <v>258</v>
      </c>
      <c r="D54" s="31" t="s">
        <v>477</v>
      </c>
      <c r="E54" s="31" t="s">
        <v>478</v>
      </c>
      <c r="F54" s="31" t="s">
        <v>545</v>
      </c>
      <c r="G54" s="31"/>
      <c r="H54" s="31" t="s">
        <v>142</v>
      </c>
      <c r="I54" s="31" t="s">
        <v>546</v>
      </c>
    </row>
    <row r="55" spans="1:9" x14ac:dyDescent="0.3">
      <c r="A55" s="31" t="s">
        <v>60</v>
      </c>
      <c r="B55" s="31" t="s">
        <v>539</v>
      </c>
      <c r="C55" s="31" t="s">
        <v>259</v>
      </c>
      <c r="D55" s="31" t="s">
        <v>481</v>
      </c>
      <c r="E55" s="31" t="s">
        <v>478</v>
      </c>
      <c r="F55" s="31" t="s">
        <v>547</v>
      </c>
      <c r="G55" s="31"/>
      <c r="H55" s="31" t="s">
        <v>142</v>
      </c>
      <c r="I55" s="31"/>
    </row>
    <row r="56" spans="1:9" x14ac:dyDescent="0.3">
      <c r="A56" s="31" t="s">
        <v>60</v>
      </c>
      <c r="B56" s="31" t="s">
        <v>539</v>
      </c>
      <c r="C56" s="31" t="s">
        <v>260</v>
      </c>
      <c r="D56" s="31" t="s">
        <v>481</v>
      </c>
      <c r="E56" s="31" t="s">
        <v>478</v>
      </c>
      <c r="F56" s="31" t="s">
        <v>548</v>
      </c>
      <c r="G56" s="31"/>
      <c r="H56" s="31" t="s">
        <v>142</v>
      </c>
      <c r="I56" s="31"/>
    </row>
    <row r="57" spans="1:9" x14ac:dyDescent="0.3">
      <c r="A57" s="31" t="s">
        <v>60</v>
      </c>
      <c r="B57" s="31" t="s">
        <v>539</v>
      </c>
      <c r="C57" s="31" t="s">
        <v>261</v>
      </c>
      <c r="D57" s="31" t="s">
        <v>481</v>
      </c>
      <c r="E57" s="31" t="s">
        <v>478</v>
      </c>
      <c r="F57" s="31" t="s">
        <v>549</v>
      </c>
      <c r="G57" s="31"/>
      <c r="H57" s="31" t="s">
        <v>142</v>
      </c>
      <c r="I57" s="31"/>
    </row>
    <row r="58" spans="1:9" ht="26.4" x14ac:dyDescent="0.3">
      <c r="A58" s="31" t="s">
        <v>60</v>
      </c>
      <c r="B58" s="31" t="s">
        <v>539</v>
      </c>
      <c r="C58" s="31" t="s">
        <v>262</v>
      </c>
      <c r="D58" s="31" t="s">
        <v>500</v>
      </c>
      <c r="E58" s="31" t="s">
        <v>498</v>
      </c>
      <c r="F58" s="31" t="s">
        <v>550</v>
      </c>
      <c r="G58" s="31"/>
      <c r="H58" s="31" t="s">
        <v>142</v>
      </c>
      <c r="I58" s="31"/>
    </row>
    <row r="59" spans="1:9" ht="26.4" x14ac:dyDescent="0.3">
      <c r="A59" s="31" t="s">
        <v>60</v>
      </c>
      <c r="B59" s="31" t="s">
        <v>539</v>
      </c>
      <c r="C59" s="31" t="s">
        <v>263</v>
      </c>
      <c r="D59" s="31" t="s">
        <v>500</v>
      </c>
      <c r="E59" s="31" t="s">
        <v>498</v>
      </c>
      <c r="F59" s="31" t="s">
        <v>551</v>
      </c>
      <c r="G59" s="31"/>
      <c r="H59" s="31" t="s">
        <v>142</v>
      </c>
      <c r="I59" s="31"/>
    </row>
    <row r="60" spans="1:9" x14ac:dyDescent="0.3">
      <c r="A60" s="31" t="s">
        <v>60</v>
      </c>
      <c r="B60" s="31" t="s">
        <v>539</v>
      </c>
      <c r="C60" s="31" t="s">
        <v>264</v>
      </c>
      <c r="D60" s="31" t="s">
        <v>481</v>
      </c>
      <c r="E60" s="31" t="s">
        <v>498</v>
      </c>
      <c r="F60" s="31" t="s">
        <v>552</v>
      </c>
      <c r="G60" s="31"/>
      <c r="H60" s="31" t="s">
        <v>142</v>
      </c>
      <c r="I60" s="31"/>
    </row>
    <row r="61" spans="1:9" x14ac:dyDescent="0.3">
      <c r="A61" s="31" t="s">
        <v>60</v>
      </c>
      <c r="B61" s="31" t="s">
        <v>539</v>
      </c>
      <c r="C61" s="31" t="s">
        <v>265</v>
      </c>
      <c r="D61" s="31" t="s">
        <v>481</v>
      </c>
      <c r="E61" s="31" t="s">
        <v>498</v>
      </c>
      <c r="F61" s="31" t="s">
        <v>553</v>
      </c>
      <c r="G61" s="31"/>
      <c r="H61" s="31" t="s">
        <v>142</v>
      </c>
      <c r="I61" s="31"/>
    </row>
    <row r="62" spans="1:9" x14ac:dyDescent="0.3">
      <c r="A62" s="31" t="s">
        <v>60</v>
      </c>
      <c r="B62" s="31" t="s">
        <v>539</v>
      </c>
      <c r="C62" s="31" t="s">
        <v>266</v>
      </c>
      <c r="D62" s="31" t="s">
        <v>497</v>
      </c>
      <c r="E62" s="31" t="s">
        <v>498</v>
      </c>
      <c r="F62" s="31" t="s">
        <v>554</v>
      </c>
      <c r="G62" s="31"/>
      <c r="H62" s="31" t="s">
        <v>142</v>
      </c>
      <c r="I62" s="31"/>
    </row>
    <row r="63" spans="1:9" x14ac:dyDescent="0.3">
      <c r="A63" s="31" t="s">
        <v>60</v>
      </c>
      <c r="B63" s="31" t="s">
        <v>539</v>
      </c>
      <c r="C63" s="31" t="s">
        <v>135</v>
      </c>
      <c r="D63" s="31" t="s">
        <v>497</v>
      </c>
      <c r="E63" s="31" t="s">
        <v>498</v>
      </c>
      <c r="F63" s="31" t="s">
        <v>555</v>
      </c>
      <c r="G63" s="31"/>
      <c r="H63" s="31" t="s">
        <v>142</v>
      </c>
      <c r="I63" s="31"/>
    </row>
    <row r="64" spans="1:9" x14ac:dyDescent="0.3">
      <c r="A64" s="31" t="s">
        <v>60</v>
      </c>
      <c r="B64" s="31" t="s">
        <v>539</v>
      </c>
      <c r="C64" s="31" t="s">
        <v>267</v>
      </c>
      <c r="D64" s="31" t="s">
        <v>481</v>
      </c>
      <c r="E64" s="31" t="s">
        <v>498</v>
      </c>
      <c r="F64" s="31" t="s">
        <v>556</v>
      </c>
      <c r="G64" s="31"/>
      <c r="H64" s="31" t="s">
        <v>142</v>
      </c>
      <c r="I64" s="31"/>
    </row>
    <row r="65" spans="1:9" x14ac:dyDescent="0.3">
      <c r="A65" s="31" t="s">
        <v>60</v>
      </c>
      <c r="B65" s="31" t="s">
        <v>539</v>
      </c>
      <c r="C65" s="31" t="s">
        <v>268</v>
      </c>
      <c r="D65" s="31" t="s">
        <v>481</v>
      </c>
      <c r="E65" s="31" t="s">
        <v>498</v>
      </c>
      <c r="F65" s="31" t="s">
        <v>557</v>
      </c>
      <c r="G65" s="31"/>
      <c r="H65" s="31" t="s">
        <v>142</v>
      </c>
      <c r="I65" s="31"/>
    </row>
    <row r="66" spans="1:9" x14ac:dyDescent="0.3">
      <c r="A66" s="31" t="s">
        <v>60</v>
      </c>
      <c r="B66" s="31" t="s">
        <v>539</v>
      </c>
      <c r="C66" s="31" t="s">
        <v>269</v>
      </c>
      <c r="D66" s="31" t="s">
        <v>477</v>
      </c>
      <c r="E66" s="31" t="s">
        <v>498</v>
      </c>
      <c r="F66" s="31" t="s">
        <v>558</v>
      </c>
      <c r="G66" s="31"/>
      <c r="H66" s="31" t="s">
        <v>142</v>
      </c>
      <c r="I66" s="31"/>
    </row>
    <row r="67" spans="1:9" ht="26.4" x14ac:dyDescent="0.3">
      <c r="A67" s="31" t="s">
        <v>62</v>
      </c>
      <c r="B67" s="31" t="s">
        <v>559</v>
      </c>
      <c r="C67" s="31" t="s">
        <v>161</v>
      </c>
      <c r="D67" s="31" t="s">
        <v>504</v>
      </c>
      <c r="E67" s="31" t="s">
        <v>478</v>
      </c>
      <c r="F67" s="31" t="s">
        <v>505</v>
      </c>
      <c r="G67" s="31"/>
      <c r="H67" s="31" t="s">
        <v>142</v>
      </c>
      <c r="I67" s="31" t="s">
        <v>560</v>
      </c>
    </row>
    <row r="68" spans="1:9" ht="39.6" x14ac:dyDescent="0.3">
      <c r="A68" s="31" t="s">
        <v>62</v>
      </c>
      <c r="B68" s="31" t="s">
        <v>559</v>
      </c>
      <c r="C68" s="31" t="s">
        <v>252</v>
      </c>
      <c r="D68" s="31" t="s">
        <v>477</v>
      </c>
      <c r="E68" s="31" t="s">
        <v>478</v>
      </c>
      <c r="F68" s="31" t="s">
        <v>561</v>
      </c>
      <c r="G68" s="31"/>
      <c r="H68" s="31" t="s">
        <v>142</v>
      </c>
      <c r="I68" s="31" t="s">
        <v>562</v>
      </c>
    </row>
    <row r="69" spans="1:9" ht="26.4" x14ac:dyDescent="0.3">
      <c r="A69" s="31" t="s">
        <v>62</v>
      </c>
      <c r="B69" s="31" t="s">
        <v>559</v>
      </c>
      <c r="C69" s="31" t="s">
        <v>253</v>
      </c>
      <c r="D69" s="31" t="s">
        <v>477</v>
      </c>
      <c r="E69" s="31" t="s">
        <v>478</v>
      </c>
      <c r="F69" s="31" t="s">
        <v>530</v>
      </c>
      <c r="G69" s="31"/>
      <c r="H69" s="31" t="s">
        <v>142</v>
      </c>
      <c r="I69" s="31"/>
    </row>
    <row r="70" spans="1:9" ht="26.4" x14ac:dyDescent="0.3">
      <c r="A70" s="31" t="s">
        <v>62</v>
      </c>
      <c r="B70" s="31" t="s">
        <v>559</v>
      </c>
      <c r="C70" s="31" t="s">
        <v>305</v>
      </c>
      <c r="D70" s="31" t="s">
        <v>481</v>
      </c>
      <c r="E70" s="31" t="s">
        <v>478</v>
      </c>
      <c r="F70" s="31" t="s">
        <v>563</v>
      </c>
      <c r="G70" s="31"/>
      <c r="H70" s="31" t="s">
        <v>142</v>
      </c>
      <c r="I70" s="31"/>
    </row>
    <row r="71" spans="1:9" ht="26.4" x14ac:dyDescent="0.3">
      <c r="A71" s="31" t="s">
        <v>62</v>
      </c>
      <c r="B71" s="31" t="s">
        <v>559</v>
      </c>
      <c r="C71" s="31" t="s">
        <v>306</v>
      </c>
      <c r="D71" s="31" t="s">
        <v>481</v>
      </c>
      <c r="E71" s="31" t="s">
        <v>478</v>
      </c>
      <c r="F71" s="31" t="s">
        <v>564</v>
      </c>
      <c r="G71" s="31"/>
      <c r="H71" s="31" t="s">
        <v>142</v>
      </c>
      <c r="I71" s="31"/>
    </row>
    <row r="72" spans="1:9" ht="26.4" x14ac:dyDescent="0.3">
      <c r="A72" s="31" t="s">
        <v>62</v>
      </c>
      <c r="B72" s="31" t="s">
        <v>559</v>
      </c>
      <c r="C72" s="31" t="s">
        <v>307</v>
      </c>
      <c r="D72" s="31" t="s">
        <v>481</v>
      </c>
      <c r="E72" s="31" t="s">
        <v>478</v>
      </c>
      <c r="F72" s="31" t="s">
        <v>565</v>
      </c>
      <c r="G72" s="31"/>
      <c r="H72" s="31" t="s">
        <v>142</v>
      </c>
      <c r="I72" s="31"/>
    </row>
    <row r="73" spans="1:9" ht="26.4" x14ac:dyDescent="0.3">
      <c r="A73" s="31" t="s">
        <v>62</v>
      </c>
      <c r="B73" s="31" t="s">
        <v>559</v>
      </c>
      <c r="C73" s="31" t="s">
        <v>308</v>
      </c>
      <c r="D73" s="31" t="s">
        <v>497</v>
      </c>
      <c r="E73" s="31" t="s">
        <v>478</v>
      </c>
      <c r="F73" s="31" t="s">
        <v>566</v>
      </c>
      <c r="G73" s="31"/>
      <c r="H73" s="31" t="s">
        <v>142</v>
      </c>
      <c r="I73" s="31"/>
    </row>
    <row r="74" spans="1:9" ht="26.4" x14ac:dyDescent="0.3">
      <c r="A74" s="31" t="s">
        <v>62</v>
      </c>
      <c r="B74" s="31" t="s">
        <v>559</v>
      </c>
      <c r="C74" s="31" t="s">
        <v>268</v>
      </c>
      <c r="D74" s="31" t="s">
        <v>481</v>
      </c>
      <c r="E74" s="31" t="s">
        <v>498</v>
      </c>
      <c r="F74" s="31" t="s">
        <v>567</v>
      </c>
      <c r="G74" s="31"/>
      <c r="H74" s="31" t="s">
        <v>142</v>
      </c>
      <c r="I74" s="31"/>
    </row>
    <row r="75" spans="1:9" x14ac:dyDescent="0.3">
      <c r="A75" s="31" t="s">
        <v>64</v>
      </c>
      <c r="B75" s="31" t="s">
        <v>568</v>
      </c>
      <c r="C75" s="31" t="s">
        <v>311</v>
      </c>
      <c r="D75" s="31" t="s">
        <v>477</v>
      </c>
      <c r="E75" s="31" t="s">
        <v>478</v>
      </c>
      <c r="F75" s="31" t="s">
        <v>569</v>
      </c>
      <c r="G75" s="31"/>
      <c r="H75" s="31" t="s">
        <v>142</v>
      </c>
      <c r="I75" s="31" t="s">
        <v>480</v>
      </c>
    </row>
    <row r="76" spans="1:9" x14ac:dyDescent="0.3">
      <c r="A76" s="31" t="s">
        <v>64</v>
      </c>
      <c r="B76" s="31" t="s">
        <v>568</v>
      </c>
      <c r="C76" s="31" t="s">
        <v>104</v>
      </c>
      <c r="D76" s="31" t="s">
        <v>477</v>
      </c>
      <c r="E76" s="31" t="s">
        <v>478</v>
      </c>
      <c r="F76" s="31" t="s">
        <v>484</v>
      </c>
      <c r="G76" s="31"/>
      <c r="H76" s="31" t="s">
        <v>142</v>
      </c>
      <c r="I76" s="31"/>
    </row>
    <row r="77" spans="1:9" x14ac:dyDescent="0.3">
      <c r="A77" s="31" t="s">
        <v>64</v>
      </c>
      <c r="B77" s="31" t="s">
        <v>568</v>
      </c>
      <c r="C77" s="31" t="s">
        <v>312</v>
      </c>
      <c r="D77" s="31" t="s">
        <v>477</v>
      </c>
      <c r="E77" s="31" t="s">
        <v>478</v>
      </c>
      <c r="F77" s="31" t="s">
        <v>570</v>
      </c>
      <c r="G77" s="31"/>
      <c r="H77" s="31" t="s">
        <v>142</v>
      </c>
      <c r="I77" s="31"/>
    </row>
    <row r="78" spans="1:9" x14ac:dyDescent="0.3">
      <c r="A78" s="31" t="s">
        <v>64</v>
      </c>
      <c r="B78" s="31" t="s">
        <v>568</v>
      </c>
      <c r="C78" s="31" t="s">
        <v>313</v>
      </c>
      <c r="D78" s="31" t="s">
        <v>477</v>
      </c>
      <c r="E78" s="31" t="s">
        <v>478</v>
      </c>
      <c r="F78" s="31" t="s">
        <v>571</v>
      </c>
      <c r="G78" s="31" t="s">
        <v>572</v>
      </c>
      <c r="H78" s="31" t="s">
        <v>142</v>
      </c>
      <c r="I78" s="31"/>
    </row>
    <row r="79" spans="1:9" x14ac:dyDescent="0.3">
      <c r="A79" s="31" t="s">
        <v>64</v>
      </c>
      <c r="B79" s="31" t="s">
        <v>568</v>
      </c>
      <c r="C79" s="31" t="s">
        <v>314</v>
      </c>
      <c r="D79" s="31" t="s">
        <v>497</v>
      </c>
      <c r="E79" s="31" t="s">
        <v>498</v>
      </c>
      <c r="F79" s="31" t="s">
        <v>573</v>
      </c>
      <c r="G79" s="31"/>
      <c r="H79" s="31" t="s">
        <v>142</v>
      </c>
      <c r="I79" s="31"/>
    </row>
    <row r="80" spans="1:9" ht="26.4" x14ac:dyDescent="0.3">
      <c r="A80" s="31" t="s">
        <v>64</v>
      </c>
      <c r="B80" s="31" t="s">
        <v>568</v>
      </c>
      <c r="C80" s="31" t="s">
        <v>315</v>
      </c>
      <c r="D80" s="31" t="s">
        <v>500</v>
      </c>
      <c r="E80" s="31" t="s">
        <v>478</v>
      </c>
      <c r="F80" s="31" t="s">
        <v>574</v>
      </c>
      <c r="G80" s="31"/>
      <c r="H80" s="31" t="s">
        <v>142</v>
      </c>
      <c r="I80" s="31"/>
    </row>
    <row r="81" spans="1:9" x14ac:dyDescent="0.3">
      <c r="A81" s="31" t="s">
        <v>64</v>
      </c>
      <c r="B81" s="31" t="s">
        <v>568</v>
      </c>
      <c r="C81" s="31" t="s">
        <v>316</v>
      </c>
      <c r="D81" s="31" t="s">
        <v>481</v>
      </c>
      <c r="E81" s="31" t="s">
        <v>498</v>
      </c>
      <c r="F81" s="31" t="s">
        <v>575</v>
      </c>
      <c r="G81" s="31"/>
      <c r="H81" s="31" t="s">
        <v>142</v>
      </c>
      <c r="I81" s="31"/>
    </row>
    <row r="82" spans="1:9" x14ac:dyDescent="0.3">
      <c r="A82" s="31" t="s">
        <v>64</v>
      </c>
      <c r="B82" s="31" t="s">
        <v>568</v>
      </c>
      <c r="C82" s="31" t="s">
        <v>317</v>
      </c>
      <c r="D82" s="31" t="s">
        <v>576</v>
      </c>
      <c r="E82" s="31" t="s">
        <v>498</v>
      </c>
      <c r="F82" s="31" t="s">
        <v>577</v>
      </c>
      <c r="G82" s="31"/>
      <c r="H82" s="31" t="s">
        <v>142</v>
      </c>
      <c r="I82" s="31"/>
    </row>
    <row r="83" spans="1:9" x14ac:dyDescent="0.3">
      <c r="A83" s="31" t="s">
        <v>64</v>
      </c>
      <c r="B83" s="31" t="s">
        <v>568</v>
      </c>
      <c r="C83" s="31" t="s">
        <v>318</v>
      </c>
      <c r="D83" s="31" t="s">
        <v>576</v>
      </c>
      <c r="E83" s="31" t="s">
        <v>478</v>
      </c>
      <c r="F83" s="31" t="s">
        <v>578</v>
      </c>
      <c r="G83" s="31"/>
      <c r="H83" s="31" t="s">
        <v>142</v>
      </c>
      <c r="I83" s="31"/>
    </row>
    <row r="84" spans="1:9" x14ac:dyDescent="0.3">
      <c r="A84" s="31" t="s">
        <v>64</v>
      </c>
      <c r="B84" s="31" t="s">
        <v>568</v>
      </c>
      <c r="C84" s="31" t="s">
        <v>319</v>
      </c>
      <c r="D84" s="31" t="s">
        <v>481</v>
      </c>
      <c r="E84" s="31" t="s">
        <v>498</v>
      </c>
      <c r="F84" s="31" t="s">
        <v>579</v>
      </c>
      <c r="G84" s="31"/>
      <c r="H84" s="31" t="s">
        <v>142</v>
      </c>
      <c r="I84" s="31"/>
    </row>
    <row r="85" spans="1:9" x14ac:dyDescent="0.3">
      <c r="A85" s="31" t="s">
        <v>64</v>
      </c>
      <c r="B85" s="31" t="s">
        <v>568</v>
      </c>
      <c r="C85" s="31" t="s">
        <v>320</v>
      </c>
      <c r="D85" s="31" t="s">
        <v>481</v>
      </c>
      <c r="E85" s="31" t="s">
        <v>498</v>
      </c>
      <c r="F85" s="31" t="s">
        <v>580</v>
      </c>
      <c r="G85" s="31"/>
      <c r="H85" s="31" t="s">
        <v>142</v>
      </c>
      <c r="I85" s="31"/>
    </row>
    <row r="86" spans="1:9" x14ac:dyDescent="0.3">
      <c r="A86" s="31" t="s">
        <v>64</v>
      </c>
      <c r="B86" s="31" t="s">
        <v>568</v>
      </c>
      <c r="C86" s="31" t="s">
        <v>321</v>
      </c>
      <c r="D86" s="31" t="s">
        <v>519</v>
      </c>
      <c r="E86" s="31" t="s">
        <v>478</v>
      </c>
      <c r="F86" s="31" t="s">
        <v>581</v>
      </c>
      <c r="G86" s="31" t="s">
        <v>582</v>
      </c>
      <c r="H86" s="31" t="s">
        <v>142</v>
      </c>
      <c r="I86" s="31"/>
    </row>
    <row r="87" spans="1:9" x14ac:dyDescent="0.3">
      <c r="A87" s="31" t="s">
        <v>64</v>
      </c>
      <c r="B87" s="31" t="s">
        <v>568</v>
      </c>
      <c r="C87" s="31" t="s">
        <v>322</v>
      </c>
      <c r="D87" s="31" t="s">
        <v>481</v>
      </c>
      <c r="E87" s="31" t="s">
        <v>498</v>
      </c>
      <c r="F87" s="31" t="s">
        <v>583</v>
      </c>
      <c r="G87" s="31"/>
      <c r="H87" s="31" t="s">
        <v>142</v>
      </c>
      <c r="I87" s="31"/>
    </row>
    <row r="88" spans="1:9" x14ac:dyDescent="0.3">
      <c r="A88" s="31" t="s">
        <v>64</v>
      </c>
      <c r="B88" s="31" t="s">
        <v>568</v>
      </c>
      <c r="C88" s="31" t="s">
        <v>323</v>
      </c>
      <c r="D88" s="31" t="s">
        <v>477</v>
      </c>
      <c r="E88" s="31" t="s">
        <v>498</v>
      </c>
      <c r="F88" s="31" t="s">
        <v>584</v>
      </c>
      <c r="G88" s="31"/>
      <c r="H88" s="31" t="s">
        <v>142</v>
      </c>
      <c r="I88" s="31"/>
    </row>
    <row r="89" spans="1:9" x14ac:dyDescent="0.3">
      <c r="A89" s="31" t="s">
        <v>64</v>
      </c>
      <c r="B89" s="31" t="s">
        <v>568</v>
      </c>
      <c r="C89" s="31" t="s">
        <v>324</v>
      </c>
      <c r="D89" s="31" t="s">
        <v>477</v>
      </c>
      <c r="E89" s="31" t="s">
        <v>478</v>
      </c>
      <c r="F89" s="31" t="s">
        <v>585</v>
      </c>
      <c r="G89" s="31"/>
      <c r="H89" s="31" t="s">
        <v>142</v>
      </c>
      <c r="I89" s="31"/>
    </row>
    <row r="90" spans="1:9" ht="52.8" x14ac:dyDescent="0.3">
      <c r="A90" s="31" t="s">
        <v>64</v>
      </c>
      <c r="B90" s="31" t="s">
        <v>568</v>
      </c>
      <c r="C90" s="31" t="s">
        <v>325</v>
      </c>
      <c r="D90" s="31" t="s">
        <v>477</v>
      </c>
      <c r="E90" s="31" t="s">
        <v>478</v>
      </c>
      <c r="F90" s="31" t="s">
        <v>586</v>
      </c>
      <c r="G90" s="31"/>
      <c r="H90" s="31" t="s">
        <v>142</v>
      </c>
      <c r="I90" s="31" t="s">
        <v>587</v>
      </c>
    </row>
    <row r="91" spans="1:9" x14ac:dyDescent="0.3">
      <c r="A91" s="31" t="s">
        <v>64</v>
      </c>
      <c r="B91" s="31" t="s">
        <v>568</v>
      </c>
      <c r="C91" s="31" t="s">
        <v>14</v>
      </c>
      <c r="D91" s="31" t="s">
        <v>477</v>
      </c>
      <c r="E91" s="31" t="s">
        <v>478</v>
      </c>
      <c r="F91" s="31" t="s">
        <v>588</v>
      </c>
      <c r="G91" s="31" t="s">
        <v>589</v>
      </c>
      <c r="H91" s="31" t="s">
        <v>142</v>
      </c>
      <c r="I91" s="31"/>
    </row>
    <row r="92" spans="1:9" x14ac:dyDescent="0.3">
      <c r="A92" s="31" t="s">
        <v>64</v>
      </c>
      <c r="B92" s="31" t="s">
        <v>568</v>
      </c>
      <c r="C92" s="31" t="s">
        <v>326</v>
      </c>
      <c r="D92" s="31" t="s">
        <v>477</v>
      </c>
      <c r="E92" s="31" t="s">
        <v>478</v>
      </c>
      <c r="F92" s="31" t="s">
        <v>590</v>
      </c>
      <c r="G92" s="31"/>
      <c r="H92" s="31" t="s">
        <v>492</v>
      </c>
      <c r="I92" s="31"/>
    </row>
    <row r="93" spans="1:9" x14ac:dyDescent="0.3">
      <c r="A93" s="31" t="s">
        <v>64</v>
      </c>
      <c r="B93" s="31" t="s">
        <v>568</v>
      </c>
      <c r="C93" s="31" t="s">
        <v>327</v>
      </c>
      <c r="D93" s="31" t="s">
        <v>519</v>
      </c>
      <c r="E93" s="31" t="s">
        <v>498</v>
      </c>
      <c r="F93" s="31" t="s">
        <v>591</v>
      </c>
      <c r="G93" s="31"/>
      <c r="H93" s="31" t="s">
        <v>142</v>
      </c>
      <c r="I93" s="31"/>
    </row>
    <row r="94" spans="1:9" x14ac:dyDescent="0.3">
      <c r="A94" s="31" t="s">
        <v>64</v>
      </c>
      <c r="B94" s="31" t="s">
        <v>568</v>
      </c>
      <c r="C94" s="31" t="s">
        <v>328</v>
      </c>
      <c r="D94" s="31" t="s">
        <v>481</v>
      </c>
      <c r="E94" s="31" t="s">
        <v>498</v>
      </c>
      <c r="F94" s="31" t="s">
        <v>592</v>
      </c>
      <c r="G94" s="31"/>
      <c r="H94" s="31" t="s">
        <v>142</v>
      </c>
      <c r="I94" s="31"/>
    </row>
    <row r="95" spans="1:9" x14ac:dyDescent="0.3">
      <c r="A95" s="31" t="s">
        <v>66</v>
      </c>
      <c r="B95" s="31" t="s">
        <v>593</v>
      </c>
      <c r="C95" s="31" t="s">
        <v>162</v>
      </c>
      <c r="D95" s="31" t="s">
        <v>477</v>
      </c>
      <c r="E95" s="31" t="s">
        <v>478</v>
      </c>
      <c r="F95" s="31" t="s">
        <v>530</v>
      </c>
      <c r="G95" s="31"/>
      <c r="H95" s="31" t="s">
        <v>142</v>
      </c>
      <c r="I95" s="31" t="s">
        <v>480</v>
      </c>
    </row>
    <row r="96" spans="1:9" x14ac:dyDescent="0.3">
      <c r="A96" s="31" t="s">
        <v>66</v>
      </c>
      <c r="B96" s="31" t="s">
        <v>593</v>
      </c>
      <c r="C96" s="31" t="s">
        <v>135</v>
      </c>
      <c r="D96" s="31" t="s">
        <v>497</v>
      </c>
      <c r="E96" s="31" t="s">
        <v>498</v>
      </c>
      <c r="F96" s="31" t="s">
        <v>594</v>
      </c>
      <c r="G96" s="31"/>
      <c r="H96" s="31" t="s">
        <v>142</v>
      </c>
      <c r="I96" s="31"/>
    </row>
    <row r="97" spans="1:9" x14ac:dyDescent="0.3">
      <c r="A97" s="31" t="s">
        <v>66</v>
      </c>
      <c r="B97" s="31" t="s">
        <v>593</v>
      </c>
      <c r="C97" s="31" t="s">
        <v>408</v>
      </c>
      <c r="D97" s="31" t="s">
        <v>481</v>
      </c>
      <c r="E97" s="31" t="s">
        <v>478</v>
      </c>
      <c r="F97" s="31" t="s">
        <v>595</v>
      </c>
      <c r="G97" s="31"/>
      <c r="H97" s="31" t="s">
        <v>142</v>
      </c>
      <c r="I97" s="31"/>
    </row>
    <row r="98" spans="1:9" x14ac:dyDescent="0.3">
      <c r="A98" s="31" t="s">
        <v>66</v>
      </c>
      <c r="B98" s="31" t="s">
        <v>593</v>
      </c>
      <c r="C98" s="31" t="s">
        <v>409</v>
      </c>
      <c r="D98" s="31" t="s">
        <v>497</v>
      </c>
      <c r="E98" s="31" t="s">
        <v>498</v>
      </c>
      <c r="F98" s="31" t="s">
        <v>596</v>
      </c>
      <c r="G98" s="31"/>
      <c r="H98" s="31" t="s">
        <v>142</v>
      </c>
      <c r="I98" s="31"/>
    </row>
    <row r="99" spans="1:9" ht="26.4" x14ac:dyDescent="0.3">
      <c r="A99" s="31" t="s">
        <v>66</v>
      </c>
      <c r="B99" s="31" t="s">
        <v>593</v>
      </c>
      <c r="C99" s="31" t="s">
        <v>410</v>
      </c>
      <c r="D99" s="31" t="s">
        <v>481</v>
      </c>
      <c r="E99" s="31" t="s">
        <v>498</v>
      </c>
      <c r="F99" s="31" t="s">
        <v>597</v>
      </c>
      <c r="G99" s="31"/>
      <c r="H99" s="31" t="s">
        <v>142</v>
      </c>
      <c r="I99" s="31"/>
    </row>
    <row r="100" spans="1:9" x14ac:dyDescent="0.3">
      <c r="A100" s="31" t="s">
        <v>66</v>
      </c>
      <c r="B100" s="31" t="s">
        <v>593</v>
      </c>
      <c r="C100" s="31" t="s">
        <v>411</v>
      </c>
      <c r="D100" s="31" t="s">
        <v>497</v>
      </c>
      <c r="E100" s="31" t="s">
        <v>498</v>
      </c>
      <c r="F100" s="31" t="s">
        <v>598</v>
      </c>
      <c r="G100" s="31"/>
      <c r="H100" s="31" t="s">
        <v>142</v>
      </c>
      <c r="I100" s="31"/>
    </row>
    <row r="101" spans="1:9" x14ac:dyDescent="0.3">
      <c r="A101" s="31" t="s">
        <v>66</v>
      </c>
      <c r="B101" s="31" t="s">
        <v>593</v>
      </c>
      <c r="C101" s="31" t="s">
        <v>412</v>
      </c>
      <c r="D101" s="31" t="s">
        <v>477</v>
      </c>
      <c r="E101" s="31" t="s">
        <v>478</v>
      </c>
      <c r="F101" s="31" t="s">
        <v>599</v>
      </c>
      <c r="G101" s="31"/>
      <c r="H101" s="31" t="s">
        <v>142</v>
      </c>
      <c r="I101" s="3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13</vt:i4>
      </vt:variant>
      <vt:variant>
        <vt:lpstr>Intervalos com Nome</vt:lpstr>
      </vt:variant>
      <vt:variant>
        <vt:i4>21</vt:i4>
      </vt:variant>
    </vt:vector>
  </HeadingPairs>
  <TitlesOfParts>
    <vt:vector size="34" baseType="lpstr">
      <vt:lpstr>00_LEIA-ME</vt:lpstr>
      <vt:lpstr>Parametros</vt:lpstr>
      <vt:lpstr>Tipos_Energia</vt:lpstr>
      <vt:lpstr>Consumo_Mensal_Uso</vt:lpstr>
      <vt:lpstr>Usos_Energia</vt:lpstr>
      <vt:lpstr>Ficha_USE</vt:lpstr>
      <vt:lpstr>Campanha_Maquinas</vt:lpstr>
      <vt:lpstr>Energia_Maquina_Mensal</vt:lpstr>
      <vt:lpstr>Oportunidades</vt:lpstr>
      <vt:lpstr>Previsao_2027</vt:lpstr>
      <vt:lpstr>Metodo_Criterios</vt:lpstr>
      <vt:lpstr>Listas</vt:lpstr>
      <vt:lpstr>Dicionario_Dados</vt:lpstr>
      <vt:lpstr>cresc_2027</vt:lpstr>
      <vt:lpstr>crit_use_pct</vt:lpstr>
      <vt:lpstr>crit_use_pot</vt:lpstr>
      <vt:lpstr>DataRef</vt:lpstr>
      <vt:lpstr>fe_elet_lb</vt:lpstr>
      <vt:lpstr>lst_DataReferencia</vt:lpstr>
      <vt:lpstr>lst_EstadoOport</vt:lpstr>
      <vt:lpstr>lst_Facilidade</vt:lpstr>
      <vt:lpstr>lst_Funcao</vt:lpstr>
      <vt:lpstr>lst_TipoOport</vt:lpstr>
      <vt:lpstr>lst_Uso</vt:lpstr>
      <vt:lpstr>preco_medio</vt:lpstr>
      <vt:lpstr>Campanha_Maquinas!Títulos_de_Impressão</vt:lpstr>
      <vt:lpstr>Consumo_Mensal_Uso!Títulos_de_Impressão</vt:lpstr>
      <vt:lpstr>Energia_Maquina_Mensal!Títulos_de_Impressão</vt:lpstr>
      <vt:lpstr>Ficha_USE!Títulos_de_Impressão</vt:lpstr>
      <vt:lpstr>Oportunidades!Títulos_de_Impressão</vt:lpstr>
      <vt:lpstr>Parametros!Títulos_de_Impressão</vt:lpstr>
      <vt:lpstr>Previsao_2027!Títulos_de_Impressão</vt:lpstr>
      <vt:lpstr>Tipos_Energia!Títulos_de_Impressão</vt:lpstr>
      <vt:lpstr>Usos_Energia!Títulos_de_Impressão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RG-SGE-04 Revisão Energética e Usos Significativos de Energia</dc:title>
  <dc:subject>SGE NP EN ISO 50001:2019 (ISO 50001:2018 + Amd 1:2024) — Plasticom</dc:subject>
  <dc:creator>Gestor(a) de Energia</dc:creator>
  <cp:lastModifiedBy>Aline Meireles</cp:lastModifiedBy>
  <dcterms:created xsi:type="dcterms:W3CDTF">2026-09-30T16:50:18Z</dcterms:created>
  <dcterms:modified xsi:type="dcterms:W3CDTF">2026-09-30T16:50:24Z</dcterms:modified>
</cp:coreProperties>
</file>