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15815FF1-6737-431B-B810-B9E74F68936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Base_Mensal" sheetId="2" r:id="rId2"/>
    <sheet name="IDE_Mensal" sheetId="3" r:id="rId3"/>
    <sheet name="LBE_Modelo" sheetId="4" r:id="rId4"/>
    <sheet name="Variaveis_Relevantes" sheetId="5" r:id="rId5"/>
    <sheet name="Catalogo_IDE" sheetId="6" r:id="rId6"/>
    <sheet name="Registo_LBE" sheetId="7" r:id="rId7"/>
    <sheet name="Alteracoes_LBE" sheetId="8" r:id="rId8"/>
    <sheet name="Fatores_Estaticos" sheetId="9" r:id="rId9"/>
    <sheet name="Parametros" sheetId="10" r:id="rId10"/>
    <sheet name="Objetivos_Energeticos" sheetId="11" r:id="rId11"/>
    <sheet name="Metas_Energeticas" sheetId="12" r:id="rId12"/>
    <sheet name="Planos_Acao" sheetId="13" r:id="rId13"/>
    <sheet name="Metodologia_IDE_LBE" sheetId="14" r:id="rId14"/>
    <sheet name="Listas" sheetId="15" r:id="rId15"/>
    <sheet name="Dicionario_Dados" sheetId="16" r:id="rId16"/>
  </sheets>
  <definedNames>
    <definedName name="DataRef">Listas!$A$3</definedName>
    <definedName name="dem_q4_conclusao">LBE_Modelo!$B$54</definedName>
    <definedName name="dem_q4_melhoria">LBE_Modelo!$B$52</definedName>
    <definedName name="dom_x1_max">LBE_Modelo!$F$33</definedName>
    <definedName name="dom_x1_min">LBE_Modelo!$E$33</definedName>
    <definedName name="dom_x2_max">LBE_Modelo!$F$34</definedName>
    <definedName name="dom_x2_min">LBE_Modelo!$E$34</definedName>
    <definedName name="lbe_a">LBE_Modelo!$B$5</definedName>
    <definedName name="lbe_b1">LBE_Modelo!$B$6</definedName>
    <definedName name="lbe_b2">LBE_Modelo!$B$7</definedName>
    <definedName name="lbe_base_pct">LBE_Modelo!$B$20</definedName>
    <definedName name="lbe_cv">LBE_Modelo!$B$16</definedName>
    <definedName name="lbe_df">LBE_Modelo!$B$13</definedName>
    <definedName name="lbe_f">LBE_Modelo!$B$12</definedName>
    <definedName name="lbe_limite">LBE_Modelo!$B$19</definedName>
    <definedName name="lbe_nmbe">LBE_Modelo!$B$17</definedName>
    <definedName name="lbe_pf">LBE_Modelo!$B$14</definedName>
    <definedName name="lbe_r2">LBE_Modelo!$B$10</definedName>
    <definedName name="lbe_sey">LBE_Modelo!$B$11</definedName>
    <definedName name="lbe_t">LBE_Modelo!$B$18</definedName>
    <definedName name="lbe_ymed">LBE_Modelo!$B$15</definedName>
    <definedName name="lst_DataReferencia">Listas!$A$3:$A$3</definedName>
    <definedName name="lst_EstadoLBE">Listas!$F$3:$F$5</definedName>
    <definedName name="lst_EstadoPlano">Listas!$E$3:$E$7</definedName>
    <definedName name="lst_Funcao">Listas!$B$3:$B$24</definedName>
    <definedName name="lst_Periodo">Listas!$D$3:$D$4</definedName>
    <definedName name="lst_Polaridade">Listas!$C$3:$C$4</definedName>
    <definedName name="lst_TipoIDE">Listas!$G$3:$G$12</definedName>
    <definedName name="preco_medio">Parametros!$B$5</definedName>
    <definedName name="_xlnm.Print_Titles" localSheetId="7">Alteracoes_LBE!$4:$4</definedName>
    <definedName name="_xlnm.Print_Titles" localSheetId="1">Base_Mensal!$4:$4</definedName>
    <definedName name="_xlnm.Print_Titles" localSheetId="5">Catalogo_IDE!$4:$4</definedName>
    <definedName name="_xlnm.Print_Titles" localSheetId="8">Fatores_Estaticos!$4:$4</definedName>
    <definedName name="_xlnm.Print_Titles" localSheetId="2">IDE_Mensal!$4:$4</definedName>
    <definedName name="_xlnm.Print_Titles" localSheetId="11">Metas_Energeticas!$4:$4</definedName>
    <definedName name="_xlnm.Print_Titles" localSheetId="10">Objetivos_Energeticos!$4:$4</definedName>
    <definedName name="_xlnm.Print_Titles" localSheetId="9">Parametros!$4:$4</definedName>
    <definedName name="_xlnm.Print_Titles" localSheetId="12">Planos_Acao!$4:$4</definedName>
    <definedName name="_xlnm.Print_Titles" localSheetId="6">Registo_LBE!$4:$4</definedName>
    <definedName name="_xlnm.Print_Titles" localSheetId="4">Variaveis_Relevantes!$4:$4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3" l="1"/>
  <c r="R11" i="13" s="1"/>
  <c r="P11" i="13"/>
  <c r="Q10" i="13"/>
  <c r="R10" i="13" s="1"/>
  <c r="P10" i="13"/>
  <c r="Q9" i="13"/>
  <c r="R9" i="13" s="1"/>
  <c r="P9" i="13"/>
  <c r="Q8" i="13"/>
  <c r="R8" i="13" s="1"/>
  <c r="P8" i="13"/>
  <c r="Q7" i="13"/>
  <c r="R7" i="13" s="1"/>
  <c r="P7" i="13"/>
  <c r="R6" i="13"/>
  <c r="Q6" i="13"/>
  <c r="P6" i="13"/>
  <c r="Q5" i="13"/>
  <c r="R5" i="13" s="1"/>
  <c r="P5" i="13"/>
  <c r="I12" i="12"/>
  <c r="I11" i="12"/>
  <c r="I10" i="12"/>
  <c r="I9" i="12"/>
  <c r="I8" i="12"/>
  <c r="I7" i="12"/>
  <c r="I6" i="12"/>
  <c r="I5" i="12"/>
  <c r="AI10" i="11"/>
  <c r="AA10" i="11"/>
  <c r="Z10" i="11"/>
  <c r="Y10" i="11"/>
  <c r="X10" i="11"/>
  <c r="W10" i="11"/>
  <c r="AB10" i="11" s="1"/>
  <c r="V10" i="11"/>
  <c r="H10" i="11"/>
  <c r="AI9" i="11"/>
  <c r="AA9" i="11"/>
  <c r="Z9" i="11"/>
  <c r="Y9" i="11"/>
  <c r="X9" i="11"/>
  <c r="W9" i="11"/>
  <c r="V9" i="11"/>
  <c r="H9" i="11"/>
  <c r="AI8" i="11"/>
  <c r="AA8" i="11"/>
  <c r="Z8" i="11"/>
  <c r="Y8" i="11"/>
  <c r="X8" i="11"/>
  <c r="W8" i="11"/>
  <c r="V8" i="11"/>
  <c r="H8" i="11"/>
  <c r="AI7" i="11"/>
  <c r="AA7" i="11"/>
  <c r="Z7" i="11"/>
  <c r="Y7" i="11"/>
  <c r="X7" i="11"/>
  <c r="W7" i="11"/>
  <c r="V7" i="11"/>
  <c r="H7" i="11"/>
  <c r="AI6" i="11"/>
  <c r="AA6" i="11"/>
  <c r="Z6" i="11"/>
  <c r="Y6" i="11"/>
  <c r="X6" i="11"/>
  <c r="W6" i="11"/>
  <c r="V6" i="11"/>
  <c r="H6" i="11"/>
  <c r="AI5" i="11"/>
  <c r="AA5" i="11"/>
  <c r="Z5" i="11"/>
  <c r="Y5" i="11"/>
  <c r="X5" i="11"/>
  <c r="W5" i="11"/>
  <c r="V5" i="11"/>
  <c r="H5" i="11"/>
  <c r="F12" i="7"/>
  <c r="F11" i="7"/>
  <c r="F10" i="7"/>
  <c r="F9" i="7"/>
  <c r="F8" i="7"/>
  <c r="F7" i="7"/>
  <c r="F6" i="7"/>
  <c r="F5" i="7"/>
  <c r="X17" i="6"/>
  <c r="J17" i="6"/>
  <c r="X16" i="6"/>
  <c r="J16" i="6"/>
  <c r="X15" i="6"/>
  <c r="J15" i="6"/>
  <c r="I10" i="11" s="1"/>
  <c r="X14" i="6"/>
  <c r="T9" i="11" s="1"/>
  <c r="J14" i="6"/>
  <c r="I9" i="11" s="1"/>
  <c r="X12" i="6"/>
  <c r="J12" i="6"/>
  <c r="I6" i="11" s="1"/>
  <c r="J5" i="6"/>
  <c r="G5" i="12" s="1"/>
  <c r="F10" i="5"/>
  <c r="G10" i="5" s="1"/>
  <c r="F9" i="5"/>
  <c r="G9" i="5" s="1"/>
  <c r="F8" i="5"/>
  <c r="G8" i="5" s="1"/>
  <c r="G7" i="5"/>
  <c r="F7" i="5"/>
  <c r="F6" i="5"/>
  <c r="G6" i="5" s="1"/>
  <c r="F5" i="5"/>
  <c r="G5" i="5" s="1"/>
  <c r="Q26" i="3"/>
  <c r="P26" i="3"/>
  <c r="N26" i="3"/>
  <c r="M26" i="3"/>
  <c r="L26" i="3"/>
  <c r="E26" i="3"/>
  <c r="D26" i="3"/>
  <c r="C26" i="3"/>
  <c r="B26" i="3"/>
  <c r="Q25" i="3"/>
  <c r="P25" i="3"/>
  <c r="N25" i="3"/>
  <c r="M25" i="3"/>
  <c r="L25" i="3"/>
  <c r="E25" i="3"/>
  <c r="D25" i="3"/>
  <c r="C25" i="3"/>
  <c r="B25" i="3"/>
  <c r="Q24" i="3"/>
  <c r="P24" i="3"/>
  <c r="N24" i="3"/>
  <c r="M24" i="3"/>
  <c r="L24" i="3"/>
  <c r="E24" i="3"/>
  <c r="D24" i="3"/>
  <c r="C24" i="3"/>
  <c r="B24" i="3"/>
  <c r="Q23" i="3"/>
  <c r="P23" i="3"/>
  <c r="N23" i="3"/>
  <c r="M23" i="3"/>
  <c r="L23" i="3"/>
  <c r="E23" i="3"/>
  <c r="D23" i="3"/>
  <c r="C23" i="3"/>
  <c r="B23" i="3"/>
  <c r="Q22" i="3"/>
  <c r="P22" i="3"/>
  <c r="N22" i="3"/>
  <c r="M22" i="3"/>
  <c r="L22" i="3"/>
  <c r="E22" i="3"/>
  <c r="D22" i="3"/>
  <c r="C22" i="3"/>
  <c r="B22" i="3"/>
  <c r="Q21" i="3"/>
  <c r="P21" i="3"/>
  <c r="N21" i="3"/>
  <c r="M21" i="3"/>
  <c r="L21" i="3"/>
  <c r="E21" i="3"/>
  <c r="D21" i="3"/>
  <c r="C21" i="3"/>
  <c r="B21" i="3"/>
  <c r="Q20" i="3"/>
  <c r="P20" i="3"/>
  <c r="N20" i="3"/>
  <c r="M20" i="3"/>
  <c r="L20" i="3"/>
  <c r="E20" i="3"/>
  <c r="D20" i="3"/>
  <c r="C20" i="3"/>
  <c r="B20" i="3"/>
  <c r="Q19" i="3"/>
  <c r="P19" i="3"/>
  <c r="N19" i="3"/>
  <c r="M19" i="3"/>
  <c r="L19" i="3"/>
  <c r="X6" i="6" s="1"/>
  <c r="E19" i="3"/>
  <c r="D19" i="3"/>
  <c r="C19" i="3"/>
  <c r="B19" i="3"/>
  <c r="Q18" i="3"/>
  <c r="X11" i="6" s="1"/>
  <c r="P18" i="3"/>
  <c r="N18" i="3"/>
  <c r="M18" i="3"/>
  <c r="X7" i="6" s="1"/>
  <c r="L18" i="3"/>
  <c r="E18" i="3"/>
  <c r="D18" i="3"/>
  <c r="C18" i="3"/>
  <c r="B18" i="3"/>
  <c r="Q17" i="3"/>
  <c r="P17" i="3"/>
  <c r="X10" i="6" s="1"/>
  <c r="N17" i="3"/>
  <c r="X8" i="6" s="1"/>
  <c r="M17" i="3"/>
  <c r="L17" i="3"/>
  <c r="E17" i="3"/>
  <c r="D17" i="3"/>
  <c r="C17" i="3"/>
  <c r="B17" i="3"/>
  <c r="Q16" i="3"/>
  <c r="P16" i="3"/>
  <c r="N16" i="3"/>
  <c r="M16" i="3"/>
  <c r="L16" i="3"/>
  <c r="E16" i="3"/>
  <c r="D16" i="3"/>
  <c r="C16" i="3"/>
  <c r="B16" i="3"/>
  <c r="K16" i="3" s="1"/>
  <c r="Q15" i="3"/>
  <c r="P15" i="3"/>
  <c r="N15" i="3"/>
  <c r="M15" i="3"/>
  <c r="L15" i="3"/>
  <c r="E15" i="3"/>
  <c r="D15" i="3"/>
  <c r="C15" i="3"/>
  <c r="B15" i="3"/>
  <c r="K15" i="3" s="1"/>
  <c r="Q14" i="3"/>
  <c r="P14" i="3"/>
  <c r="N14" i="3"/>
  <c r="M14" i="3"/>
  <c r="L14" i="3"/>
  <c r="E14" i="3"/>
  <c r="D14" i="3"/>
  <c r="C14" i="3"/>
  <c r="B14" i="3"/>
  <c r="K14" i="3" s="1"/>
  <c r="Q13" i="3"/>
  <c r="P13" i="3"/>
  <c r="N13" i="3"/>
  <c r="M13" i="3"/>
  <c r="L13" i="3"/>
  <c r="E13" i="3"/>
  <c r="D13" i="3"/>
  <c r="C13" i="3"/>
  <c r="B13" i="3"/>
  <c r="K13" i="3" s="1"/>
  <c r="Q12" i="3"/>
  <c r="P12" i="3"/>
  <c r="N12" i="3"/>
  <c r="M12" i="3"/>
  <c r="L12" i="3"/>
  <c r="E12" i="3"/>
  <c r="D12" i="3"/>
  <c r="C12" i="3"/>
  <c r="B12" i="3"/>
  <c r="K12" i="3" s="1"/>
  <c r="Q11" i="3"/>
  <c r="P11" i="3"/>
  <c r="N11" i="3"/>
  <c r="M11" i="3"/>
  <c r="L11" i="3"/>
  <c r="E11" i="3"/>
  <c r="D11" i="3"/>
  <c r="C11" i="3"/>
  <c r="B11" i="3"/>
  <c r="K11" i="3" s="1"/>
  <c r="Q10" i="3"/>
  <c r="P10" i="3"/>
  <c r="N10" i="3"/>
  <c r="M10" i="3"/>
  <c r="L10" i="3"/>
  <c r="E10" i="3"/>
  <c r="D10" i="3"/>
  <c r="C10" i="3"/>
  <c r="B10" i="3"/>
  <c r="K10" i="3" s="1"/>
  <c r="Q9" i="3"/>
  <c r="P9" i="3"/>
  <c r="N9" i="3"/>
  <c r="M9" i="3"/>
  <c r="L9" i="3"/>
  <c r="E9" i="3"/>
  <c r="D9" i="3"/>
  <c r="C9" i="3"/>
  <c r="B9" i="3"/>
  <c r="K9" i="3" s="1"/>
  <c r="Q8" i="3"/>
  <c r="P8" i="3"/>
  <c r="N8" i="3"/>
  <c r="M8" i="3"/>
  <c r="L8" i="3"/>
  <c r="E8" i="3"/>
  <c r="D8" i="3"/>
  <c r="C8" i="3"/>
  <c r="B8" i="3"/>
  <c r="K8" i="3" s="1"/>
  <c r="Q7" i="3"/>
  <c r="P7" i="3"/>
  <c r="N7" i="3"/>
  <c r="M7" i="3"/>
  <c r="L7" i="3"/>
  <c r="E7" i="3"/>
  <c r="D7" i="3"/>
  <c r="C7" i="3"/>
  <c r="B7" i="3"/>
  <c r="K7" i="3" s="1"/>
  <c r="Q6" i="3"/>
  <c r="P6" i="3"/>
  <c r="N6" i="3"/>
  <c r="M6" i="3"/>
  <c r="L6" i="3"/>
  <c r="E6" i="3"/>
  <c r="C34" i="4" s="1"/>
  <c r="F34" i="4" s="1"/>
  <c r="D6" i="3"/>
  <c r="C6" i="3"/>
  <c r="B6" i="3"/>
  <c r="K6" i="3" s="1"/>
  <c r="Q5" i="3"/>
  <c r="P5" i="3"/>
  <c r="N5" i="3"/>
  <c r="M5" i="3"/>
  <c r="L5" i="3"/>
  <c r="J6" i="6" s="1"/>
  <c r="G7" i="12" s="1"/>
  <c r="E5" i="3"/>
  <c r="D5" i="3"/>
  <c r="C5" i="3"/>
  <c r="B15" i="4" s="1"/>
  <c r="B5" i="3"/>
  <c r="AD26" i="2"/>
  <c r="R26" i="3" s="1"/>
  <c r="AC26" i="2"/>
  <c r="AD25" i="2"/>
  <c r="R25" i="3" s="1"/>
  <c r="AC25" i="2"/>
  <c r="AD24" i="2"/>
  <c r="R24" i="3" s="1"/>
  <c r="AC24" i="2"/>
  <c r="AD23" i="2"/>
  <c r="R23" i="3" s="1"/>
  <c r="AC23" i="2"/>
  <c r="AD22" i="2"/>
  <c r="R22" i="3" s="1"/>
  <c r="AC22" i="2"/>
  <c r="AD21" i="2"/>
  <c r="R21" i="3" s="1"/>
  <c r="AC21" i="2"/>
  <c r="AD20" i="2"/>
  <c r="R20" i="3" s="1"/>
  <c r="AC20" i="2"/>
  <c r="AD19" i="2"/>
  <c r="R19" i="3" s="1"/>
  <c r="AC19" i="2"/>
  <c r="AD18" i="2"/>
  <c r="R18" i="3" s="1"/>
  <c r="AC18" i="2"/>
  <c r="AD17" i="2"/>
  <c r="R17" i="3" s="1"/>
  <c r="X13" i="6" s="1"/>
  <c r="AC17" i="2"/>
  <c r="AD16" i="2"/>
  <c r="R16" i="3" s="1"/>
  <c r="AC16" i="2"/>
  <c r="AD15" i="2"/>
  <c r="R15" i="3" s="1"/>
  <c r="AC15" i="2"/>
  <c r="AD14" i="2"/>
  <c r="R14" i="3" s="1"/>
  <c r="AC14" i="2"/>
  <c r="AD13" i="2"/>
  <c r="R13" i="3" s="1"/>
  <c r="AC13" i="2"/>
  <c r="AD12" i="2"/>
  <c r="R12" i="3" s="1"/>
  <c r="AC12" i="2"/>
  <c r="AD11" i="2"/>
  <c r="R11" i="3" s="1"/>
  <c r="AC11" i="2"/>
  <c r="AD10" i="2"/>
  <c r="R10" i="3" s="1"/>
  <c r="AC10" i="2"/>
  <c r="AD9" i="2"/>
  <c r="R9" i="3" s="1"/>
  <c r="AC9" i="2"/>
  <c r="AD8" i="2"/>
  <c r="R8" i="3" s="1"/>
  <c r="AC8" i="2"/>
  <c r="AD7" i="2"/>
  <c r="R7" i="3" s="1"/>
  <c r="AC7" i="2"/>
  <c r="AD6" i="2"/>
  <c r="R6" i="3" s="1"/>
  <c r="AC6" i="2"/>
  <c r="AD5" i="2"/>
  <c r="R5" i="3" s="1"/>
  <c r="AC5" i="2"/>
  <c r="H10" i="7" l="1"/>
  <c r="AB9" i="11"/>
  <c r="G8" i="12"/>
  <c r="G12" i="12"/>
  <c r="H5" i="7"/>
  <c r="AB6" i="11"/>
  <c r="J13" i="6"/>
  <c r="H11" i="7" s="1"/>
  <c r="J10" i="6"/>
  <c r="Y10" i="6" s="1"/>
  <c r="H12" i="7"/>
  <c r="AB5" i="11"/>
  <c r="Z11" i="6"/>
  <c r="Z8" i="6"/>
  <c r="Z6" i="6"/>
  <c r="Y6" i="6"/>
  <c r="Z7" i="6"/>
  <c r="Z13" i="6"/>
  <c r="J7" i="6"/>
  <c r="H7" i="7" s="1"/>
  <c r="T8" i="11"/>
  <c r="Z10" i="6"/>
  <c r="H6" i="7"/>
  <c r="S9" i="11"/>
  <c r="H11" i="12"/>
  <c r="U9" i="11"/>
  <c r="C6" i="4"/>
  <c r="Z12" i="6"/>
  <c r="T6" i="11"/>
  <c r="Y12" i="6"/>
  <c r="B33" i="4"/>
  <c r="E33" i="4" s="1"/>
  <c r="B12" i="4"/>
  <c r="B6" i="4"/>
  <c r="D6" i="4" s="1"/>
  <c r="C5" i="4"/>
  <c r="B11" i="4"/>
  <c r="B16" i="4" s="1"/>
  <c r="B5" i="4"/>
  <c r="B10" i="4"/>
  <c r="C7" i="4"/>
  <c r="Z15" i="6"/>
  <c r="T10" i="11"/>
  <c r="Y15" i="6"/>
  <c r="B34" i="4"/>
  <c r="E34" i="4" s="1"/>
  <c r="J8" i="6"/>
  <c r="H8" i="7" s="1"/>
  <c r="AB7" i="11"/>
  <c r="AB8" i="11"/>
  <c r="G10" i="12"/>
  <c r="H9" i="7"/>
  <c r="I8" i="11"/>
  <c r="J11" i="6"/>
  <c r="Y11" i="6" s="1"/>
  <c r="B7" i="4"/>
  <c r="D7" i="4" s="1"/>
  <c r="E7" i="4" s="1"/>
  <c r="F7" i="4" s="1"/>
  <c r="C33" i="4"/>
  <c r="F33" i="4" s="1"/>
  <c r="J12" i="3" s="1"/>
  <c r="Z17" i="6"/>
  <c r="Y17" i="6"/>
  <c r="B38" i="4"/>
  <c r="K5" i="3"/>
  <c r="J8" i="3"/>
  <c r="J16" i="3"/>
  <c r="J18" i="3"/>
  <c r="J26" i="3"/>
  <c r="B13" i="4"/>
  <c r="B18" i="4" s="1"/>
  <c r="Z14" i="6"/>
  <c r="Y14" i="6"/>
  <c r="Z16" i="6"/>
  <c r="Y16" i="6"/>
  <c r="G11" i="12"/>
  <c r="I5" i="11"/>
  <c r="G6" i="12"/>
  <c r="J7" i="3" l="1"/>
  <c r="J15" i="3"/>
  <c r="J19" i="3"/>
  <c r="Y13" i="6"/>
  <c r="U10" i="11"/>
  <c r="H12" i="12"/>
  <c r="S10" i="11"/>
  <c r="H10" i="12"/>
  <c r="S8" i="11"/>
  <c r="U8" i="11"/>
  <c r="Y8" i="6"/>
  <c r="J22" i="3"/>
  <c r="K22" i="3" s="1"/>
  <c r="J23" i="3"/>
  <c r="J5" i="3"/>
  <c r="D24" i="4"/>
  <c r="B24" i="4"/>
  <c r="I5" i="7"/>
  <c r="D23" i="4"/>
  <c r="B23" i="4"/>
  <c r="E6" i="4"/>
  <c r="U6" i="11"/>
  <c r="H8" i="12"/>
  <c r="S6" i="11"/>
  <c r="J9" i="3"/>
  <c r="B19" i="4"/>
  <c r="B20" i="4"/>
  <c r="F24" i="3"/>
  <c r="G24" i="3" s="1"/>
  <c r="I24" i="3" s="1"/>
  <c r="O23" i="3"/>
  <c r="F20" i="3"/>
  <c r="G20" i="3" s="1"/>
  <c r="I20" i="3" s="1"/>
  <c r="O19" i="3"/>
  <c r="F16" i="3"/>
  <c r="G16" i="3" s="1"/>
  <c r="I16" i="3" s="1"/>
  <c r="O15" i="3"/>
  <c r="F12" i="3"/>
  <c r="G12" i="3" s="1"/>
  <c r="I12" i="3" s="1"/>
  <c r="O11" i="3"/>
  <c r="F8" i="3"/>
  <c r="G8" i="3" s="1"/>
  <c r="I8" i="3" s="1"/>
  <c r="O7" i="3"/>
  <c r="O10" i="3"/>
  <c r="O26" i="3"/>
  <c r="F23" i="3"/>
  <c r="G23" i="3" s="1"/>
  <c r="I23" i="3" s="1"/>
  <c r="O22" i="3"/>
  <c r="F19" i="3"/>
  <c r="G19" i="3" s="1"/>
  <c r="I19" i="3" s="1"/>
  <c r="O18" i="3"/>
  <c r="F15" i="3"/>
  <c r="G15" i="3" s="1"/>
  <c r="I15" i="3" s="1"/>
  <c r="O14" i="3"/>
  <c r="F11" i="3"/>
  <c r="G11" i="3" s="1"/>
  <c r="I11" i="3" s="1"/>
  <c r="F26" i="3"/>
  <c r="G26" i="3" s="1"/>
  <c r="I26" i="3" s="1"/>
  <c r="O25" i="3"/>
  <c r="F22" i="3"/>
  <c r="G22" i="3" s="1"/>
  <c r="I22" i="3" s="1"/>
  <c r="O21" i="3"/>
  <c r="F18" i="3"/>
  <c r="G18" i="3" s="1"/>
  <c r="I18" i="3" s="1"/>
  <c r="O17" i="3"/>
  <c r="F14" i="3"/>
  <c r="G14" i="3" s="1"/>
  <c r="I14" i="3" s="1"/>
  <c r="O13" i="3"/>
  <c r="F10" i="3"/>
  <c r="G10" i="3" s="1"/>
  <c r="I10" i="3" s="1"/>
  <c r="O9" i="3"/>
  <c r="D5" i="4"/>
  <c r="E5" i="4" s="1"/>
  <c r="F5" i="4" s="1"/>
  <c r="O8" i="3"/>
  <c r="F7" i="3"/>
  <c r="G7" i="3" s="1"/>
  <c r="I7" i="3" s="1"/>
  <c r="O6" i="3"/>
  <c r="F6" i="3"/>
  <c r="G6" i="3" s="1"/>
  <c r="I6" i="3" s="1"/>
  <c r="O5" i="3"/>
  <c r="F5" i="3"/>
  <c r="G5" i="3" s="1"/>
  <c r="O24" i="3"/>
  <c r="O20" i="3"/>
  <c r="O16" i="3"/>
  <c r="F9" i="3"/>
  <c r="G9" i="3" s="1"/>
  <c r="I9" i="3" s="1"/>
  <c r="F21" i="3"/>
  <c r="G21" i="3" s="1"/>
  <c r="I21" i="3" s="1"/>
  <c r="O12" i="3"/>
  <c r="F13" i="3"/>
  <c r="G13" i="3" s="1"/>
  <c r="I13" i="3" s="1"/>
  <c r="F25" i="3"/>
  <c r="G25" i="3" s="1"/>
  <c r="I25" i="3" s="1"/>
  <c r="F17" i="3"/>
  <c r="G17" i="3" s="1"/>
  <c r="I17" i="3" s="1"/>
  <c r="B14" i="4"/>
  <c r="K26" i="3"/>
  <c r="K18" i="3"/>
  <c r="J11" i="3"/>
  <c r="D28" i="4"/>
  <c r="B28" i="4"/>
  <c r="J24" i="3"/>
  <c r="J20" i="3"/>
  <c r="J14" i="3"/>
  <c r="J10" i="3"/>
  <c r="J25" i="3"/>
  <c r="K25" i="3" s="1"/>
  <c r="J21" i="3"/>
  <c r="K21" i="3" s="1"/>
  <c r="J17" i="3"/>
  <c r="J6" i="3"/>
  <c r="J13" i="3"/>
  <c r="Y7" i="6"/>
  <c r="J9" i="6" l="1"/>
  <c r="D27" i="4"/>
  <c r="B27" i="4"/>
  <c r="K17" i="3"/>
  <c r="B41" i="4"/>
  <c r="B40" i="4"/>
  <c r="B42" i="4" s="1"/>
  <c r="B43" i="4" s="1"/>
  <c r="B39" i="4"/>
  <c r="K20" i="3"/>
  <c r="X9" i="6"/>
  <c r="K23" i="3"/>
  <c r="G9" i="12"/>
  <c r="I7" i="11"/>
  <c r="B48" i="4"/>
  <c r="B50" i="4"/>
  <c r="K24" i="3"/>
  <c r="B49" i="4"/>
  <c r="H26" i="3"/>
  <c r="H22" i="3"/>
  <c r="H18" i="3"/>
  <c r="H14" i="3"/>
  <c r="H10" i="3"/>
  <c r="H6" i="3"/>
  <c r="I5" i="3"/>
  <c r="H25" i="3"/>
  <c r="H21" i="3"/>
  <c r="H17" i="3"/>
  <c r="H13" i="3"/>
  <c r="H9" i="3"/>
  <c r="H24" i="3"/>
  <c r="H20" i="3"/>
  <c r="H16" i="3"/>
  <c r="H12" i="3"/>
  <c r="H8" i="3"/>
  <c r="H23" i="3"/>
  <c r="H19" i="3"/>
  <c r="H15" i="3"/>
  <c r="H7" i="3"/>
  <c r="H11" i="3"/>
  <c r="H5" i="3"/>
  <c r="B17" i="4"/>
  <c r="D26" i="4"/>
  <c r="F6" i="4"/>
  <c r="B26" i="4"/>
  <c r="D25" i="4"/>
  <c r="B25" i="4"/>
  <c r="K19" i="3"/>
  <c r="B51" i="4" l="1"/>
  <c r="B52" i="4" s="1"/>
  <c r="B44" i="4"/>
  <c r="B45" i="4" s="1"/>
  <c r="D29" i="4"/>
  <c r="B30" i="4" s="1"/>
  <c r="J5" i="7" s="1"/>
  <c r="B29" i="4"/>
  <c r="W5" i="6"/>
  <c r="X5" i="6" s="1"/>
  <c r="T5" i="11"/>
  <c r="B53" i="4"/>
  <c r="T7" i="11"/>
  <c r="Z9" i="6"/>
  <c r="Y9" i="6"/>
  <c r="U7" i="11" l="1"/>
  <c r="S7" i="11"/>
  <c r="H9" i="12"/>
  <c r="Z5" i="6"/>
  <c r="Y5" i="6"/>
  <c r="H6" i="12"/>
  <c r="S5" i="11"/>
  <c r="H7" i="12"/>
  <c r="U5" i="11"/>
  <c r="H5" i="12"/>
  <c r="B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Mês (1.º dia).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Referência (LBE) = mar/2025–fev/2026; Reporte = mar–ago/2026.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Dataset = produção real do dataset; Reconstruído = mar–jun/2025, anterior ao dataset (RG-SGA-13).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RG-SGA-13 (fatura), fonte única mar/2025–dez/2026, já com o efeito das ações de out–dez/2026.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Dias do mês.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Dias úteis (RG-SGA-13).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Temperatura média exterior (°C) — RG-SGA-13 (IPMA).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Graus-dia de arrefecimento base 15 °C = max(0; T − 15) × dias.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Eletricidade total da fatura (RG-SGA-13, medido).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Eletricidade do sopro (rateio RG-SGA-13).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Eletricidade da injeção (rateio).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Ar comprimido (rateio: 19% dos processos).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Arrefecimento (rateio com fator de temperatura).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Serviços gerais (base + AVAC).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Serigrafia (rateio).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Hot foil (rateio).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Tampas e potes produzidos (dataset).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Frascos produzidos (dataset).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Peças serigrafadas.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Peças com hot foil.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Horas de marcha da injeção.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Horas de marcha do sopro.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Horas de marcha da serigrafia.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Horas de marcha do hot foil.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Unidades das 4 máquinas novas (07/2026) — ALE-01.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Eletricidade atribuível às máquinas novas: horas × kW do RG-SGA-13 + quota de ar e frio (ALE-01).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Gasóleo da frota (L) — RG-SGA-19 S1-01.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Gasóleo do gerador (L) — RG-SGA-19 S1-02.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Σ usos − total (deve ser ≈ 0: arredondamentos).
[calculado]</t>
        </r>
      </text>
    </comment>
    <comment ref="AD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Energia final: eletricidade + gasóleo × 10 kWh/L (PCI ≈ 35,9 MJ/L).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Referência (LBE) ou Reporte.
[calculado]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Variável dependente: eletricidade real sem as máquinas novas (ALE-01).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Variável relevante 1: milhares de unidades INJ + SOP (sem máquinas novas).
[calculado]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Variável relevante 2: graus-dia de arrefecimento base 15 °C.
[calculado]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Energia esperada pelo modelo da LBE-01 nas condições do mês (normalização).
[calculado]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Real − esperado (negativo = poupança).
[calculado]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Soma acumulada das diferenças desde o início da LBE (tendência).
[calculado]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IDE-01: (esperado − real) ÷ esperado.
[calculado]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As variáveis do mês estão dentro do intervalo da LBE (± tolerância)? Fora do domínio o modelo extrapola (ISO 50006 §8.2).
[calculado]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Classificação do mês: limite = t(95%) × erro-padrão do modelo (9.1.1 — investigar desvios significativos).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IDE-02: kWh por 1.000 unidades (rácio, instalação completa).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IDE-03 (estimado).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IDE-04 (estimado).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IDE-05: termo independente do modelo ÷ real do mês.
[calculado]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IDE-06.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IDE-07 (constante por construção).
[calculado]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IDE-09.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Variável candidata.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Coluna em tbl_base_energia.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Origem do dado.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Coeficiente de correlação (Pearson) com o kWh total nos 12 meses de referência.
[calculado]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R² da regressão simples.
[calculado]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Relevante (entra no modelo) / Não relevante / Redundante.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Porquê (critério: significância estatística e sentido físico).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IDE-xx = indicador de desempenho energético; KPI-E-xx = indicador do sistema.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Nome do indicador.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Definição operacional.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Maior ou menor é melhor.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Tipo de IDE (ISO 50006 §6.2) — posição equivalente ao Tipo_ISO14031 do RG-SGA-05.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Frequência de cálculo.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Origem dos dados.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Dono do IDE (ISO 50006 tab. 1 — 'EnPI owner').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Valor da LBE: média dos 12 meses de referência (ou valor externo quando o IDE vem de outro registo).
[calculado]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Objetivo que o indicador mede.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Linhas do plano de recolha de dados (RG-SGE-06).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[Só SGE] Fronteira do IDE (ISO 50006 §5.3).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[Só SGE] Uso significativo abrangido.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[Só SGE] Variáveis relevantes consideradas (6.4).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[Só SGE] Fatores estáticos monitorizados.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[Só SGE] Se e como é normalizado (6.5; ISO 50006 §8).</t>
        </r>
      </text>
    </comment>
    <comment ref="R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[Só SGE] LBE correspondente.</t>
        </r>
      </text>
    </comment>
    <comment ref="S4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[Só SGE] Utilizadores do IDE (ISO 50006 §5.2).</t>
        </r>
      </text>
    </comment>
    <comment ref="T4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[Só SGE] Coluna em tbl_ide_mensal ('—' se vem de outro registo).</t>
        </r>
      </text>
    </comment>
    <comment ref="U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[Só SGE] Meta energética associada (percentagens como fração).</t>
        </r>
      </text>
    </comment>
    <comment ref="V4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[Só SGE] Valor da LBE quando o IDE é calculado noutro registo (à data de referência).</t>
        </r>
      </text>
    </comment>
    <comment ref="W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[Só SGE] Valor atual quando o IDE é calculado noutro registo.</t>
        </r>
      </text>
    </comment>
    <comment ref="X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[Só SGE] Média dos meses de reporte mar–dez/2026 (IDE-01: agregado oficial da LBE_Modelo; IDE-08 e KPI-E-01: valor de dez/2026).
[calculado]</t>
        </r>
      </text>
    </comment>
    <comment ref="Y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[Só SGE] Variação relativa do reporte face à LBE.
[calculado]</t>
        </r>
      </text>
    </comment>
    <comment ref="Z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[Só SGE] Estado face à meta.
[calculado]</t>
        </r>
      </text>
    </comment>
    <comment ref="AA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[Só SGE] Indicador equivalente no SGA/SGQ.</t>
        </r>
      </text>
    </comment>
    <comment ref="AB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[Só SGE] Medido / estimado / calculado (EN 17267).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Linha de base energética.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IDE que a usa.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O que é a LBE.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Início do período de referência.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Fim do período de referência.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Duração (meses).
[calculado]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Modelo / cálculo.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Valor da LBE (do catálogo).
[calculado]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R² (só modelos).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Resultado dos testes (LBE_Modelo).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Em vigor / planeado / substituída.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Aprovação pela equipa de gestão de energia.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Quando rever (6.5 a) IDE deixa de representar; b) fatores estáticos; c) método predeterminado).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Revisão prevista.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Alteração/ajuste.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Data a partir da qual tem efeito.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Fator estático / ação de melhoria / método de medição / tipo de energia.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O que mudou.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LBE afetadas.</t>
        </r>
      </text>
    </comment>
    <comment ref="F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Ajuste aplicado e justificação (ISO 50006 §9).</t>
        </r>
      </text>
    </comment>
    <comment ref="G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O que falta fazer.</t>
        </r>
      </text>
    </comment>
    <comment ref="H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Aprovado / planeado.</t>
        </r>
      </text>
    </comment>
    <comment ref="I4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J4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Aprovação.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Fator estático.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Fator que não varia rotineiramente mas afeta o desempenho (ISO 50006 3.1.18).</t>
        </r>
      </text>
    </comment>
    <comment ref="C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Condição no período de referência.</t>
        </r>
      </text>
    </comment>
    <comment ref="D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Condição à data de referência.</t>
        </r>
      </text>
    </comment>
    <comment ref="E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Sem alteração / alterado.</t>
        </r>
      </text>
    </comment>
    <comment ref="F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Tratamento.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B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C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E4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[Só SGE] Origem do valor.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Objetivo energético / do SGE.</t>
        </r>
      </text>
    </comment>
    <comment ref="B4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Compromisso da política energética (RG-SGE-02).</t>
        </r>
      </text>
    </comment>
    <comment ref="C4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De onde nasce (revisão energética, contexto, requisito).</t>
        </r>
      </text>
    </comment>
    <comment ref="D4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IDs de origem (USE, OPE, riscos).</t>
        </r>
      </text>
    </comment>
    <comment ref="E4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Problema ou oportunidade que justifica o objetivo.</t>
        </r>
      </text>
    </comment>
    <comment ref="F4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Objetivo mensurável (6.2.2 b).</t>
        </r>
      </text>
    </comment>
    <comment ref="G4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IDE que mede o objetivo.</t>
        </r>
      </text>
    </comment>
    <comment ref="H4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Nome e unidade do IDE.
[calculado]</t>
        </r>
      </text>
    </comment>
    <comment ref="I4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Valor da LBE.
[calculado]</t>
        </r>
      </text>
    </comment>
    <comment ref="J4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Absoluta / relativa.</t>
        </r>
      </text>
    </comment>
    <comment ref="K4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Meta em texto.</t>
        </r>
      </text>
    </comment>
    <comment ref="L4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Meta numérica (percentagens como fração).</t>
        </r>
      </text>
    </comment>
    <comment ref="M4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N4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Pessoas (6.2.3).</t>
        </r>
      </text>
    </comment>
    <comment ref="O4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Meios materiais (6.2.3).</t>
        </r>
      </text>
    </comment>
    <comment ref="P4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Orçamento (6.2.3).</t>
        </r>
      </text>
    </comment>
    <comment ref="Q4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Responsável (6.2.3).</t>
        </r>
      </text>
    </comment>
    <comment ref="R4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Planos de ação (tbl_planos_acao) — mesmo nome de coluna do RG-SGA-05.</t>
        </r>
      </text>
    </comment>
    <comment ref="S4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Estado face à meta.
[calculado]</t>
        </r>
      </text>
    </comment>
    <comment ref="T4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Valor do período de reporte (IDE-01: melhoria agregada dentro do domínio, LBE_Modelo).
[calculado]</t>
        </r>
      </text>
    </comment>
    <comment ref="U4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Caminho baseline → meta já percorrido.
[calculado]</t>
        </r>
      </text>
    </comment>
    <comment ref="V4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  <comment ref="W4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S.
[calculado]</t>
        </r>
      </text>
    </comment>
    <comment ref="X4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M (6.2.2 b).
[calculado]</t>
        </r>
      </text>
    </comment>
    <comment ref="Y4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A (6.2.3).
[calculado]</t>
        </r>
      </text>
    </comment>
    <comment ref="Z4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R (6.2.2 a, d, e).
[calculado]</t>
        </r>
      </text>
    </comment>
    <comment ref="AA4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T.
[calculado]</t>
        </r>
      </text>
    </comment>
    <comment ref="AB4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SMART.
[calculado]</t>
        </r>
      </text>
    </comment>
    <comment ref="AC4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Aprovação (revisão pela gestão RD-E-2026-01).</t>
        </r>
      </text>
    </comment>
    <comment ref="AD4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[Só SGE] USE considerados (6.2.2 d).</t>
        </r>
      </text>
    </comment>
    <comment ref="AE4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[Só SGE] Oportunidades da revisão energética (6.2.2 e).</t>
        </r>
      </text>
    </comment>
    <comment ref="AF4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[Só SGE] Requisitos aplicáveis considerados (6.2.2 c).</t>
        </r>
      </text>
    </comment>
    <comment ref="AG4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[Só SGE] Como é comunicado (6.2.2 g).</t>
        </r>
      </text>
    </comment>
    <comment ref="AH4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[Só SGE] Objetivo/ação equivalente no SGA.</t>
        </r>
      </text>
    </comment>
    <comment ref="AI4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[Só SGE] Da definição do IDE.
[calculado]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Meta energética (6.2.1).</t>
        </r>
      </text>
    </comment>
    <comment ref="B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Objetivo.</t>
        </r>
      </text>
    </comment>
    <comment ref="C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IDE.</t>
        </r>
      </text>
    </comment>
    <comment ref="D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Meta.</t>
        </r>
      </text>
    </comment>
    <comment ref="E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Valor-alvo.</t>
        </r>
      </text>
    </comment>
    <comment ref="F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G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LBE.
[calculado]</t>
        </r>
      </text>
    </comment>
    <comment ref="H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Valor atual (do objetivo).
[calculado]</t>
        </r>
      </text>
    </comment>
    <comment ref="I4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Unidade.
[calculado]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Plano de ação.</t>
        </r>
      </text>
    </comment>
    <comment ref="B4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Objetivo.</t>
        </r>
      </text>
    </comment>
    <comment ref="C4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O que vai ser feito (6.2.3).</t>
        </r>
      </text>
    </comment>
    <comment ref="D4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Recursos necessários (6.2.3).</t>
        </r>
      </text>
    </comment>
    <comment ref="E4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Custo previsto.</t>
        </r>
      </text>
    </comment>
    <comment ref="F4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Quem é responsável (6.2.3).</t>
        </r>
      </text>
    </comment>
    <comment ref="G4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H4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Quando será concluído (6.2.3).</t>
        </r>
      </text>
    </comment>
    <comment ref="I4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Como os resultados serão avaliados (6.2.3).</t>
        </r>
      </text>
    </comment>
    <comment ref="J4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Método para verificar a melhoria do desempenho energético (6.2.3 → 9.1; IPMVP/ISO 50015).</t>
        </r>
      </text>
    </comment>
    <comment ref="K4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Poupança anual prevista (MWh).</t>
        </r>
      </text>
    </comment>
    <comment ref="L4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M4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Integração nos processos de negócio (6.2.3).</t>
        </r>
      </text>
    </comment>
    <comment ref="N4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Ação equivalente no PAM do SGA.</t>
        </r>
      </text>
    </comment>
    <comment ref="O4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Oportunidade da revisão energética (RG-SGE-04).</t>
        </r>
      </text>
    </comment>
    <comment ref="P4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  <comment ref="Q4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Poupança anual prevista (€) ao preço médio da eletricidade (RG-SGE-09).
[calculado]</t>
        </r>
      </text>
    </comment>
    <comment ref="R4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Retorno simples.
[calculado]</t>
        </r>
      </text>
    </comment>
  </commentList>
</comments>
</file>

<file path=xl/sharedStrings.xml><?xml version="1.0" encoding="utf-8"?>
<sst xmlns="http://schemas.openxmlformats.org/spreadsheetml/2006/main" count="2531" uniqueCount="1033">
  <si>
    <t>RG-SGE-05 — IDE, Linhas de Base Energéticas, Normalização, Objetivos, Metas e Planos de Ação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</si>
  <si>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</si>
  <si>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</si>
  <si>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</si>
  <si>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RG-SGE-05</t>
  </si>
  <si>
    <t>Título</t>
  </si>
  <si>
    <t>IDE, Linhas de Base Energéticas, Normalização, Objetivos, Metas e Planos de Ação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</si>
  <si>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</si>
  <si>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</si>
  <si>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</si>
  <si>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</si>
  <si>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</si>
  <si>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</si>
  <si>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</si>
  <si>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</si>
  <si>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</si>
  <si>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</si>
  <si>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</si>
  <si>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</si>
  <si>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</si>
  <si>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</si>
  <si>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</si>
  <si>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Base mensal de energia 2025-03 a 2026-12 (fonte única RG-SGA-13) com as variáveis relevantes; modelo estatístico da LBE-01 calculado por LINEST sobre 2025-03–2026-02 com testes de validade; IDE mensais por fórmula (esperado, diferença, CUSUM, domínio de validade); catálogo de IDE; registo das LBE e das suas alterações; fatores estáticos; objetivos, metas energéticas e planos de ação ligados aos IDE.</t>
  </si>
  <si>
    <t>Utilização / atividades</t>
  </si>
  <si>
    <t>Definir os indicadores de desempenho energético e as linhas de base; normalizar pelas variáveis relevantes; comparar os IDE com as LBE todos os meses; demonstrar (ou não) a melhoria do desempenho energético; estabelecer objetivos, metas energéticas e planos de ação.</t>
  </si>
  <si>
    <t>Requisitos ISO 50001:2018</t>
  </si>
  <si>
    <t>6.2.1 objetivos e metas energéticas; 6.2.2 a)–h) (reter); 6.2.3 planos de ação (o quê, recursos, quem, quando, como avaliar, método de verificação — reter); 6.4 IDE (metodologia mantida; valores retidos; considerar variáveis relevantes); 6.5 LBE (normalização; revisão nos casos a)–c); reter LBE, variáveis e modificações); 9.1.1 (melhoria avaliada comparando IDE com LBE); 5.1 l) (IDE representam o desempenho); 10.2 (demonstrar melhoria contínua do desempenho energético).</t>
  </si>
  <si>
    <t>NORMAS DE ORIENTAÇÃO E REFERÊNCIAS APLICADAS (orientação — não são requisitos auditáveis da ISO 50001)</t>
  </si>
  <si>
    <t>ISO 50006:2023 §5.2–5.3 e tabela 1</t>
  </si>
  <si>
    <t>Utilizadores e fronteira de cada IDE (colunas Utilizadores e Fronteira do tbl_kpi).</t>
  </si>
  <si>
    <t>ISO 50006:2023 §6.2 (tipos de IDE)</t>
  </si>
  <si>
    <t>Valor medido (IDE-09), rácio (IDE-02 a 04, 06 a 08, 10) e modelo estatístico (IDE-01, IDE-05).</t>
  </si>
  <si>
    <t>ISO 50006:2023 §7.2 (período de referência)</t>
  </si>
  <si>
    <t>12 meses (mar/2025–fev/2026) para cobrir o ciclo completo da temperatura; termina antes dos compressores VSD.</t>
  </si>
  <si>
    <t>ISO 50006:2023 §8 e anexos D–F (normalização)</t>
  </si>
  <si>
    <t>Energia esperada = modelo da LBE aplicado às variáveis do mês; comparação sob condições equivalentes.</t>
  </si>
  <si>
    <t>ISO 50006:2023 §9.2 (fatores estáticos)</t>
  </si>
  <si>
    <t>Ajuste não rotineiro ALE-01 (4 máquinas novas em 07/2026) e tbl_fatores_estaticos.</t>
  </si>
  <si>
    <t>ISO 50006:2023 §10.3 (demonstrar melhoria)</t>
  </si>
  <si>
    <t>Soma do período de reporte dentro do domínio, comparada com a incerteza do modelo.</t>
  </si>
  <si>
    <t>LBNL — EnPI Lite 'Valid model requirements' / 50001 Ready M&amp;V Protocol</t>
  </si>
  <si>
    <t>R² ≥ 0,5; p &lt; 0,2 em todas as variáveis e &lt; 0,1 em pelo menos uma; teste F com p &lt; 0,1 (folha LBE_Modelo).</t>
  </si>
  <si>
    <t>ASHRAE Guideline 14 (dados mensais)</t>
  </si>
  <si>
    <t>CV(RMSE) ≤ 15% e NMBE ±5%; R² recomendado &gt; 0,75; incerteza da poupança a 95%.</t>
  </si>
  <si>
    <t>EVO — IPMVP Core Concepts (opções A–D)</t>
  </si>
  <si>
    <t>Método de verificação de cada plano de ação (6.2.3) e ajustes não rotineiros.</t>
  </si>
  <si>
    <t>Kent, R. — Energy Management in Plastics Processing (BPF/Tangram)</t>
  </si>
  <si>
    <t>'Impressão digital' energética: carga de base (IDE-05, típico 20–40%) + consumo proporcional à produção; o SEC mensal engana quando a produção varia.</t>
  </si>
  <si>
    <t>REQUISITOS LEGAIS E OUTROS REQUISITOS APLICADOS (4.2, 9.1.2 — lista completa no RG-SGE-11)</t>
  </si>
  <si>
    <t>DL 71/2008 (SGCIE) — LEG-08</t>
  </si>
  <si>
    <t>Consumo específico e intensidade energética são indicadores do PREn (RG-SGE-10); o IDE-02 e o IDE-09 alimentam-nos.</t>
  </si>
  <si>
    <t>ESTRUTURA DO FICHEIRO</t>
  </si>
  <si>
    <t>Base_Mensal</t>
  </si>
  <si>
    <t>Base mensal de energia e variáveis relevantes (RG-SGA-13, dataset, RG-SGA-19).</t>
  </si>
  <si>
    <t>IDE_Mensal</t>
  </si>
  <si>
    <t>IDE mensais calculados por fórmula: energia esperada pela LBE, diferença, CUSUM, melhoria normalizada, domínio de validade e rácios.</t>
  </si>
  <si>
    <t>LBE_Modelo</t>
  </si>
  <si>
    <t>Modelo estatístico da LBE-01 calculado por LINEST, testes de validade, domínio e demonstração da melhoria no período de reporte.</t>
  </si>
  <si>
    <t>Variaveis_Relevantes</t>
  </si>
  <si>
    <t>Seleção das variáveis relevantes (6.4, 6.5; ISO 50006 §5.5 e anexo D).</t>
  </si>
  <si>
    <t>Catalogo_IDE</t>
  </si>
  <si>
    <t>Catálogo de IDE e KPI do SGE: tipo, fronteira, variáveis, normalização, LBE, dono e utilizadores (6.4; ISO 50006 §5–6).</t>
  </si>
  <si>
    <t>Registo_LBE</t>
  </si>
  <si>
    <t>Registo das LBE (6.5 — reter as LBE, os dados das variáveis relevantes e as modificações).</t>
  </si>
  <si>
    <t>Alteracoes_LBE</t>
  </si>
  <si>
    <t>Modificações às LBE e ajustes não rotineiros (6.5 — reter).</t>
  </si>
  <si>
    <t>Fatores_Estaticos</t>
  </si>
  <si>
    <t>Fatores estáticos monitorizados para decidir revisões da LBE (6.5 b).</t>
  </si>
  <si>
    <t>Parametros</t>
  </si>
  <si>
    <t>Parâmetros usados nos cálculos deste registo (mesma estrutura do RG-SGA-13 tbl_parametros).</t>
  </si>
  <si>
    <t>Objetivos_Energeticos</t>
  </si>
  <si>
    <t>Objetivos energéticos e do SGE (6.2.1, 6.2.2 a–h) — mesmas colunas do RG-SGA-05 tbl_objetivos.</t>
  </si>
  <si>
    <t>Metas_Energeticas</t>
  </si>
  <si>
    <t>Metas energéticas quantificadas por IDE (6.2.1 — 'a organização deve estabelecer metas energéticas').</t>
  </si>
  <si>
    <t>Planos_Acao</t>
  </si>
  <si>
    <t>Planos de ação energéticos (6.2.3 — reter).</t>
  </si>
  <si>
    <t>Metodologia_IDE_LBE</t>
  </si>
  <si>
    <t>Metodologia para determinar e atualizar IDE e LBE (6.4 — manter como informação documentada; resumo do PR-SGE-03).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</si>
  <si>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</si>
  <si>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</si>
  <si>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</si>
  <si>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</si>
  <si>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</si>
  <si>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</si>
  <si>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</si>
  <si>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</si>
  <si>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</si>
  <si>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</si>
  <si>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</si>
  <si>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</si>
  <si>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</si>
  <si>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</si>
  <si>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</si>
  <si>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</si>
  <si>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</si>
  <si>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</si>
  <si>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RG-SGA-13</t>
  </si>
  <si>
    <t>Fonte única da eletricidade mensal por uso (tbl_dados_ambientais) — alterar lá, não aqui.</t>
  </si>
  <si>
    <t>RG-SGA-05</t>
  </si>
  <si>
    <t>OBJ-01 e KPI-01 (SEC) — o SGE mede o mesmo desempenho normalizado (IDE-01) e em rácio (IDE-02).</t>
  </si>
  <si>
    <t>RG-SGE-04</t>
  </si>
  <si>
    <t>USE e oportunidades (OPE-xx) que originam os objetivos e planos.</t>
  </si>
  <si>
    <t>RG-SGE-06</t>
  </si>
  <si>
    <t>Plano de recolha de dados (DAD-xx) que alimenta os IDE.</t>
  </si>
  <si>
    <t>RG-SGE-11</t>
  </si>
  <si>
    <t>Desvios significativos (9.1.1) e M&amp;V das poupanças por ação (ISO 50015 / IPMVP).</t>
  </si>
  <si>
    <t>RG-SGE-02</t>
  </si>
  <si>
    <t>Compromissos da política energética (POL-E-xx) a que os objetivos dão corpo.</t>
  </si>
  <si>
    <t>BASE MENSAL DE ENERGIA E VARIÁVEIS RELEVANTES</t>
  </si>
  <si>
    <t>2025-03-01 a 2026-12-31 · Eletricidade: RG-SGA-13 (fonte única, mar/2025–dez/2026) · Referência = 12 primeiros meses · Reporte = mar–dez/2026</t>
  </si>
  <si>
    <t>Mes</t>
  </si>
  <si>
    <t>Periodo</t>
  </si>
  <si>
    <t>Qualidade_Producao</t>
  </si>
  <si>
    <t>Fonte_Energia</t>
  </si>
  <si>
    <t>Dias_Calendario</t>
  </si>
  <si>
    <t>Dias_Uteis</t>
  </si>
  <si>
    <t>Temp_Media_C</t>
  </si>
  <si>
    <t>CDD_15</t>
  </si>
  <si>
    <t>kWh_Total</t>
  </si>
  <si>
    <t>kWh_SOP</t>
  </si>
  <si>
    <t>kWh_INJ</t>
  </si>
  <si>
    <t>kWh_UTL_AR</t>
  </si>
  <si>
    <t>kWh_UTL_FRIO</t>
  </si>
  <si>
    <t>kWh_GER</t>
  </si>
  <si>
    <t>kWh_SER</t>
  </si>
  <si>
    <t>kWh_HFS</t>
  </si>
  <si>
    <t>Unid_INJ</t>
  </si>
  <si>
    <t>Unid_SOP</t>
  </si>
  <si>
    <t>Unid_SER</t>
  </si>
  <si>
    <t>Unid_HFS</t>
  </si>
  <si>
    <t>Horas_INJ</t>
  </si>
  <si>
    <t>Horas_SOP</t>
  </si>
  <si>
    <t>Horas_SER</t>
  </si>
  <si>
    <t>Horas_HFS</t>
  </si>
  <si>
    <t>Unid_Maquinas_Novas</t>
  </si>
  <si>
    <t>kWh_Maquinas_Novas</t>
  </si>
  <si>
    <t>L_Gasoleo_Frota</t>
  </si>
  <si>
    <t>L_Gasoleo_Gerador</t>
  </si>
  <si>
    <t>Verif_Soma_Usos</t>
  </si>
  <si>
    <t>Energia_Final_MWh</t>
  </si>
  <si>
    <t>Referência (LBE)</t>
  </si>
  <si>
    <t>Reconstruído (pré-dataset)</t>
  </si>
  <si>
    <t>RG-SGA-13 (fatura)</t>
  </si>
  <si>
    <t>Dataset</t>
  </si>
  <si>
    <t>Reporte</t>
  </si>
  <si>
    <t>IDE MENSAIS — COMPARAÇÃO COM A LBE (ISO 50001 9.1.1; ISO 50006 §8 e §10)</t>
  </si>
  <si>
    <t>Tudo calculado · kWh_Esperado = LBE-01 aplicada às variáveis do mês · Fora do domínio = variáveis fora do intervalo da referência (não usar para demonstrar melhoria)</t>
  </si>
  <si>
    <t>Y_kWh_Ajustado</t>
  </si>
  <si>
    <t>X1_Unid_mil</t>
  </si>
  <si>
    <t>X2_CDD</t>
  </si>
  <si>
    <t>kWh_Esperado</t>
  </si>
  <si>
    <t>Diferenca_kWh</t>
  </si>
  <si>
    <t>CUSUM_kWh</t>
  </si>
  <si>
    <t>Melhoria_Pct</t>
  </si>
  <si>
    <t>Dentro_Dominio</t>
  </si>
  <si>
    <t>Estado_IDE01</t>
  </si>
  <si>
    <t>SEC_Real</t>
  </si>
  <si>
    <t>SEC_SOP</t>
  </si>
  <si>
    <t>SEC_INJ</t>
  </si>
  <si>
    <t>Carga_Base_Pct</t>
  </si>
  <si>
    <t>Racio_Frio</t>
  </si>
  <si>
    <t>Racio_Ar</t>
  </si>
  <si>
    <t>LBE-01 — MODELO ESTATÍSTICO, VALIDADE E DEMONSTRAÇÃO DA MELHORIA — calculado</t>
  </si>
  <si>
    <t>kWh ajustado = a + b1 × (mil unidades INJ+SOP) + b2 × CDD₁₅ · Referência 2025-03-01 a 2026-02-28 (12 meses) · LINEST sobre IDE_Mensal</t>
  </si>
  <si>
    <t>Termo</t>
  </si>
  <si>
    <t>Coeficiente</t>
  </si>
  <si>
    <t>Erro-padrão</t>
  </si>
  <si>
    <t>t</t>
  </si>
  <si>
    <t>p-valor</t>
  </si>
  <si>
    <t>Cumpre p &lt; 0,2?</t>
  </si>
  <si>
    <t>Interpretação</t>
  </si>
  <si>
    <t>a — carga de base (kWh/mês)</t>
  </si>
  <si>
    <t>Energia consumida sem produção nem calor: iluminação, AVAC, utilidades em vazio, máquinas em espera (≈ 'base load' de Kent).</t>
  </si>
  <si>
    <t>b1 — kWh por mil unidades (INJ+SOP)</t>
  </si>
  <si>
    <t>Consumo marginal de produção: cada mil unidades adicionais custam b1 kWh.</t>
  </si>
  <si>
    <t>b2 — kWh por grau-dia de arrefecimento</t>
  </si>
  <si>
    <t>Efeito do calor no arrefecimento de moldes e no AVAC.</t>
  </si>
  <si>
    <t>Estatística do modelo</t>
  </si>
  <si>
    <t>Valor</t>
  </si>
  <si>
    <t>R²</t>
  </si>
  <si>
    <t>Erro-padrão da estimativa (kWh)</t>
  </si>
  <si>
    <t>Estatística F</t>
  </si>
  <si>
    <t>Graus de liberdade (n − p − 1)</t>
  </si>
  <si>
    <t>p-valor do teste F</t>
  </si>
  <si>
    <t>Média de Y na referência (kWh)</t>
  </si>
  <si>
    <t>CV(RMSE)</t>
  </si>
  <si>
    <t>NMBE</t>
  </si>
  <si>
    <t>t(95%; gl)</t>
  </si>
  <si>
    <t>Limite de desvio significativo mensal (kWh) = t × erro-padrão</t>
  </si>
  <si>
    <t>Carga de base em % do consumo médio</t>
  </si>
  <si>
    <t>Teste de validade</t>
  </si>
  <si>
    <t>Critério</t>
  </si>
  <si>
    <t>Resultado</t>
  </si>
  <si>
    <t>Fonte do critério</t>
  </si>
  <si>
    <t>Leitura</t>
  </si>
  <si>
    <t>R² (EnPI Lite)</t>
  </si>
  <si>
    <t>≥ 0,50</t>
  </si>
  <si>
    <t>LBNL EnPI Lite / 50001 Ready M&amp;V</t>
  </si>
  <si>
    <t>Fração da variação mensal explicada pelas variáveis.</t>
  </si>
  <si>
    <t>R² (ASHRAE 14, recomendado)</t>
  </si>
  <si>
    <t>&gt; 0,75</t>
  </si>
  <si>
    <t>ASHRAE Guideline 14</t>
  </si>
  <si>
    <t>Recomendação para modelos mensais; valores perto do limite pedem mais dados medidos.</t>
  </si>
  <si>
    <t>p-valor de todas as variáveis</t>
  </si>
  <si>
    <t>&lt; 0,20</t>
  </si>
  <si>
    <t>LBNL EnPI Lite</t>
  </si>
  <si>
    <t>Cada variável relevante tem efeito estatisticamente distinguível.</t>
  </si>
  <si>
    <t>p-valor de pelo menos uma variável</t>
  </si>
  <si>
    <t>&lt; 0,10</t>
  </si>
  <si>
    <t>O modelo no seu conjunto é significativo.</t>
  </si>
  <si>
    <t>≤ 15%</t>
  </si>
  <si>
    <t>ASHRAE Guideline 14 (mensal)</t>
  </si>
  <si>
    <t>Dispersão do modelo face à média — base da incerteza da poupança.</t>
  </si>
  <si>
    <t>entre −5% e +5%</t>
  </si>
  <si>
    <t>Sem enviesamento sistemático (≈ 0 por construção em mínimos quadrados).</t>
  </si>
  <si>
    <t>Modelo válido para a LBE-01?</t>
  </si>
  <si>
    <t>Domínio de validade (ISO 50006 §8.2)</t>
  </si>
  <si>
    <t>Mínimo</t>
  </si>
  <si>
    <t>Máximo</t>
  </si>
  <si>
    <t>Tolerância</t>
  </si>
  <si>
    <t>Mín. aceite</t>
  </si>
  <si>
    <t>Máx. aceite</t>
  </si>
  <si>
    <t>Nota</t>
  </si>
  <si>
    <t>X1 — mil unidades INJ+SOP</t>
  </si>
  <si>
    <t>Fora destes limites o modelo extrapola: o mês não entra na demonstração da melhoria.</t>
  </si>
  <si>
    <t>X2 — CDD₁₅</t>
  </si>
  <si>
    <t>Com CDD = 0 no inverno, o mínimo aceite é 0.</t>
  </si>
  <si>
    <t>Demonstração da melhoria (ISO 50001 9.1.1 e 10.2; ISO 50006 §10.3)</t>
  </si>
  <si>
    <t>Meses de reporte</t>
  </si>
  <si>
    <t>Meses de reporte dentro do domínio (m)</t>
  </si>
  <si>
    <t>Só estes meses servem para demonstrar melhoria.</t>
  </si>
  <si>
    <t>Σ kWh esperado (dentro do domínio)</t>
  </si>
  <si>
    <t>Σ kWh real ajustado (dentro do domínio)</t>
  </si>
  <si>
    <t>Poupança normalizada (kWh) = esperado − real</t>
  </si>
  <si>
    <t>Positivo = melhoria; negativo = piorou.</t>
  </si>
  <si>
    <t>Melhoria do desempenho energético (%)</t>
  </si>
  <si>
    <t>IDE-01 agregado no período de reporte.</t>
  </si>
  <si>
    <t>Incerteza a 95% (kWh) ≈ t × erro-padrão × √m</t>
  </si>
  <si>
    <t>Aproximação da ASHRAE 14 sem termos de alavancagem (conservadora para m pequeno).</t>
  </si>
  <si>
    <t>Conclusão</t>
  </si>
  <si>
    <t>Para a certificação (ISO 50003:2021) a melhoria tem de ser demonstrada; ver RG-SGE-11 (M&amp;V por ação) e PA-E-01 (submedição).</t>
  </si>
  <si>
    <t>Após as ações de standby e ar comprimido (out–dez/2026)</t>
  </si>
  <si>
    <t>Meses dentro do domínio (m)</t>
  </si>
  <si>
    <t>Σ kWh esperado</t>
  </si>
  <si>
    <t>Σ kWh real ajustado</t>
  </si>
  <si>
    <t>Poupança normalizada (kWh)</t>
  </si>
  <si>
    <t>Comparar com a poupança verificada por ação (RG-SGE-11).</t>
  </si>
  <si>
    <t>Melhoria (%)</t>
  </si>
  <si>
    <t>Incerteza a 95% (kWh)</t>
  </si>
  <si>
    <t>Evidência para a ISO 50003: melhoria demonstrada depois da implementação das ações (ISO 50006 §10.3).</t>
  </si>
  <si>
    <t>VARIÁVEIS RELEVANTES CANDIDATAS — SELEÇÃO (ISO 50006 §5.5)</t>
  </si>
  <si>
    <t>Correlação calculada nos 12 meses de referência · Critério de relevância: significativa no modelo (p &lt; 0,2) e com explicação física</t>
  </si>
  <si>
    <t>ID_Variavel</t>
  </si>
  <si>
    <t>Variavel</t>
  </si>
  <si>
    <t>Coluna_Base</t>
  </si>
  <si>
    <t>Fonte</t>
  </si>
  <si>
    <t>Unidade</t>
  </si>
  <si>
    <t>Correlacao_com_kWh</t>
  </si>
  <si>
    <t>R2_Simples</t>
  </si>
  <si>
    <t>Decisao</t>
  </si>
  <si>
    <t>Justificacao</t>
  </si>
  <si>
    <t>VAR-01</t>
  </si>
  <si>
    <t>Unidades produzidas INJ + SOP</t>
  </si>
  <si>
    <t>Dataset (MES)</t>
  </si>
  <si>
    <t>un</t>
  </si>
  <si>
    <t>Relevante</t>
  </si>
  <si>
    <t>Maior correlação com sentido físico; variável de negócio que a produção controla. Entra como X1 (soma INJ+SOP, milhares).</t>
  </si>
  <si>
    <t>VAR-02</t>
  </si>
  <si>
    <t>Graus-dia de arrefecimento (base 15 °C)</t>
  </si>
  <si>
    <t>IPMA (via RG-SGA-13)</t>
  </si>
  <si>
    <t>°C·dia</t>
  </si>
  <si>
    <t>Relevante (com reserva)</t>
  </si>
  <si>
    <t>Explica fisicamente o arrefecimento e o AVAC no verão e reduz o erro nos meses quentes, mas p ≈ 0,27 (&gt; 0,2) com 12 meses de rateio. Mantida com reserva registada (LBE válida com reserva); reavaliar com os dados medidos dos analisadores (ALE-03).</t>
  </si>
  <si>
    <t>VAR-03</t>
  </si>
  <si>
    <t>Horas de marcha da injeção</t>
  </si>
  <si>
    <t>h</t>
  </si>
  <si>
    <t>Redundante</t>
  </si>
  <si>
    <t>Muito correlacionada com as unidades (a energia do rateio é horas × kW). Não se usam as duas: preferidas as unidades (saída útil).</t>
  </si>
  <si>
    <t>VAR-04</t>
  </si>
  <si>
    <t>Horas de marcha do sopro</t>
  </si>
  <si>
    <t>Correlação mais alta que as unidades (a energia do rateio é horas × kW) e um modelo horas + CDD teria R² ≈ 0,86 — rejeitado: normalizar por horas esconderia as perdas de produtividade (marcha lenta, microparagens) que são desperdício de energia. A ISO 50006 recomenda variáveis de saída útil quando possível.</t>
  </si>
  <si>
    <t>VAR-05</t>
  </si>
  <si>
    <t>Dias úteis</t>
  </si>
  <si>
    <t>Calendário</t>
  </si>
  <si>
    <t>dias</t>
  </si>
  <si>
    <t>Excluída</t>
  </si>
  <si>
    <t>Efeito já captado pelas unidades produzidas; correlação fraca isoladamente.</t>
  </si>
  <si>
    <t>VAR-06</t>
  </si>
  <si>
    <t>Temperatura média exterior</t>
  </si>
  <si>
    <t>IPMA</t>
  </si>
  <si>
    <t>°C</t>
  </si>
  <si>
    <t>Substituída pelos graus-dia (relação não linear: só acima de 15 °C há carga de arrefecimento).</t>
  </si>
  <si>
    <t>CATÁLOGO DE INDICADORES DE DESEMPENHO ENERGÉTICO (6.4) — ISO 50006</t>
  </si>
  <si>
    <t>Mesmas colunas do RG-SGA-05 tbl_kpi nas primeiras 12 posições · Baseline e valor de reporte calculados a partir de IDE_Mensal</t>
  </si>
  <si>
    <t>ID_KPI</t>
  </si>
  <si>
    <t>Nome</t>
  </si>
  <si>
    <t>Formula_Calculo</t>
  </si>
  <si>
    <t>Polaridade</t>
  </si>
  <si>
    <t>Tipo_IDE_ISO50006</t>
  </si>
  <si>
    <t>Frequencia</t>
  </si>
  <si>
    <t>Fonte_Dados</t>
  </si>
  <si>
    <t>Responsavel</t>
  </si>
  <si>
    <t>Baseline</t>
  </si>
  <si>
    <t>ID_OBJ</t>
  </si>
  <si>
    <t>ID_MED</t>
  </si>
  <si>
    <t>Fronteira</t>
  </si>
  <si>
    <t>ID_USE</t>
  </si>
  <si>
    <t>Normalizacao</t>
  </si>
  <si>
    <t>ID_LBE</t>
  </si>
  <si>
    <t>Utilizadores</t>
  </si>
  <si>
    <t>Coluna_Mensal</t>
  </si>
  <si>
    <t>Meta</t>
  </si>
  <si>
    <t>Valor_LBE_Externo</t>
  </si>
  <si>
    <t>Valor_Reporte_Externo</t>
  </si>
  <si>
    <t>Valor_Reporte</t>
  </si>
  <si>
    <t>Variacao_vs_LBE</t>
  </si>
  <si>
    <t>Ligacao_SGI</t>
  </si>
  <si>
    <t>Qualidade_Dados</t>
  </si>
  <si>
    <t>IDE-01</t>
  </si>
  <si>
    <t>Melhoria do desempenho energético da instalação (consumo normalizado)</t>
  </si>
  <si>
    <t>(kWh esperado pelo modelo da LBE − kWh real ajustado) ÷ kWh esperado</t>
  </si>
  <si>
    <t>%</t>
  </si>
  <si>
    <t>Maior</t>
  </si>
  <si>
    <t>Modelo estatístico (regressão linear múltipla)</t>
  </si>
  <si>
    <t>Mensal</t>
  </si>
  <si>
    <t>RG-SGA-13 (fatura) + dataset de produção + IPMA</t>
  </si>
  <si>
    <t>Gestor(a) de Energia (líder da equipa de gestão de energia)</t>
  </si>
  <si>
    <t>OBJ-E-01</t>
  </si>
  <si>
    <t>DAD-01; DAD-02; DAD-06</t>
  </si>
  <si>
    <t>Instalação da Unidade 1 sem as 4 máquinas novas de 07/2026 (ajuste não rotineiro ALE-01)</t>
  </si>
  <si>
    <t>Todos</t>
  </si>
  <si>
    <t>Unidades INJ+SOP (mil); graus-dia de arrefecimento base 15 °C</t>
  </si>
  <si>
    <t>N.º de máquinas; turnos 3×8 em 5 dias; mix de produto; área; tipo de energia</t>
  </si>
  <si>
    <t>Sim — modelo da LBE aplicado às condições do mês (ISO 50006 §8)</t>
  </si>
  <si>
    <t>LBE-01</t>
  </si>
  <si>
    <t>Gestão de topo; equipa de gestão de energia; auditores do SGE; certificação ISO 50003</t>
  </si>
  <si>
    <t>—</t>
  </si>
  <si>
    <t>SGA OBJ-01 (mesma intenção; SGE mede normalizado)</t>
  </si>
  <si>
    <t>Medido (fatura) + variáveis medidas</t>
  </si>
  <si>
    <t>IDE-02</t>
  </si>
  <si>
    <t>Consumo específico de eletricidade da instalação (SEC)</t>
  </si>
  <si>
    <t>kWh total ÷ unidades INJ + SOP × 1 000</t>
  </si>
  <si>
    <t>kWh/1.000 un</t>
  </si>
  <si>
    <t>Menor</t>
  </si>
  <si>
    <t>Rácio de valores medidos</t>
  </si>
  <si>
    <t>RG-SGA-13 + dataset</t>
  </si>
  <si>
    <t>Gerente de Manutenção</t>
  </si>
  <si>
    <t>DAD-01; DAD-02</t>
  </si>
  <si>
    <t>Instalação completa</t>
  </si>
  <si>
    <t>— (rácio simples; não corrige a carga de base nem o clima)</t>
  </si>
  <si>
    <t>Idem IDE-01</t>
  </si>
  <si>
    <t>Não — rácio; a comparação exige cautela (Kent: o SEC mensal engana quando a produção varia)</t>
  </si>
  <si>
    <t>LBE-02</t>
  </si>
  <si>
    <t>Relato externo (SGA KPI-01, ESRS E1-5, EMAS); SGCIE (consumo específico)</t>
  </si>
  <si>
    <t>SGA KPI-01 (mesmo cálculo)</t>
  </si>
  <si>
    <t>Medido</t>
  </si>
  <si>
    <t>IDE-03</t>
  </si>
  <si>
    <t>Consumo específico do sopro (ISBM)</t>
  </si>
  <si>
    <t>kWh do sopro ÷ frascos × 1 000</t>
  </si>
  <si>
    <t>kWh/1.000 frascos</t>
  </si>
  <si>
    <t>Rácio (numerador estimado)</t>
  </si>
  <si>
    <t>RG-SGA-13 (rateio por horas) + dataset; analisador QGBT-SOP a partir de 12/2026</t>
  </si>
  <si>
    <t>Gerente de Produção</t>
  </si>
  <si>
    <t>DAD-03</t>
  </si>
  <si>
    <t>Máquinas ISBM-001 a 010</t>
  </si>
  <si>
    <t>SOP</t>
  </si>
  <si>
    <t>Frascos produzidos; horas de marcha</t>
  </si>
  <si>
    <t>Tecnologia das máquinas; massa média do frasco</t>
  </si>
  <si>
    <t>Não (até haver submedição)</t>
  </si>
  <si>
    <t>LBE-03</t>
  </si>
  <si>
    <t>Produção; engenharia de processo</t>
  </si>
  <si>
    <t>Estimado (rateio)</t>
  </si>
  <si>
    <t>IDE-04</t>
  </si>
  <si>
    <t>Consumo específico da injeção</t>
  </si>
  <si>
    <t>kWh da injeção ÷ tampas e potes × 1 000</t>
  </si>
  <si>
    <t>RG-SGA-13 (rateio por horas) + dataset; analisador QGBT-INJ a partir de 12/2026</t>
  </si>
  <si>
    <t>Máquinas IM-001 a 008</t>
  </si>
  <si>
    <t>INJ</t>
  </si>
  <si>
    <t>Peças produzidas; horas de marcha</t>
  </si>
  <si>
    <t>Tecnologia das máquinas; mix tampas/potes</t>
  </si>
  <si>
    <t>LBE-04</t>
  </si>
  <si>
    <t>IDE-05</t>
  </si>
  <si>
    <t>Carga de base (energia não associada à produção)</t>
  </si>
  <si>
    <t>Coeficiente independente do modelo da LBE ÷ kWh real do mês</t>
  </si>
  <si>
    <t>Modelo estatístico (termo independente)</t>
  </si>
  <si>
    <t>Modelo LBE-01</t>
  </si>
  <si>
    <t>OBJ-E-03</t>
  </si>
  <si>
    <t>DAD-01</t>
  </si>
  <si>
    <t>Instalação</t>
  </si>
  <si>
    <t>Derivado do modelo</t>
  </si>
  <si>
    <t>Gestão; operação e manutenção</t>
  </si>
  <si>
    <t>Calculado</t>
  </si>
  <si>
    <t>IDE-06</t>
  </si>
  <si>
    <t>Rácio de arrefecimento (frio ÷ energia de injeção + sopro)</t>
  </si>
  <si>
    <t>kWh chiller/torre ÷ (kWh INJ + kWh SOP)</t>
  </si>
  <si>
    <t>fração</t>
  </si>
  <si>
    <t>Rácio (estimado)</t>
  </si>
  <si>
    <t>RG-SGA-13 (rateio com fator de temperatura)</t>
  </si>
  <si>
    <t>Técnico de Utilidades</t>
  </si>
  <si>
    <t>OBJ-E-04</t>
  </si>
  <si>
    <t>DAD-04</t>
  </si>
  <si>
    <t>Sistema de arrefecimento CH-01/TR-01</t>
  </si>
  <si>
    <t>UTL-FRIO</t>
  </si>
  <si>
    <t>Temperatura exterior; carga térmica</t>
  </si>
  <si>
    <t>Setpoint da água gelada; n.º de moldes</t>
  </si>
  <si>
    <t>Não — rácio sazonal: comparar o mesmo mês do ano ou normalizar por graus-dia (ISO 50006 §8); o reporte mar–ago contra a média anual penaliza o IDE</t>
  </si>
  <si>
    <t>LBE-05</t>
  </si>
  <si>
    <t>Utilidades; manutenção</t>
  </si>
  <si>
    <t>Estimado</t>
  </si>
  <si>
    <t>IDE-07</t>
  </si>
  <si>
    <t>Rácio de ar comprimido (ar ÷ energia dos processos)</t>
  </si>
  <si>
    <t>kWh ar comprimido ÷ kWh (INJ+SOP+SER+HFS)</t>
  </si>
  <si>
    <t>Rácio (estimado — fator fixo)</t>
  </si>
  <si>
    <t>RG-SGA-13 (AR_FRAC = 0,19 fixo)</t>
  </si>
  <si>
    <t>OBJ-E-02</t>
  </si>
  <si>
    <t>DAD-05</t>
  </si>
  <si>
    <t>Central de ar comprimido</t>
  </si>
  <si>
    <t>UTL-AR</t>
  </si>
  <si>
    <t>Não — o valor é constante por construção: NÃO serve para demonstrar melhoria (substituído pelo IDE-08)</t>
  </si>
  <si>
    <t>Utilidades</t>
  </si>
  <si>
    <t>Estimado (fator fixo)</t>
  </si>
  <si>
    <t>IDE-08</t>
  </si>
  <si>
    <t>Potência específica da central de ar comprimido</t>
  </si>
  <si>
    <t>kWh dos compressores ÷ Nm³ de ar produzido (semana de medição)</t>
  </si>
  <si>
    <t>kWh/Nm³</t>
  </si>
  <si>
    <t>Rácio de valores medidos (fronteira de medida)</t>
  </si>
  <si>
    <t>Mensal a partir de 12/2026; antes, campanhas</t>
  </si>
  <si>
    <t>RG-SGE-11 tbl_ar_mv (PA-01 + caudalímetro EQP-04)</t>
  </si>
  <si>
    <t>Compressores CMP-01/02 + secadores</t>
  </si>
  <si>
    <t>Nm³ produzidos; pressão</t>
  </si>
  <si>
    <t>Pressão de serviço; n.º de compressores</t>
  </si>
  <si>
    <t>Sim — mesma semana-tipo com produção (ISO 50015 / IPMVP opção B)</t>
  </si>
  <si>
    <t>LBE-06</t>
  </si>
  <si>
    <t>Utilidades; engenheiros (M&amp;V)</t>
  </si>
  <si>
    <t>SGA-10 OT-2026-02 (instalação dos VSD)</t>
  </si>
  <si>
    <t>Medido (campanha)</t>
  </si>
  <si>
    <t>IDE-09</t>
  </si>
  <si>
    <t>Consumo de energia final (eletricidade + gasóleo)</t>
  </si>
  <si>
    <t>kWh elétricos + L gasóleo × 10 kWh/L</t>
  </si>
  <si>
    <t>MWh</t>
  </si>
  <si>
    <t>Valor de energia medido</t>
  </si>
  <si>
    <t>RG-SGA-13 + RG-SGA-19 (gasóleo)</t>
  </si>
  <si>
    <t>OBJ-E-05</t>
  </si>
  <si>
    <t>DAD-01; DAD-07</t>
  </si>
  <si>
    <t>Instalação + frota</t>
  </si>
  <si>
    <t>Não (valor absoluto)</t>
  </si>
  <si>
    <t>LBE-07</t>
  </si>
  <si>
    <t>SGCIE; ESRS E1-5; EMAS; gestão de topo</t>
  </si>
  <si>
    <t>SGA ESG-E01; EMAS-01</t>
  </si>
  <si>
    <t>IDE-10</t>
  </si>
  <si>
    <t>Quota de eletricidade renovável (garantias de origem + autoconsumo)</t>
  </si>
  <si>
    <t>kWh renováveis ÷ kWh totais</t>
  </si>
  <si>
    <t>Anual</t>
  </si>
  <si>
    <t>Rótulo de energia do comercializador; UPAC (2027)</t>
  </si>
  <si>
    <t>Diretor Financeiro</t>
  </si>
  <si>
    <t>DAD-08</t>
  </si>
  <si>
    <t>Não</t>
  </si>
  <si>
    <t>LBE-08</t>
  </si>
  <si>
    <t>Gestão de topo; clientes; ESG</t>
  </si>
  <si>
    <t>SGA KPI-09; MET-03</t>
  </si>
  <si>
    <t>KPI-E-01</t>
  </si>
  <si>
    <t>Consumo de eletricidade medido por submedição (não estimado)</t>
  </si>
  <si>
    <t>kWh medidos por analisador fixo ÷ kWh totais</t>
  </si>
  <si>
    <t>KPI do sistema (não é IDE)</t>
  </si>
  <si>
    <t>RG-SGE-06 tbl_contadores</t>
  </si>
  <si>
    <t>OBJ-E-06</t>
  </si>
  <si>
    <t>Equipa de gestão de energia</t>
  </si>
  <si>
    <t>SGA R35 / PAM-26-02</t>
  </si>
  <si>
    <t>KPI-E-02</t>
  </si>
  <si>
    <t>Desvios significativos investigados em ≤ 30 dias</t>
  </si>
  <si>
    <t>Desvios investigados no prazo ÷ desvios detetados</t>
  </si>
  <si>
    <t>RG-SGE-11 tbl_desvios</t>
  </si>
  <si>
    <t>Registo</t>
  </si>
  <si>
    <t>KPI-E-03</t>
  </si>
  <si>
    <t>Ações dos planos de ação energéticos no prazo</t>
  </si>
  <si>
    <t>Ações no prazo ÷ ações com prazo vencido ou concluídas</t>
  </si>
  <si>
    <t>RG-SGE-05 tbl_planos_acao</t>
  </si>
  <si>
    <t>Gestão de topo</t>
  </si>
  <si>
    <t>REGISTO DAS LINHAS DE BASE ENERGÉTICAS (6.5)</t>
  </si>
  <si>
    <t>Descricao</t>
  </si>
  <si>
    <t>Periodo_Inicio</t>
  </si>
  <si>
    <t>Periodo_Fim</t>
  </si>
  <si>
    <t>N_Meses</t>
  </si>
  <si>
    <t>Metodo</t>
  </si>
  <si>
    <t>Valor_LBE</t>
  </si>
  <si>
    <t>R2</t>
  </si>
  <si>
    <t>Validade_Estatistica</t>
  </si>
  <si>
    <t>Data_Aprovacao</t>
  </si>
  <si>
    <t>Criterios_Revisao</t>
  </si>
  <si>
    <t>Proxima_Revisao</t>
  </si>
  <si>
    <t>Modelo de regressão da eletricidade da instalação (sem máquinas novas)</t>
  </si>
  <si>
    <t>kWh = a + b1·mil un + b2·CDD₁₅ (LINEST)</t>
  </si>
  <si>
    <t>a) IDE deixa de refletir o desempenho (ex.: submedição); b) alteração significativa de fatores estáticos (tbl_fatores_estaticos); c) revisão anual com a revisão energética</t>
  </si>
  <si>
    <t>SEC médio da instalação</t>
  </si>
  <si>
    <t>Média dos rácios mensais</t>
  </si>
  <si>
    <t>SEC do sopro (estimado)</t>
  </si>
  <si>
    <t>SEC da injeção (estimado)</t>
  </si>
  <si>
    <t>Rácio de arrefecimento (estimado)</t>
  </si>
  <si>
    <t>Potência específica do ar comprimido — compressores antigos</t>
  </si>
  <si>
    <t>Semana de registo PA-01 + EQP-04 (RG-SGE-11)</t>
  </si>
  <si>
    <t>Energia final mensal média</t>
  </si>
  <si>
    <t>Média mensal</t>
  </si>
  <si>
    <t>Quota renovável 2025/26 (rótulo de energia)</t>
  </si>
  <si>
    <t>Rótulo do comercializador</t>
  </si>
  <si>
    <t>ALTERAÇÕES ÀS LBE E AJUSTES NÃO ROTINEIROS (6.5; ISO 50006 §9)</t>
  </si>
  <si>
    <t>ID_Alteracao_LBE</t>
  </si>
  <si>
    <t>Data_Efeito</t>
  </si>
  <si>
    <t>Tipo</t>
  </si>
  <si>
    <t>LBE_Afetadas</t>
  </si>
  <si>
    <t>Tratamento</t>
  </si>
  <si>
    <t>Acao_Futura</t>
  </si>
  <si>
    <t>ALE-01</t>
  </si>
  <si>
    <t>Fator estático</t>
  </si>
  <si>
    <t>Entrada em produção de 4 máquinas novas (IM-007, IM-008, ISBM-009, ISBM-010) — ALT-2026-03 (linhas alimentar e farmacêutica).</t>
  </si>
  <si>
    <t>Ajuste não rotineiro (ISO 50006 §9.2): a energia atribuível às máquinas novas (horas × kW do RG-SGA-13 + quota de ar e frio) é retirada do real e as suas unidades das variáveis; fronteira do IDE-01 = instalação existente.</t>
  </si>
  <si>
    <t>Criar LBE-01b com 12 meses após a estabilização (07/2027) incluindo as máquinas novas.</t>
  </si>
  <si>
    <t>Aprovado</t>
  </si>
  <si>
    <t>ALE-02</t>
  </si>
  <si>
    <t>Ação de melhoria (não é fator estático)</t>
  </si>
  <si>
    <t>Substituição dos compressores CMP-01/02 por unidades de velocidade variável (ALT-2026-01).</t>
  </si>
  <si>
    <t>LBE-01; LBE-06</t>
  </si>
  <si>
    <t>Sem ajuste: é uma melhoria a demonstrar. A LBE-01 termina em fev/2026 para que o reporte (mar–dez/2026) inclua o efeito dos VSD.</t>
  </si>
  <si>
    <t>ALE-03</t>
  </si>
  <si>
    <t>Método de medição</t>
  </si>
  <si>
    <t>Início da submedição por 6 analisadores (PA-E-01, em serviço desde 15/12/2026): os consumos por USE deixam de ser rateio.</t>
  </si>
  <si>
    <t>LBE-03; LBE-04; LBE-05</t>
  </si>
  <si>
    <t>Revisão da LBE decidida (6.5 a): os IDE por USE estimados deixam de representar o desempenho; LBE atuais mantidas até haver 12 meses medidos.</t>
  </si>
  <si>
    <t>Nova LBE por USE com 12 meses medidos (01–12/2027).</t>
  </si>
  <si>
    <t>ALE-04</t>
  </si>
  <si>
    <t>Tipo de energia</t>
  </si>
  <si>
    <t>Entrada em serviço da UPAC ≈ 1 MWp (ALT-2026-07).</t>
  </si>
  <si>
    <t>LBE-07; LBE-08</t>
  </si>
  <si>
    <t>Sem ajuste ao IDE-01 (mede consumo, não a origem); o IDE-10 passa a incluir autoconsumo.</t>
  </si>
  <si>
    <t>Planeado</t>
  </si>
  <si>
    <t>FATORES ESTÁTICOS MONITORIZADOS (6.5 b; ISO 50006 §9.2)</t>
  </si>
  <si>
    <t>ID_Fator</t>
  </si>
  <si>
    <t>Fator_Estatico</t>
  </si>
  <si>
    <t>Condicao_Na_LBE</t>
  </si>
  <si>
    <t>Condicao_Atual</t>
  </si>
  <si>
    <t>Situacao</t>
  </si>
  <si>
    <t>FEST-01</t>
  </si>
  <si>
    <t>N.º de máquinas produtivas</t>
  </si>
  <si>
    <t>18 (8 ISBM, 6 IM, 2 SS, 2 HF)</t>
  </si>
  <si>
    <t>22 desde 07/2026</t>
  </si>
  <si>
    <t>Alterado</t>
  </si>
  <si>
    <t>FEST-02</t>
  </si>
  <si>
    <t>Regime de trabalho</t>
  </si>
  <si>
    <t>3 turnos × 8 h, 5 dias/semana; fins de semana só em picos</t>
  </si>
  <si>
    <t>Igual</t>
  </si>
  <si>
    <t>Sem alteração</t>
  </si>
  <si>
    <t>FEST-03</t>
  </si>
  <si>
    <t>Mix de produto (famílias)</t>
  </si>
  <si>
    <t>Cosmética + alimentar (frascos, tampas)</t>
  </si>
  <si>
    <t>Acrescentados potes e tampas alimentar/farma (17 SKU)</t>
  </si>
  <si>
    <t>FEST-04</t>
  </si>
  <si>
    <t>Área e edifícios</t>
  </si>
  <si>
    <t>Terreno 45 000 m², naves de produção e armazéns</t>
  </si>
  <si>
    <t>FEST-05</t>
  </si>
  <si>
    <t>Tipos de energia</t>
  </si>
  <si>
    <t>Eletricidade da rede; gasóleo (frota, gerador)</t>
  </si>
  <si>
    <t>Igual (UPAC prevista 2027)</t>
  </si>
  <si>
    <t>FEST-06</t>
  </si>
  <si>
    <t>2 compressores de velocidade fixa (carga/vazio)</t>
  </si>
  <si>
    <t>2 compressores VSD desde 02/2026</t>
  </si>
  <si>
    <t>Alteração = ação de melhoria</t>
  </si>
  <si>
    <t>FEST-07</t>
  </si>
  <si>
    <t>Setpoint da água gelada</t>
  </si>
  <si>
    <t>7 °C</t>
  </si>
  <si>
    <t>PARÂMETROS DE CÁLCULO</t>
  </si>
  <si>
    <t>Codigo</t>
  </si>
  <si>
    <t>PRECO_MEDIO</t>
  </si>
  <si>
    <t>€/kWh</t>
  </si>
  <si>
    <t>Preço médio da eletricidade (energia + redes, sem potência) nos 12 meses set/2025–ago/2026</t>
  </si>
  <si>
    <t>RG-SGE-09 tbl_faturas (simulado)</t>
  </si>
  <si>
    <t>KWH_POR_L_GASOLEO</t>
  </si>
  <si>
    <t>kWh/L</t>
  </si>
  <si>
    <t>Poder calorífico inferior do gasóleo ≈ 35,9 MJ/L</t>
  </si>
  <si>
    <t>Despacho 17313/2008 / DGEG — confirmar</t>
  </si>
  <si>
    <t>TOL_DOMINIO</t>
  </si>
  <si>
    <t>Tolerância do domínio de validade do modelo da LBE-01</t>
  </si>
  <si>
    <t>Decisão da equipa de gestão de energia (ISO 50006 §8.2)</t>
  </si>
  <si>
    <t>T_BASE_CDD</t>
  </si>
  <si>
    <t>Temperatura base dos graus-dia de arrefecimento</t>
  </si>
  <si>
    <t>Mesma base do FRIO_TEMP do RG-SGA-13</t>
  </si>
  <si>
    <t>OBJETIVOS ENERGÉTICOS 2026–2028 (6.2)</t>
  </si>
  <si>
    <t>Retidos como informação documentada (6.2.2) · Valor atual calculado a partir dos IDE e da LBE_Modelo</t>
  </si>
  <si>
    <t>ID_Politica</t>
  </si>
  <si>
    <t>Origem_Tipo</t>
  </si>
  <si>
    <t>Origem_IDs</t>
  </si>
  <si>
    <t>Origem_Descricao</t>
  </si>
  <si>
    <t>Declaracao_Objetivo</t>
  </si>
  <si>
    <t>Indicador_KPI</t>
  </si>
  <si>
    <t>Meta_Tipo</t>
  </si>
  <si>
    <t>Meta_Valor</t>
  </si>
  <si>
    <t>Meta_Numerica</t>
  </si>
  <si>
    <t>Prazo</t>
  </si>
  <si>
    <t>Recursos_Humanos</t>
  </si>
  <si>
    <t>Recursos_Materiais</t>
  </si>
  <si>
    <t>Recursos_Financeiros_EUR</t>
  </si>
  <si>
    <t>Acoes_PAM</t>
  </si>
  <si>
    <t>Valor_Atual</t>
  </si>
  <si>
    <t>Progresso</t>
  </si>
  <si>
    <t>Dias_ate_Prazo</t>
  </si>
  <si>
    <t>S_Especifico</t>
  </si>
  <si>
    <t>M_Mensuravel</t>
  </si>
  <si>
    <t>A_Atingivel</t>
  </si>
  <si>
    <t>R_Relevante</t>
  </si>
  <si>
    <t>T_Temporal</t>
  </si>
  <si>
    <t>Validacao_SMART</t>
  </si>
  <si>
    <t>Considera_USE</t>
  </si>
  <si>
    <t>Oportunidades_Revisao</t>
  </si>
  <si>
    <t>Requisitos_Aplicaveis</t>
  </si>
  <si>
    <t>Comunicado</t>
  </si>
  <si>
    <t>Ligacao_SGA</t>
  </si>
  <si>
    <t>POL-E-01</t>
  </si>
  <si>
    <t>Revisão energética</t>
  </si>
  <si>
    <t>USE-01; USE-02; USE-03; OPE-01; OPE-03; OPE-05; OPE-06</t>
  </si>
  <si>
    <t>Injeção, sopro e ar comprimido somam 81% da eletricidade; melhoria só demonstrada após as ações de out–dez/2026.</t>
  </si>
  <si>
    <t>Melhorar em 5% o desempenho energético normalizado da instalação (IDE-01) até 31/12/2027, face à LBE-01 (mar/2025–fev/2026).</t>
  </si>
  <si>
    <t>Relativa</t>
  </si>
  <si>
    <t>+5% vs LBE-01</t>
  </si>
  <si>
    <t>Equipa de gestão de energia (6 pessoas, 10% do tempo)</t>
  </si>
  <si>
    <t>Analisadores (PAM-26-02), detetor de fugas</t>
  </si>
  <si>
    <t>PA-E-01; PA-E-02; PA-E-03; PA-E-04</t>
  </si>
  <si>
    <t>USE-01, USE-02, USE-03</t>
  </si>
  <si>
    <t>OPE-01 a OPE-07</t>
  </si>
  <si>
    <t>LEG-08 SGCIE (−6% CEE até 2030); ISO 50003 (melhoria demonstrada)</t>
  </si>
  <si>
    <t>Quadro de energia + reunião mensal de desempenho</t>
  </si>
  <si>
    <t>OBJ-01 (−8% kWh/1.000 un até 12/2027)</t>
  </si>
  <si>
    <t>POL-E-02</t>
  </si>
  <si>
    <t>USE-03; OPE-01; OPE-02; OPE-04</t>
  </si>
  <si>
    <t>Ar comprimido com fugas ≈ 25% e pressão de 7,4 bar; compressores VSD desde 02/2026.</t>
  </si>
  <si>
    <t>Reduzir a potência específica da central de ar comprimido para ≤ 0,105 kWh/Nm³ e as fugas para ≤ 10% até 30/06/2027.</t>
  </si>
  <si>
    <t>Absoluta</t>
  </si>
  <si>
    <t>≤ 0,105 kWh/Nm³</t>
  </si>
  <si>
    <t>Técnico de Utilidades + manutenção (2 h/semana)</t>
  </si>
  <si>
    <t>Detetor ultrassónico EQP-05; etiquetas de fugas</t>
  </si>
  <si>
    <t>PA-E-02; PA-E-05</t>
  </si>
  <si>
    <t>USE-03</t>
  </si>
  <si>
    <t>OPE-01; OPE-02; OPE-04</t>
  </si>
  <si>
    <t>Ronda de fugas mensal + quadro da manutenção</t>
  </si>
  <si>
    <t>SGA KZ-04; PAM-26-01</t>
  </si>
  <si>
    <t>OPE-03; KZ-01</t>
  </si>
  <si>
    <t>Máquinas em espera aquecida nas pausas e paragens; carga de base 16% do consumo.</t>
  </si>
  <si>
    <t>Reduzir a carga de base (IDE-05) para ≤ 14% até 31/03/2027 com o modo standby nas pausas e paragens &gt; 30 min.</t>
  </si>
  <si>
    <t>≤ 14%</t>
  </si>
  <si>
    <t>Chefes de turno; operadores</t>
  </si>
  <si>
    <t>Etiquetas e checklist de pausa</t>
  </si>
  <si>
    <t>PA-E-03</t>
  </si>
  <si>
    <t>USE-01; USE-02</t>
  </si>
  <si>
    <t>OPE-03</t>
  </si>
  <si>
    <t>Formação no posto + checklist do chefe de turno</t>
  </si>
  <si>
    <t>SGA PAM-26-06 (KZ-01)</t>
  </si>
  <si>
    <t>USE-04; OPE-08; OPE-09</t>
  </si>
  <si>
    <t>Chiller com setpoint de 7 °C e sem free-cooling; verões mais quentes (PES-08).</t>
  </si>
  <si>
    <t>Reduzir o rácio de arrefecimento (IDE-06) para ≤ 0,095 até 31/12/2027 (setpoint 10–12 °C e free-cooling).</t>
  </si>
  <si>
    <t>≤ 0,095</t>
  </si>
  <si>
    <t>Técnico de Utilidades; engenharia de processo</t>
  </si>
  <si>
    <t>Permutador de free-cooling</t>
  </si>
  <si>
    <t>PA-E-06</t>
  </si>
  <si>
    <t>USE-04</t>
  </si>
  <si>
    <t>OPE-08; OPE-09</t>
  </si>
  <si>
    <t>Reg. (UE) 2024/573 (gases fluorados — manutenção do chiller)</t>
  </si>
  <si>
    <t>Quadro das utilidades</t>
  </si>
  <si>
    <t>SGA OBJ-05 (água do arrefecimento)</t>
  </si>
  <si>
    <t>POL-E-03</t>
  </si>
  <si>
    <t>Contexto / partes interessadas</t>
  </si>
  <si>
    <t>PES-01; O15; ALT-2026-07</t>
  </si>
  <si>
    <t>Clientes e PL-SGA-01 pedem eletricidade renovável; UPAC ≈ 1 MWp aprovada para estudo.</t>
  </si>
  <si>
    <t>Atingir ≥ 80% de eletricidade renovável (garantias de origem + autoconsumo) em 2028.</t>
  </si>
  <si>
    <t>≥ 80%</t>
  </si>
  <si>
    <t>Diretor Financeiro; Gestor(a) de Energia</t>
  </si>
  <si>
    <t>UPAC ≈ 1 MWp</t>
  </si>
  <si>
    <t>PA-E-07</t>
  </si>
  <si>
    <t>OPE-12</t>
  </si>
  <si>
    <t>DL 15/2022 alterado pelo DL 130/2026 (autoconsumo)</t>
  </si>
  <si>
    <t>Relatório de sustentabilidade; site</t>
  </si>
  <si>
    <t>SGA MET-03; PL-SGA-01</t>
  </si>
  <si>
    <t>POL-E-04</t>
  </si>
  <si>
    <t>Requisito do SGE</t>
  </si>
  <si>
    <t>R35; ALE-03</t>
  </si>
  <si>
    <t>Consumos por uso são estimados (rateio); sem submedição não há IDE por USE nem prova de melhoria (ISO 50003).</t>
  </si>
  <si>
    <t>Medir por analisador fixo ≥ 90% da eletricidade (KPI-E-01) até 31/03/2027 e investigar 100% dos desvios significativos em ≤ 30 dias.</t>
  </si>
  <si>
    <t>≥ 90%</t>
  </si>
  <si>
    <t>Gerente de Dados / TI; instalador</t>
  </si>
  <si>
    <t>6 analisadores + integração no BI</t>
  </si>
  <si>
    <t>Gerente de Dados / TI</t>
  </si>
  <si>
    <t>PA-E-01</t>
  </si>
  <si>
    <t>ISO 50001 6.6 (exatidão e repetibilidade); ISO 50003</t>
  </si>
  <si>
    <t>Reunião da equipa de gestão de energia</t>
  </si>
  <si>
    <t>SGA R35; PAM-26-02; RG-26-D03</t>
  </si>
  <si>
    <t>METAS ENERGÉTICAS (6.2.1)</t>
  </si>
  <si>
    <t>ID_Meta</t>
  </si>
  <si>
    <t>MET-E-01</t>
  </si>
  <si>
    <t>Melhoria normalizada da instalação — etapa 2026</t>
  </si>
  <si>
    <t>MET-E-02</t>
  </si>
  <si>
    <t>Melhoria normalizada da instalação — meta 2027</t>
  </si>
  <si>
    <t>MET-E-03</t>
  </si>
  <si>
    <t>SEC da instalação (alinhado com SGA OBJ-01: −8%)</t>
  </si>
  <si>
    <t>MET-E-04</t>
  </si>
  <si>
    <t>Potência específica do ar comprimido</t>
  </si>
  <si>
    <t>MET-E-05</t>
  </si>
  <si>
    <t>Carga de base</t>
  </si>
  <si>
    <t>MET-E-06</t>
  </si>
  <si>
    <t>Rácio de arrefecimento</t>
  </si>
  <si>
    <t>MET-E-07</t>
  </si>
  <si>
    <t>Eletricidade renovável</t>
  </si>
  <si>
    <t>MET-E-08</t>
  </si>
  <si>
    <t>Eletricidade medida por submedição</t>
  </si>
  <si>
    <t>PLANOS DE AÇÃO ENERGÉTICOS (6.2.3)</t>
  </si>
  <si>
    <t>Cada plano diz como a melhoria será verificada (9.1) · Preço médio da eletricidade: célula preco_medio (RG-SGE-09, média das faturas de 12 meses)</t>
  </si>
  <si>
    <t>ID_Plano</t>
  </si>
  <si>
    <t>O_Que_Fazer</t>
  </si>
  <si>
    <t>Recursos</t>
  </si>
  <si>
    <t>Custo_EUR</t>
  </si>
  <si>
    <t>Inicio</t>
  </si>
  <si>
    <t>Como_Avaliar</t>
  </si>
  <si>
    <t>Metodo_Verificacao</t>
  </si>
  <si>
    <t>Poupanca_Prevista_MWh</t>
  </si>
  <si>
    <t>Integracao_Negocio</t>
  </si>
  <si>
    <t>ID_PAM_SGA</t>
  </si>
  <si>
    <t>ID_Oportunidade</t>
  </si>
  <si>
    <t>Poupanca_Prevista_EUR</t>
  </si>
  <si>
    <t>Payback_Anos</t>
  </si>
  <si>
    <t>Instalar 6 analisadores de energia (QGBT-INJ, QGBT-SOP, QGBT-DEC, Q-AR, Q-FRIO, Q-SERV) e ligar ao BI; rever a LBE por USE com 12 meses medidos.</t>
  </si>
  <si>
    <t>Analisadores classe 0,5S, TI de medida, integração BI</t>
  </si>
  <si>
    <t>Cobertura medida ≥ 90% (KPI-E-01) e reconciliação mensal com a fatura (±2%)</t>
  </si>
  <si>
    <t>Reconciliação Σ analisadores vs contador geral EQP-01</t>
  </si>
  <si>
    <t>Concluído</t>
  </si>
  <si>
    <t>Orçamento CAPEX 2026 (RG-26-D03)</t>
  </si>
  <si>
    <t>PAM-26-02</t>
  </si>
  <si>
    <t>PA-E-02</t>
  </si>
  <si>
    <t>Campanha de fugas com ultrassom (mensal), reparação em ≤ 5 dias, teste de vazio ao domingo e redução da pressão para 6,8 bar.</t>
  </si>
  <si>
    <t>Detetor EQP-05; 2 h/semana do Técnico de Utilidades; peças</t>
  </si>
  <si>
    <t>Fugas ≤ 10% no teste de vazio; IDE-08 ≤ 0,105 kWh/Nm³</t>
  </si>
  <si>
    <t>IPMVP opção B na fronteira da central (PA-01 + EQP-04), semana-tipo</t>
  </si>
  <si>
    <t>Em curso</t>
  </si>
  <si>
    <t>Plano de manutenção preventiva (SAP PM)</t>
  </si>
  <si>
    <t>OPE-01; OPE-02</t>
  </si>
  <si>
    <t>Modo standby nas pausas do 3.º turno e nas paragens &gt; 30 min (resistências a 60%, bomba desligada); checklist do chefe de turno.</t>
  </si>
  <si>
    <t>Formação no posto (30 min/operador); etiquetas</t>
  </si>
  <si>
    <t>IDE-05 ≤ 14%; poupança medida por analisador no QGBT-INJ/SOP</t>
  </si>
  <si>
    <t>IPMVP opção A (kW medido em espera × horas registadas) até haver analisadores</t>
  </si>
  <si>
    <t>Standard work do turno (SQDC)</t>
  </si>
  <si>
    <t>PAM-26-06</t>
  </si>
  <si>
    <t>PA-E-04</t>
  </si>
  <si>
    <t>Servo-bomba nas injetoras hidráulicas IM-002 e IM-004 e isolamento térmico dos canhões de todas as injetoras.</t>
  </si>
  <si>
    <t>Retrofit servo (2 × €28 000); mantas (8 × €900)</t>
  </si>
  <si>
    <t>SEC por máquina (analisador) −30% nas IM-002/004</t>
  </si>
  <si>
    <t>IPMVP opção B por máquina (analisador portátil antes/depois, mesmo molde)</t>
  </si>
  <si>
    <t>Plano de investimento 2027</t>
  </si>
  <si>
    <t>OPE-05; OPE-06</t>
  </si>
  <si>
    <t>PA-E-05</t>
  </si>
  <si>
    <t>Recuperação de calor dos compressores para pré-aquecimento de águas sanitárias e AVAC dos balneários.</t>
  </si>
  <si>
    <t>Permutador e tubagem</t>
  </si>
  <si>
    <t>kWh térmicos recuperados (contador de energia térmica)</t>
  </si>
  <si>
    <t>Medição direta (contador de entalpia) — ISO 50015</t>
  </si>
  <si>
    <t>OPE-13</t>
  </si>
  <si>
    <t>Subir o setpoint da água gelada de 7 °C para 11 °C (validado com a qualidade dos moldes) e instalar free-cooling na torre.</t>
  </si>
  <si>
    <t>Ensaio DOE com a engenharia de processo; permutador</t>
  </si>
  <si>
    <t>IDE-06 ≤ 0,095 normalizado pela temperatura</t>
  </si>
  <si>
    <t>IPMVP opção B (analisador Q-FRIO) com ajuste por graus-dia</t>
  </si>
  <si>
    <t>Validação de processo (RG-SGQ-13)</t>
  </si>
  <si>
    <t>UPAC ≈ 1 MWp na cobertura (≈ 1 400 MWh/ano) e contrato de garantias de origem para o restante.</t>
  </si>
  <si>
    <t>EPC fotovoltaico; licenciamento DGEG</t>
  </si>
  <si>
    <t>IDE-10 ≥ 80% em 2028; produção UPAC medida</t>
  </si>
  <si>
    <t>Contador da UPAC + rótulo de energia (não é poupança: substitui a origem)</t>
  </si>
  <si>
    <t>Em estudo</t>
  </si>
  <si>
    <t>Plano de transição climática PL-SGA-01</t>
  </si>
  <si>
    <t>METODOLOGIA DOS IDE E DAS LBE (6.4 e 6.5 — informação documentada mantida; detalhe no PR-SGE-03)</t>
  </si>
  <si>
    <t>1. Fronteiras</t>
  </si>
  <si>
    <t>ISO 50006 §5.3: instalação (IDE-01/02/05/09), USE (IDE-03/04/06/07), fronteira de medida da central de ar (IDE-08). A fronteira do IDE-01 exclui as 4 máquinas novas até haver 12 meses (ALE-01).</t>
  </si>
  <si>
    <t>2. Variáveis relevantes</t>
  </si>
  <si>
    <t>ISO 50006 §5.5: candidatas em tbl_variaveis; entram no modelo se forem significativas (p &lt; 0,2) e tiverem explicação física. Escolhidas: unidades INJ+SOP e graus-dia base 15 °C.</t>
  </si>
  <si>
    <t>3. Tipo de IDE</t>
  </si>
  <si>
    <t>ISO 50006 §6.2: modelo estatístico quando há variáveis relevantes (IDE-01); rácio quando há uma entrada e uma saída e poucas variáveis (IDE-02 a 08); valor medido para relato (IDE-09).</t>
  </si>
  <si>
    <t>4. Período de referência</t>
  </si>
  <si>
    <t>ISO 50006 §7.2: 2025-03-01 a 2026-02-28 — 12 meses para cobrir o ciclo anual de temperatura; termina antes dos compressores VSD para que o efeito apareça no reporte. Meses mar–jun/2025 têm produção reconstruída (qualidade inferior, RG-SGA-13).</t>
  </si>
  <si>
    <t>5. Normalização</t>
  </si>
  <si>
    <t>ISO 50006 §8: energia esperada = modelo aplicado às variáveis do mês; melhoria = (esperado − real) ÷ esperado. Não se normaliza fora do domínio (±10% do intervalo de referência).</t>
  </si>
  <si>
    <t>6. Validade estatística</t>
  </si>
  <si>
    <t>R² ≥ 0,5 e p-valores (EnPI Lite/LBNL); CV(RMSE) ≤ 15% e NMBE ±5% (ASHRAE 14). O resultado está em LBE_Modelo e em tbl_lbe.</t>
  </si>
  <si>
    <t>7. Desvio significativo (9.1.1)</t>
  </si>
  <si>
    <t>Mês com |real − esperado| &gt; t(95%) × erro-padrão do modelo: investigar e responder, com registo no RG-SGE-11 tbl_desvios.</t>
  </si>
  <si>
    <t>8. Demonstração da melhoria</t>
  </si>
  <si>
    <t>ISO 50006 §10.3: soma do reporte dentro do domínio; a melhoria só é declarada se exceder a incerteza a 95%. A ISO 50003:2021 exige melhoria demonstrada para certificar.</t>
  </si>
  <si>
    <t>9. Revisão das LBE (6.5)</t>
  </si>
  <si>
    <t>a) IDE deixa de representar (submedição 12/2026); b) fatores estáticos (tbl_fatores_estaticos); c) anualmente com a revisão energética. Cada alteração fica em tbl_alteracoes_lbe.</t>
  </si>
  <si>
    <t>10. Limitações conhecidas</t>
  </si>
  <si>
    <t>O consumo por uso é rateio (horas × kW) até 12/2026: os IDE por USE não mostram ganhos de eficiência das máquinas — por isso a melhoria dos compressores é verificada por medição dedicada (RG-SGE-11, IPMVP opção B).</t>
  </si>
  <si>
    <t>LISTAS CONTROLADAS (domínios de validação de dados) — editar aqui para alterar opções</t>
  </si>
  <si>
    <t>DataReferencia</t>
  </si>
  <si>
    <t>Funcao</t>
  </si>
  <si>
    <t>EstadoPlano</t>
  </si>
  <si>
    <t>EstadoLBE</t>
  </si>
  <si>
    <t>TipoIDE</t>
  </si>
  <si>
    <t>Diretor Geral (Gestão de Topo)</t>
  </si>
  <si>
    <t>Diretor Industrial</t>
  </si>
  <si>
    <t>Substituída</t>
  </si>
  <si>
    <t>Cancelado</t>
  </si>
  <si>
    <t>Gestor do SGA / EHS (Responsável Ambiental)</t>
  </si>
  <si>
    <t>Gerente da Qualidade</t>
  </si>
  <si>
    <t>Modelo de engenharia</t>
  </si>
  <si>
    <t>Responsável de Compras</t>
  </si>
  <si>
    <t>Responsável de R&amp;D</t>
  </si>
  <si>
    <t>Responsável de Recursos Humanos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</si>
  <si>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</si>
  <si>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</si>
  <si>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</si>
  <si>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</si>
  <si>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</si>
  <si>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</si>
  <si>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</si>
  <si>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</si>
  <si>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</si>
  <si>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</si>
  <si>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</si>
  <si>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</si>
  <si>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Origem</t>
  </si>
  <si>
    <t>Dominio_Unidade</t>
  </si>
  <si>
    <t>Obrigatorio</t>
  </si>
  <si>
    <t>Chave</t>
  </si>
  <si>
    <t>tbl_base_energia</t>
  </si>
  <si>
    <t>Data (aaaa-mm-dd)</t>
  </si>
  <si>
    <t>Entrada</t>
  </si>
  <si>
    <t>Mês (1.º dia).</t>
  </si>
  <si>
    <t>Sim</t>
  </si>
  <si>
    <t>PK</t>
  </si>
  <si>
    <t>Texto</t>
  </si>
  <si>
    <t>Referência (LBE) = mar/2025–fev/2026; Reporte = mar–ago/2026.</t>
  </si>
  <si>
    <t>Dataset = produção real do dataset; Reconstruído = mar–jun/2025, anterior ao dataset (RG-SGA-13).</t>
  </si>
  <si>
    <t>RG-SGA-13 (fatura), fonte única mar/2025–dez/2026, já com o efeito das ações de out–dez/2026.</t>
  </si>
  <si>
    <t>Inteiro</t>
  </si>
  <si>
    <t>Dias do mês.</t>
  </si>
  <si>
    <t>Dias úteis (RG-SGA-13).</t>
  </si>
  <si>
    <t>Decimal</t>
  </si>
  <si>
    <t>Temperatura média exterior (°C) — RG-SGA-13 (IPMA).</t>
  </si>
  <si>
    <t>Graus-dia de arrefecimento base 15 °C = max(0; T − 15) × dias.</t>
  </si>
  <si>
    <t>kwh</t>
  </si>
  <si>
    <t>Eletricidade total da fatura (RG-SGA-13, medido).</t>
  </si>
  <si>
    <t>Eletricidade do sopro (rateio RG-SGA-13).</t>
  </si>
  <si>
    <t>Eletricidade da injeção (rateio).</t>
  </si>
  <si>
    <t>Ar comprimido (rateio: 19% dos processos).</t>
  </si>
  <si>
    <t>Arrefecimento (rateio com fator de temperatura).</t>
  </si>
  <si>
    <t>Serviços gerais (base + AVAC).</t>
  </si>
  <si>
    <t>Serigrafia (rateio).</t>
  </si>
  <si>
    <t>Hot foil (rateio).</t>
  </si>
  <si>
    <t>Tampas e potes produzidos (dataset).</t>
  </si>
  <si>
    <t>Frascos produzidos (dataset).</t>
  </si>
  <si>
    <t>Peças serigrafadas.</t>
  </si>
  <si>
    <t>Peças com hot foil.</t>
  </si>
  <si>
    <t>Horas de marcha da injeção.</t>
  </si>
  <si>
    <t>Horas de marcha do sopro.</t>
  </si>
  <si>
    <t>Horas de marcha da serigrafia.</t>
  </si>
  <si>
    <t>Horas de marcha do hot foil.</t>
  </si>
  <si>
    <t>Unidades das 4 máquinas novas (07/2026) — ALE-01.</t>
  </si>
  <si>
    <t>Eletricidade atribuível às máquinas novas: horas × kW do RG-SGA-13 + quota de ar e frio (ALE-01).</t>
  </si>
  <si>
    <t>Gasóleo da frota (L) — RG-SGA-19 S1-01.</t>
  </si>
  <si>
    <t>Gasóleo do gerador (L) — RG-SGA-19 S1-02.</t>
  </si>
  <si>
    <t>Calculado (fórmula)</t>
  </si>
  <si>
    <t>Σ usos − total (deve ser ≈ 0: arredondamentos).</t>
  </si>
  <si>
    <t>Energia final: eletricidade + gasóleo × 10 kWh/L (PCI ≈ 35,9 MJ/L).</t>
  </si>
  <si>
    <t>tbl_ide_mensal</t>
  </si>
  <si>
    <t>Mês.</t>
  </si>
  <si>
    <t>PK / FK → tbl_base_energia</t>
  </si>
  <si>
    <t>Referência (LBE) ou Reporte.</t>
  </si>
  <si>
    <t>Variável dependente: eletricidade real sem as máquinas novas (ALE-01).</t>
  </si>
  <si>
    <t>Variável relevante 1: milhares de unidades INJ + SOP (sem máquinas novas).</t>
  </si>
  <si>
    <t>Variável relevante 2: graus-dia de arrefecimento base 15 °C.</t>
  </si>
  <si>
    <t>Energia esperada pelo modelo da LBE-01 nas condições do mês (normalização).</t>
  </si>
  <si>
    <t>Real − esperado (negativo = poupança).</t>
  </si>
  <si>
    <t>Soma acumulada das diferenças desde o início da LBE (tendência).</t>
  </si>
  <si>
    <t>Percentagem (fração 0-1)</t>
  </si>
  <si>
    <t>IDE-01: (esperado − real) ÷ esperado.</t>
  </si>
  <si>
    <t>As variáveis do mês estão dentro do intervalo da LBE (± tolerância)? Fora do domínio o modelo extrapola (ISO 50006 §8.2).</t>
  </si>
  <si>
    <t>Classificação do mês: limite = t(95%) × erro-padrão do modelo (9.1.1 — investigar desvios significativos).</t>
  </si>
  <si>
    <t>IDE-02: kWh por 1.000 unidades (rácio, instalação completa).</t>
  </si>
  <si>
    <t>IDE-03 (estimado).</t>
  </si>
  <si>
    <t>IDE-04 (estimado).</t>
  </si>
  <si>
    <t>IDE-05: termo independente do modelo ÷ real do mês.</t>
  </si>
  <si>
    <t>IDE-06.</t>
  </si>
  <si>
    <t>IDE-07 (constante por construção).</t>
  </si>
  <si>
    <t>IDE-09.</t>
  </si>
  <si>
    <t>tbl_variaveis</t>
  </si>
  <si>
    <t>Variável candidata.</t>
  </si>
  <si>
    <t>Descrição.</t>
  </si>
  <si>
    <t>Coluna em tbl_base_energia.</t>
  </si>
  <si>
    <t>Origem do dado.</t>
  </si>
  <si>
    <t>Unidade.</t>
  </si>
  <si>
    <t>Coeficiente de correlação (Pearson) com o kWh total nos 12 meses de referência.</t>
  </si>
  <si>
    <t>R² da regressão simples.</t>
  </si>
  <si>
    <t>Relevante (entra no modelo) / Não relevante / Redundante.</t>
  </si>
  <si>
    <t>Porquê (critério: significância estatística e sentido físico).</t>
  </si>
  <si>
    <t>tbl_kpi</t>
  </si>
  <si>
    <t>IDE-xx = indicador de desempenho energético; KPI-E-xx = indicador do sistema.</t>
  </si>
  <si>
    <t>Nome do indicador.</t>
  </si>
  <si>
    <t>Definição operacional.</t>
  </si>
  <si>
    <t>Maior ou menor é melhor.</t>
  </si>
  <si>
    <t>Lista lst_Polaridade</t>
  </si>
  <si>
    <t>Tipo de IDE (ISO 50006 §6.2) — posição equivalente ao Tipo_ISO14031 do RG-SGA-05.</t>
  </si>
  <si>
    <t>Lista lst_TipoIDE</t>
  </si>
  <si>
    <t>Frequência de cálculo.</t>
  </si>
  <si>
    <t>Origem dos dados.</t>
  </si>
  <si>
    <t>Dono do IDE (ISO 50006 tab. 1 — 'EnPI owner').</t>
  </si>
  <si>
    <t>Lista lst_Funcao</t>
  </si>
  <si>
    <t>Valor da LBE: média dos 12 meses de referência (ou valor externo quando o IDE vem de outro registo).</t>
  </si>
  <si>
    <t>Objetivo que o indicador mede.</t>
  </si>
  <si>
    <t>FK → tbl_objetivos</t>
  </si>
  <si>
    <t>Linhas do plano de recolha de dados (RG-SGE-06).</t>
  </si>
  <si>
    <t>FK → RG-SGE-06 tbl_plano_recolha</t>
  </si>
  <si>
    <t>[Só SGE] Fronteira do IDE (ISO 50006 §5.3).</t>
  </si>
  <si>
    <t>[Só SGE] Uso significativo abrangido.</t>
  </si>
  <si>
    <t>[Só SGE] Variáveis relevantes consideradas (6.4).</t>
  </si>
  <si>
    <t>[Só SGE] Fatores estáticos monitorizados.</t>
  </si>
  <si>
    <t>[Só SGE] Se e como é normalizado (6.5; ISO 50006 §8).</t>
  </si>
  <si>
    <t>[Só SGE] LBE correspondente.</t>
  </si>
  <si>
    <t>FK → tbl_lbe</t>
  </si>
  <si>
    <t>[Só SGE] Utilizadores do IDE (ISO 50006 §5.2).</t>
  </si>
  <si>
    <t>[Só SGE] Coluna em tbl_ide_mensal ('—' se vem de outro registo).</t>
  </si>
  <si>
    <t>[Só SGE] Meta energética associada (percentagens como fração).</t>
  </si>
  <si>
    <t>[Só SGE] Valor da LBE quando o IDE é calculado noutro registo (à data de referência).</t>
  </si>
  <si>
    <t>[Só SGE] Valor atual quando o IDE é calculado noutro registo.</t>
  </si>
  <si>
    <t>[Só SGE] Média dos meses de reporte mar–dez/2026 (IDE-01: agregado oficial da LBE_Modelo; IDE-08 e KPI-E-01: valor de dez/2026).</t>
  </si>
  <si>
    <t>[Só SGE] Variação relativa do reporte face à LBE.</t>
  </si>
  <si>
    <t>[Só SGE] Estado face à meta.</t>
  </si>
  <si>
    <t>[Só SGE] Indicador equivalente no SGA/SGQ.</t>
  </si>
  <si>
    <t>[Só SGE] Medido / estimado / calculado (EN 17267).</t>
  </si>
  <si>
    <t>tbl_lbe</t>
  </si>
  <si>
    <t>Linha de base energética.</t>
  </si>
  <si>
    <t>IDE que a usa.</t>
  </si>
  <si>
    <t>FK → tbl_kpi</t>
  </si>
  <si>
    <t>O que é a LBE.</t>
  </si>
  <si>
    <t>Início do período de referência.</t>
  </si>
  <si>
    <t>Fim do período de referência.</t>
  </si>
  <si>
    <t>Duração (meses).</t>
  </si>
  <si>
    <t>Modelo / cálculo.</t>
  </si>
  <si>
    <t>Valor da LBE (do catálogo).</t>
  </si>
  <si>
    <t>R² (só modelos).</t>
  </si>
  <si>
    <t>Resultado dos testes (LBE_Modelo).</t>
  </si>
  <si>
    <t>Em vigor / planeado / substituída.</t>
  </si>
  <si>
    <t>Lista lst_EstadoLBE</t>
  </si>
  <si>
    <t>Aprovação pela equipa de gestão de energia.</t>
  </si>
  <si>
    <t>Quando rever (6.5 a) IDE deixa de representar; b) fatores estáticos; c) método predeterminado).</t>
  </si>
  <si>
    <t>Revisão prevista.</t>
  </si>
  <si>
    <t>tbl_alteracoes_lbe</t>
  </si>
  <si>
    <t>Alteração/ajuste.</t>
  </si>
  <si>
    <t>Data a partir da qual tem efeito.</t>
  </si>
  <si>
    <t>Fator estático / ação de melhoria / método de medição / tipo de energia.</t>
  </si>
  <si>
    <t>O que mudou.</t>
  </si>
  <si>
    <t>LBE afetadas.</t>
  </si>
  <si>
    <t>Ajuste aplicado e justificação (ISO 50006 §9).</t>
  </si>
  <si>
    <t>O que falta fazer.</t>
  </si>
  <si>
    <t>Aprovado / planeado.</t>
  </si>
  <si>
    <t>Responsável.</t>
  </si>
  <si>
    <t>Aprovação.</t>
  </si>
  <si>
    <t>tbl_fatores_estaticos</t>
  </si>
  <si>
    <t>Fator estático.</t>
  </si>
  <si>
    <t>Fator que não varia rotineiramente mas afeta o desempenho (ISO 50006 3.1.18).</t>
  </si>
  <si>
    <t>Condição no período de referência.</t>
  </si>
  <si>
    <t>Condição à data de referência.</t>
  </si>
  <si>
    <t>Sem alteração / alterado.</t>
  </si>
  <si>
    <t>Tratamento.</t>
  </si>
  <si>
    <t>FK → tbl_alteracoes_lbe</t>
  </si>
  <si>
    <t>tbl_parametros</t>
  </si>
  <si>
    <t>Parâmetro.</t>
  </si>
  <si>
    <t>Valor.</t>
  </si>
  <si>
    <t>[Só SGE] Origem do valor.</t>
  </si>
  <si>
    <t>tbl_objetivos</t>
  </si>
  <si>
    <t>Objetivo energético / do SGE.</t>
  </si>
  <si>
    <t>Compromisso da política energética (RG-SGE-02).</t>
  </si>
  <si>
    <t>FK → RG-SGE-02 tbl_politica</t>
  </si>
  <si>
    <t>De onde nasce (revisão energética, contexto, requisito).</t>
  </si>
  <si>
    <t>IDs de origem (USE, OPE, riscos).</t>
  </si>
  <si>
    <t>Problema ou oportunidade que justifica o objetivo.</t>
  </si>
  <si>
    <t>Objetivo mensurável (6.2.2 b).</t>
  </si>
  <si>
    <t>IDE que mede o objetivo.</t>
  </si>
  <si>
    <t>Nome e unidade do IDE.</t>
  </si>
  <si>
    <t>Valor da LBE.</t>
  </si>
  <si>
    <t>Absoluta / relativa.</t>
  </si>
  <si>
    <t>Meta em texto.</t>
  </si>
  <si>
    <t>Meta numérica (percentagens como fração).</t>
  </si>
  <si>
    <t>Prazo.</t>
  </si>
  <si>
    <t>Pessoas (6.2.3).</t>
  </si>
  <si>
    <t>Meios materiais (6.2.3).</t>
  </si>
  <si>
    <t>Moeda (EUR)</t>
  </si>
  <si>
    <t>Orçamento (6.2.3).</t>
  </si>
  <si>
    <t>Responsável (6.2.3).</t>
  </si>
  <si>
    <t>Planos de ação (tbl_planos_acao) — mesmo nome de coluna do RG-SGA-05.</t>
  </si>
  <si>
    <t>FK → tbl_planos_acao</t>
  </si>
  <si>
    <t>Estado face à meta.</t>
  </si>
  <si>
    <t>Valor do período de reporte (IDE-01: melhoria agregada dentro do domínio, LBE_Modelo).</t>
  </si>
  <si>
    <t>Caminho baseline → meta já percorrido.</t>
  </si>
  <si>
    <t>Dias até ao prazo.</t>
  </si>
  <si>
    <t>S.</t>
  </si>
  <si>
    <t>M (6.2.2 b).</t>
  </si>
  <si>
    <t>A (6.2.3).</t>
  </si>
  <si>
    <t>R (6.2.2 a, d, e).</t>
  </si>
  <si>
    <t>T.</t>
  </si>
  <si>
    <t>SMART.</t>
  </si>
  <si>
    <t>Aprovação (revisão pela gestão RD-E-2026-01).</t>
  </si>
  <si>
    <t>[Só SGE] USE considerados (6.2.2 d).</t>
  </si>
  <si>
    <t>[Só SGE] Oportunidades da revisão energética (6.2.2 e).</t>
  </si>
  <si>
    <t>[Só SGE] Requisitos aplicáveis considerados (6.2.2 c).</t>
  </si>
  <si>
    <t>[Só SGE] Como é comunicado (6.2.2 g).</t>
  </si>
  <si>
    <t>[Só SGE] Objetivo/ação equivalente no SGA.</t>
  </si>
  <si>
    <t>[Só SGE] Da definição do IDE.</t>
  </si>
  <si>
    <t>tbl_metas_energeticas</t>
  </si>
  <si>
    <t>Meta energética (6.2.1).</t>
  </si>
  <si>
    <t>Objetivo.</t>
  </si>
  <si>
    <t>IDE.</t>
  </si>
  <si>
    <t>Meta.</t>
  </si>
  <si>
    <t>Valor-alvo.</t>
  </si>
  <si>
    <t>LBE.</t>
  </si>
  <si>
    <t>Valor atual (do objetivo).</t>
  </si>
  <si>
    <t>tbl_planos_acao</t>
  </si>
  <si>
    <t>Plano de ação.</t>
  </si>
  <si>
    <t>O que vai ser feito (6.2.3).</t>
  </si>
  <si>
    <t>Recursos necessários (6.2.3).</t>
  </si>
  <si>
    <t>Custo previsto.</t>
  </si>
  <si>
    <t>Quem é responsável (6.2.3).</t>
  </si>
  <si>
    <t>Início.</t>
  </si>
  <si>
    <t>Quando será concluído (6.2.3).</t>
  </si>
  <si>
    <t>Como os resultados serão avaliados (6.2.3).</t>
  </si>
  <si>
    <t>Método para verificar a melhoria do desempenho energético (6.2.3 → 9.1; IPMVP/ISO 50015).</t>
  </si>
  <si>
    <t>Poupança anual prevista (MWh).</t>
  </si>
  <si>
    <t>Estado.</t>
  </si>
  <si>
    <t>Lista lst_EstadoPlano</t>
  </si>
  <si>
    <t>Integração nos processos de negócio (6.2.3).</t>
  </si>
  <si>
    <t>Ação equivalente no PAM do SGA.</t>
  </si>
  <si>
    <t>Oportunidade da revisão energética (RG-SGE-04).</t>
  </si>
  <si>
    <t>FK → RG-SGE-04 tbl_oportunidades</t>
  </si>
  <si>
    <t>Poupança anual prevista (€) ao preço médio da eletricidade (RG-SGE-09).</t>
  </si>
  <si>
    <t>Retorno simples.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</si>
</sst>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#,##0.0"/>
    <numFmt numFmtId="166" formatCode="0.0%"/>
    <numFmt numFmtId="167" formatCode="#,##0.000"/>
    <numFmt numFmtId="168" formatCode="0.0000"/>
    <numFmt numFmtId="169" formatCode="0.000"/>
    <numFmt numFmtId="170" formatCode="#,##0\ \€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4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 style="thin">
        <color rgb="FFB7C4C9"/>
      </top>
      <bottom style="thin">
        <color rgb="FFB7C4C9"/>
      </bottom>
      <diagonal/>
    </border>
    <border>
      <left/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8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9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0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170" fontId="4" fillId="0" borderId="1" xfId="0" applyNumberFormat="1" applyFont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170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1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Eletricidade real ajustada vs esperada pela LBE-01 (kWh)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IDE_Mensal!$C$4</c:f>
              <c:strCache>
                <c:ptCount val="1"/>
                <c:pt idx="0">
                  <c:v>Y_kWh_Ajustado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IDE_Mensal!$A$5:$A$26</c:f>
              <c:numCache>
                <c:formatCode>yyyy\-mm\-dd</c:formatCode>
                <c:ptCount val="2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</c:numCache>
            </c:numRef>
          </c:cat>
          <c:val>
            <c:numRef>
              <c:f>IDE_Mensal!$C$5:$C$26</c:f>
              <c:numCache>
                <c:formatCode>#,##0</c:formatCode>
                <c:ptCount val="22"/>
                <c:pt idx="0">
                  <c:v>568941</c:v>
                </c:pt>
                <c:pt idx="1">
                  <c:v>545354</c:v>
                </c:pt>
                <c:pt idx="2">
                  <c:v>538026</c:v>
                </c:pt>
                <c:pt idx="3">
                  <c:v>515423</c:v>
                </c:pt>
                <c:pt idx="4">
                  <c:v>620886</c:v>
                </c:pt>
                <c:pt idx="5">
                  <c:v>586901</c:v>
                </c:pt>
                <c:pt idx="6">
                  <c:v>569448</c:v>
                </c:pt>
                <c:pt idx="7">
                  <c:v>568762</c:v>
                </c:pt>
                <c:pt idx="8">
                  <c:v>561643</c:v>
                </c:pt>
                <c:pt idx="9">
                  <c:v>582602</c:v>
                </c:pt>
                <c:pt idx="10">
                  <c:v>567251</c:v>
                </c:pt>
                <c:pt idx="11">
                  <c:v>527749</c:v>
                </c:pt>
                <c:pt idx="12">
                  <c:v>590162</c:v>
                </c:pt>
                <c:pt idx="13">
                  <c:v>554352</c:v>
                </c:pt>
                <c:pt idx="14">
                  <c:v>588371</c:v>
                </c:pt>
                <c:pt idx="15">
                  <c:v>568979</c:v>
                </c:pt>
                <c:pt idx="16">
                  <c:v>578760</c:v>
                </c:pt>
                <c:pt idx="17">
                  <c:v>617246</c:v>
                </c:pt>
                <c:pt idx="18">
                  <c:v>564131</c:v>
                </c:pt>
                <c:pt idx="19">
                  <c:v>560024</c:v>
                </c:pt>
                <c:pt idx="20">
                  <c:v>528725</c:v>
                </c:pt>
                <c:pt idx="21">
                  <c:v>513562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D-49BB-9350-CE3AD586EC52}"/>
            </c:ext>
          </c:extLst>
        </c:ser>
        <c:ser>
          <c:idx val="1"/>
          <c:order val="1"/>
          <c:tx>
            <c:strRef>
              <c:f>IDE_Mensal!$F$4</c:f>
              <c:strCache>
                <c:ptCount val="1"/>
                <c:pt idx="0">
                  <c:v>kWh_Esperado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IDE_Mensal!$A$5:$A$26</c:f>
              <c:numCache>
                <c:formatCode>yyyy\-mm\-dd</c:formatCode>
                <c:ptCount val="2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</c:numCache>
            </c:numRef>
          </c:cat>
          <c:val>
            <c:numRef>
              <c:f>IDE_Mensal!$F$5:$F$26</c:f>
              <c:numCache>
                <c:formatCode>#,##0</c:formatCode>
                <c:ptCount val="22"/>
                <c:pt idx="0">
                  <c:v>570403.97398077755</c:v>
                </c:pt>
                <c:pt idx="1">
                  <c:v>540057.09736890881</c:v>
                </c:pt>
                <c:pt idx="2">
                  <c:v>557855.14230614109</c:v>
                </c:pt>
                <c:pt idx="3">
                  <c:v>520626.6978800302</c:v>
                </c:pt>
                <c:pt idx="4">
                  <c:v>589519.65765712364</c:v>
                </c:pt>
                <c:pt idx="5">
                  <c:v>606721.36709576903</c:v>
                </c:pt>
                <c:pt idx="6">
                  <c:v>567657.13942154171</c:v>
                </c:pt>
                <c:pt idx="7">
                  <c:v>571867.96488020604</c:v>
                </c:pt>
                <c:pt idx="8">
                  <c:v>549528.042162542</c:v>
                </c:pt>
                <c:pt idx="9">
                  <c:v>572232.61502793944</c:v>
                </c:pt>
                <c:pt idx="10">
                  <c:v>576844.43272548052</c:v>
                </c:pt>
                <c:pt idx="11">
                  <c:v>529671.86949354026</c:v>
                </c:pt>
                <c:pt idx="12">
                  <c:v>591023.86673845723</c:v>
                </c:pt>
                <c:pt idx="13">
                  <c:v>548416.21887883288</c:v>
                </c:pt>
                <c:pt idx="14">
                  <c:v>579176.8558666613</c:v>
                </c:pt>
                <c:pt idx="15">
                  <c:v>569443.42100683029</c:v>
                </c:pt>
                <c:pt idx="16">
                  <c:v>588997.56212170306</c:v>
                </c:pt>
                <c:pt idx="17">
                  <c:v>599249.88849501091</c:v>
                </c:pt>
                <c:pt idx="18">
                  <c:v>575403.44635947968</c:v>
                </c:pt>
                <c:pt idx="19">
                  <c:v>589664.07988698268</c:v>
                </c:pt>
                <c:pt idx="20">
                  <c:v>546533.8966547529</c:v>
                </c:pt>
                <c:pt idx="21">
                  <c:v>558042.73791911174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D-49BB-9350-CE3AD586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CUSUM (kWh): declive negativo = poupança; positivo = desperdício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IDE_Mensal!$H$4</c:f>
              <c:strCache>
                <c:ptCount val="1"/>
                <c:pt idx="0">
                  <c:v>CUSUM_kWh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IDE_Mensal!$A$5:$A$26</c:f>
              <c:numCache>
                <c:formatCode>yyyy\-mm\-dd</c:formatCode>
                <c:ptCount val="2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  <c:pt idx="15">
                  <c:v>46174</c:v>
                </c:pt>
                <c:pt idx="16">
                  <c:v>46204</c:v>
                </c:pt>
                <c:pt idx="17">
                  <c:v>46235</c:v>
                </c:pt>
                <c:pt idx="18">
                  <c:v>46266</c:v>
                </c:pt>
                <c:pt idx="19">
                  <c:v>46296</c:v>
                </c:pt>
                <c:pt idx="20">
                  <c:v>46327</c:v>
                </c:pt>
                <c:pt idx="21">
                  <c:v>46357</c:v>
                </c:pt>
              </c:numCache>
            </c:numRef>
          </c:cat>
          <c:val>
            <c:numRef>
              <c:f>IDE_Mensal!$H$5:$H$26</c:f>
              <c:numCache>
                <c:formatCode>#,##0</c:formatCode>
                <c:ptCount val="22"/>
                <c:pt idx="0">
                  <c:v>-1462.9739807775477</c:v>
                </c:pt>
                <c:pt idx="1">
                  <c:v>3833.9286503136391</c:v>
                </c:pt>
                <c:pt idx="2">
                  <c:v>-15995.213655827451</c:v>
                </c:pt>
                <c:pt idx="3">
                  <c:v>-21198.911535857653</c:v>
                </c:pt>
                <c:pt idx="4">
                  <c:v>10167.430807018711</c:v>
                </c:pt>
                <c:pt idx="5">
                  <c:v>-9652.936288750323</c:v>
                </c:pt>
                <c:pt idx="6">
                  <c:v>-7862.0757102920325</c:v>
                </c:pt>
                <c:pt idx="7">
                  <c:v>-10968.040590498073</c:v>
                </c:pt>
                <c:pt idx="8">
                  <c:v>1146.9172469599289</c:v>
                </c:pt>
                <c:pt idx="9">
                  <c:v>11516.302219020494</c:v>
                </c:pt>
                <c:pt idx="10">
                  <c:v>1922.869493539969</c:v>
                </c:pt>
                <c:pt idx="11">
                  <c:v>-2.9103830456733704E-10</c:v>
                </c:pt>
                <c:pt idx="12">
                  <c:v>-861.86673845752375</c:v>
                </c:pt>
                <c:pt idx="13">
                  <c:v>5073.9143827095977</c:v>
                </c:pt>
                <c:pt idx="14">
                  <c:v>14268.058516048302</c:v>
                </c:pt>
                <c:pt idx="15">
                  <c:v>13803.63750921801</c:v>
                </c:pt>
                <c:pt idx="16">
                  <c:v>3566.075387514953</c:v>
                </c:pt>
                <c:pt idx="17">
                  <c:v>21562.186892504047</c:v>
                </c:pt>
                <c:pt idx="18">
                  <c:v>10289.740533024364</c:v>
                </c:pt>
                <c:pt idx="19">
                  <c:v>-19350.339353958319</c:v>
                </c:pt>
                <c:pt idx="20">
                  <c:v>-37159.236008711217</c:v>
                </c:pt>
                <c:pt idx="21">
                  <c:v>-81639.973927822954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1-4A86-B5FB-5E949CC3C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56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56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se_energia" displayName="tbl_base_energia" ref="A4:AD26">
  <autoFilter ref="A4:AD26" xr:uid="{00000000-0009-0000-0100-000001000000}"/>
  <tableColumns count="30">
    <tableColumn id="1" xr3:uid="{00000000-0010-0000-0000-000001000000}" name="Mes"/>
    <tableColumn id="2" xr3:uid="{00000000-0010-0000-0000-000002000000}" name="Periodo"/>
    <tableColumn id="3" xr3:uid="{00000000-0010-0000-0000-000003000000}" name="Qualidade_Producao"/>
    <tableColumn id="4" xr3:uid="{00000000-0010-0000-0000-000004000000}" name="Fonte_Energia"/>
    <tableColumn id="5" xr3:uid="{00000000-0010-0000-0000-000005000000}" name="Dias_Calendario"/>
    <tableColumn id="6" xr3:uid="{00000000-0010-0000-0000-000006000000}" name="Dias_Uteis"/>
    <tableColumn id="7" xr3:uid="{00000000-0010-0000-0000-000007000000}" name="Temp_Media_C"/>
    <tableColumn id="8" xr3:uid="{00000000-0010-0000-0000-000008000000}" name="CDD_15"/>
    <tableColumn id="9" xr3:uid="{00000000-0010-0000-0000-000009000000}" name="kWh_Total"/>
    <tableColumn id="10" xr3:uid="{00000000-0010-0000-0000-00000A000000}" name="kWh_SOP"/>
    <tableColumn id="11" xr3:uid="{00000000-0010-0000-0000-00000B000000}" name="kWh_INJ"/>
    <tableColumn id="12" xr3:uid="{00000000-0010-0000-0000-00000C000000}" name="kWh_UTL_AR"/>
    <tableColumn id="13" xr3:uid="{00000000-0010-0000-0000-00000D000000}" name="kWh_UTL_FRIO"/>
    <tableColumn id="14" xr3:uid="{00000000-0010-0000-0000-00000E000000}" name="kWh_GER"/>
    <tableColumn id="15" xr3:uid="{00000000-0010-0000-0000-00000F000000}" name="kWh_SER"/>
    <tableColumn id="16" xr3:uid="{00000000-0010-0000-0000-000010000000}" name="kWh_HFS"/>
    <tableColumn id="17" xr3:uid="{00000000-0010-0000-0000-000011000000}" name="Unid_INJ"/>
    <tableColumn id="18" xr3:uid="{00000000-0010-0000-0000-000012000000}" name="Unid_SOP"/>
    <tableColumn id="19" xr3:uid="{00000000-0010-0000-0000-000013000000}" name="Unid_SER"/>
    <tableColumn id="20" xr3:uid="{00000000-0010-0000-0000-000014000000}" name="Unid_HFS"/>
    <tableColumn id="21" xr3:uid="{00000000-0010-0000-0000-000015000000}" name="Horas_INJ"/>
    <tableColumn id="22" xr3:uid="{00000000-0010-0000-0000-000016000000}" name="Horas_SOP"/>
    <tableColumn id="23" xr3:uid="{00000000-0010-0000-0000-000017000000}" name="Horas_SER"/>
    <tableColumn id="24" xr3:uid="{00000000-0010-0000-0000-000018000000}" name="Horas_HFS"/>
    <tableColumn id="25" xr3:uid="{00000000-0010-0000-0000-000019000000}" name="Unid_Maquinas_Novas"/>
    <tableColumn id="26" xr3:uid="{00000000-0010-0000-0000-00001A000000}" name="kWh_Maquinas_Novas"/>
    <tableColumn id="27" xr3:uid="{00000000-0010-0000-0000-00001B000000}" name="L_Gasoleo_Frota"/>
    <tableColumn id="28" xr3:uid="{00000000-0010-0000-0000-00001C000000}" name="L_Gasoleo_Gerador"/>
    <tableColumn id="29" xr3:uid="{00000000-0010-0000-0000-00001D000000}" name="Verif_Soma_Usos"/>
    <tableColumn id="30" xr3:uid="{00000000-0010-0000-0000-00001E000000}" name="Energia_Final_MWh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de_mensal" displayName="tbl_ide_mensal" ref="A4:R26">
  <autoFilter ref="A4:R26" xr:uid="{00000000-0009-0000-0100-000002000000}"/>
  <tableColumns count="18">
    <tableColumn id="1" xr3:uid="{00000000-0010-0000-0100-000001000000}" name="Mes"/>
    <tableColumn id="2" xr3:uid="{00000000-0010-0000-0100-000002000000}" name="Periodo"/>
    <tableColumn id="3" xr3:uid="{00000000-0010-0000-0100-000003000000}" name="Y_kWh_Ajustado"/>
    <tableColumn id="4" xr3:uid="{00000000-0010-0000-0100-000004000000}" name="X1_Unid_mil"/>
    <tableColumn id="5" xr3:uid="{00000000-0010-0000-0100-000005000000}" name="X2_CDD"/>
    <tableColumn id="6" xr3:uid="{00000000-0010-0000-0100-000006000000}" name="kWh_Esperado"/>
    <tableColumn id="7" xr3:uid="{00000000-0010-0000-0100-000007000000}" name="Diferenca_kWh"/>
    <tableColumn id="8" xr3:uid="{00000000-0010-0000-0100-000008000000}" name="CUSUM_kWh"/>
    <tableColumn id="9" xr3:uid="{00000000-0010-0000-0100-000009000000}" name="Melhoria_Pct"/>
    <tableColumn id="10" xr3:uid="{00000000-0010-0000-0100-00000A000000}" name="Dentro_Dominio"/>
    <tableColumn id="11" xr3:uid="{00000000-0010-0000-0100-00000B000000}" name="Estado_IDE01"/>
    <tableColumn id="12" xr3:uid="{00000000-0010-0000-0100-00000C000000}" name="SEC_Real"/>
    <tableColumn id="13" xr3:uid="{00000000-0010-0000-0100-00000D000000}" name="SEC_SOP"/>
    <tableColumn id="14" xr3:uid="{00000000-0010-0000-0100-00000E000000}" name="SEC_INJ"/>
    <tableColumn id="15" xr3:uid="{00000000-0010-0000-0100-00000F000000}" name="Carga_Base_Pct"/>
    <tableColumn id="16" xr3:uid="{00000000-0010-0000-0100-000010000000}" name="Racio_Frio"/>
    <tableColumn id="17" xr3:uid="{00000000-0010-0000-0100-000011000000}" name="Racio_Ar"/>
    <tableColumn id="18" xr3:uid="{00000000-0010-0000-0100-000012000000}" name="Energia_Final_MWh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variaveis" displayName="tbl_variaveis" ref="A4:I10">
  <autoFilter ref="A4:I10" xr:uid="{00000000-0009-0000-0100-000003000000}"/>
  <tableColumns count="9">
    <tableColumn id="1" xr3:uid="{00000000-0010-0000-0200-000001000000}" name="ID_Variavel"/>
    <tableColumn id="2" xr3:uid="{00000000-0010-0000-0200-000002000000}" name="Variavel"/>
    <tableColumn id="3" xr3:uid="{00000000-0010-0000-0200-000003000000}" name="Coluna_Base"/>
    <tableColumn id="4" xr3:uid="{00000000-0010-0000-0200-000004000000}" name="Fonte"/>
    <tableColumn id="5" xr3:uid="{00000000-0010-0000-0200-000005000000}" name="Unidade"/>
    <tableColumn id="6" xr3:uid="{00000000-0010-0000-0200-000006000000}" name="Correlacao_com_kWh"/>
    <tableColumn id="7" xr3:uid="{00000000-0010-0000-0200-000007000000}" name="R2_Simples"/>
    <tableColumn id="8" xr3:uid="{00000000-0010-0000-0200-000008000000}" name="Decisao"/>
    <tableColumn id="9" xr3:uid="{00000000-0010-0000-0200-000009000000}" name="Justifica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kpi" displayName="tbl_kpi" ref="A4:AB17">
  <autoFilter ref="A4:AB17" xr:uid="{00000000-0009-0000-0100-000004000000}"/>
  <tableColumns count="28">
    <tableColumn id="1" xr3:uid="{00000000-0010-0000-0300-000001000000}" name="ID_KPI"/>
    <tableColumn id="2" xr3:uid="{00000000-0010-0000-0300-000002000000}" name="Nome"/>
    <tableColumn id="3" xr3:uid="{00000000-0010-0000-0300-000003000000}" name="Formula_Calculo"/>
    <tableColumn id="4" xr3:uid="{00000000-0010-0000-0300-000004000000}" name="Unidade"/>
    <tableColumn id="5" xr3:uid="{00000000-0010-0000-0300-000005000000}" name="Polaridade"/>
    <tableColumn id="6" xr3:uid="{00000000-0010-0000-0300-000006000000}" name="Tipo_IDE_ISO50006"/>
    <tableColumn id="7" xr3:uid="{00000000-0010-0000-0300-000007000000}" name="Frequencia"/>
    <tableColumn id="8" xr3:uid="{00000000-0010-0000-0300-000008000000}" name="Fonte_Dados"/>
    <tableColumn id="9" xr3:uid="{00000000-0010-0000-0300-000009000000}" name="Responsavel"/>
    <tableColumn id="10" xr3:uid="{00000000-0010-0000-0300-00000A000000}" name="Baseline"/>
    <tableColumn id="11" xr3:uid="{00000000-0010-0000-0300-00000B000000}" name="ID_OBJ"/>
    <tableColumn id="12" xr3:uid="{00000000-0010-0000-0300-00000C000000}" name="ID_MED"/>
    <tableColumn id="13" xr3:uid="{00000000-0010-0000-0300-00000D000000}" name="Fronteira"/>
    <tableColumn id="14" xr3:uid="{00000000-0010-0000-0300-00000E000000}" name="ID_USE"/>
    <tableColumn id="15" xr3:uid="{00000000-0010-0000-0300-00000F000000}" name="Variaveis_Relevantes"/>
    <tableColumn id="16" xr3:uid="{00000000-0010-0000-0300-000010000000}" name="Fatores_Estaticos"/>
    <tableColumn id="17" xr3:uid="{00000000-0010-0000-0300-000011000000}" name="Normalizacao"/>
    <tableColumn id="18" xr3:uid="{00000000-0010-0000-0300-000012000000}" name="ID_LBE"/>
    <tableColumn id="19" xr3:uid="{00000000-0010-0000-0300-000013000000}" name="Utilizadores"/>
    <tableColumn id="20" xr3:uid="{00000000-0010-0000-0300-000014000000}" name="Coluna_Mensal"/>
    <tableColumn id="21" xr3:uid="{00000000-0010-0000-0300-000015000000}" name="Meta"/>
    <tableColumn id="22" xr3:uid="{00000000-0010-0000-0300-000016000000}" name="Valor_LBE_Externo"/>
    <tableColumn id="23" xr3:uid="{00000000-0010-0000-0300-000017000000}" name="Valor_Reporte_Externo"/>
    <tableColumn id="24" xr3:uid="{00000000-0010-0000-0300-000018000000}" name="Valor_Reporte"/>
    <tableColumn id="25" xr3:uid="{00000000-0010-0000-0300-000019000000}" name="Variacao_vs_LBE"/>
    <tableColumn id="26" xr3:uid="{00000000-0010-0000-0300-00001A000000}" name="Estado"/>
    <tableColumn id="27" xr3:uid="{00000000-0010-0000-0300-00001B000000}" name="Ligacao_SGI"/>
    <tableColumn id="28" xr3:uid="{00000000-0010-0000-0300-00001C000000}" name="Qualidade_Dado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lbe" displayName="tbl_lbe" ref="A4:N12">
  <autoFilter ref="A4:N12" xr:uid="{00000000-0009-0000-0100-000005000000}"/>
  <tableColumns count="14">
    <tableColumn id="1" xr3:uid="{00000000-0010-0000-0400-000001000000}" name="ID_LBE"/>
    <tableColumn id="2" xr3:uid="{00000000-0010-0000-0400-000002000000}" name="ID_KPI"/>
    <tableColumn id="3" xr3:uid="{00000000-0010-0000-0400-000003000000}" name="Descricao"/>
    <tableColumn id="4" xr3:uid="{00000000-0010-0000-0400-000004000000}" name="Periodo_Inicio"/>
    <tableColumn id="5" xr3:uid="{00000000-0010-0000-0400-000005000000}" name="Periodo_Fim"/>
    <tableColumn id="6" xr3:uid="{00000000-0010-0000-0400-000006000000}" name="N_Meses"/>
    <tableColumn id="7" xr3:uid="{00000000-0010-0000-0400-000007000000}" name="Metodo"/>
    <tableColumn id="8" xr3:uid="{00000000-0010-0000-0400-000008000000}" name="Valor_LBE"/>
    <tableColumn id="9" xr3:uid="{00000000-0010-0000-0400-000009000000}" name="R2"/>
    <tableColumn id="10" xr3:uid="{00000000-0010-0000-0400-00000A000000}" name="Validade_Estatistica"/>
    <tableColumn id="11" xr3:uid="{00000000-0010-0000-0400-00000B000000}" name="Estado"/>
    <tableColumn id="12" xr3:uid="{00000000-0010-0000-0400-00000C000000}" name="Data_Aprovacao"/>
    <tableColumn id="13" xr3:uid="{00000000-0010-0000-0400-00000D000000}" name="Criterios_Revisao"/>
    <tableColumn id="14" xr3:uid="{00000000-0010-0000-0400-00000E000000}" name="Proxima_Revisa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alteracoes_lbe" displayName="tbl_alteracoes_lbe" ref="A4:J8">
  <autoFilter ref="A4:J8" xr:uid="{00000000-0009-0000-0100-000006000000}"/>
  <tableColumns count="10">
    <tableColumn id="1" xr3:uid="{00000000-0010-0000-0500-000001000000}" name="ID_Alteracao_LBE"/>
    <tableColumn id="2" xr3:uid="{00000000-0010-0000-0500-000002000000}" name="Data_Efeito"/>
    <tableColumn id="3" xr3:uid="{00000000-0010-0000-0500-000003000000}" name="Tipo"/>
    <tableColumn id="4" xr3:uid="{00000000-0010-0000-0500-000004000000}" name="Descricao"/>
    <tableColumn id="5" xr3:uid="{00000000-0010-0000-0500-000005000000}" name="LBE_Afetadas"/>
    <tableColumn id="6" xr3:uid="{00000000-0010-0000-0500-000006000000}" name="Tratamento"/>
    <tableColumn id="7" xr3:uid="{00000000-0010-0000-0500-000007000000}" name="Acao_Futura"/>
    <tableColumn id="8" xr3:uid="{00000000-0010-0000-0500-000008000000}" name="Estado"/>
    <tableColumn id="9" xr3:uid="{00000000-0010-0000-0500-000009000000}" name="Responsavel"/>
    <tableColumn id="10" xr3:uid="{00000000-0010-0000-0500-00000A000000}" name="Data_Aprovaca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fatores_estaticos" displayName="tbl_fatores_estaticos" ref="A4:F11">
  <autoFilter ref="A4:F11" xr:uid="{00000000-0009-0000-0100-000007000000}"/>
  <tableColumns count="6">
    <tableColumn id="1" xr3:uid="{00000000-0010-0000-0600-000001000000}" name="ID_Fator"/>
    <tableColumn id="2" xr3:uid="{00000000-0010-0000-0600-000002000000}" name="Fator_Estatico"/>
    <tableColumn id="3" xr3:uid="{00000000-0010-0000-0600-000003000000}" name="Condicao_Na_LBE"/>
    <tableColumn id="4" xr3:uid="{00000000-0010-0000-0600-000004000000}" name="Condicao_Atual"/>
    <tableColumn id="5" xr3:uid="{00000000-0010-0000-0600-000005000000}" name="Situacao"/>
    <tableColumn id="6" xr3:uid="{00000000-0010-0000-0600-000006000000}" name="ID_Alteracao_LB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arametros" displayName="tbl_parametros" ref="A4:E8">
  <autoFilter ref="A4:E8" xr:uid="{00000000-0009-0000-0100-000008000000}"/>
  <tableColumns count="5">
    <tableColumn id="1" xr3:uid="{00000000-0010-0000-0700-000001000000}" name="Codigo"/>
    <tableColumn id="2" xr3:uid="{00000000-0010-0000-0700-000002000000}" name="Valor"/>
    <tableColumn id="3" xr3:uid="{00000000-0010-0000-0700-000003000000}" name="Unidade"/>
    <tableColumn id="4" xr3:uid="{00000000-0010-0000-0700-000004000000}" name="Descricao"/>
    <tableColumn id="5" xr3:uid="{00000000-0010-0000-0700-000005000000}" name="Font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objetivos" displayName="tbl_objetivos" ref="A4:AI10">
  <autoFilter ref="A4:AI10" xr:uid="{00000000-0009-0000-0100-000009000000}"/>
  <tableColumns count="35">
    <tableColumn id="1" xr3:uid="{00000000-0010-0000-0800-000001000000}" name="ID_OBJ"/>
    <tableColumn id="2" xr3:uid="{00000000-0010-0000-0800-000002000000}" name="ID_Politica"/>
    <tableColumn id="3" xr3:uid="{00000000-0010-0000-0800-000003000000}" name="Origem_Tipo"/>
    <tableColumn id="4" xr3:uid="{00000000-0010-0000-0800-000004000000}" name="Origem_IDs"/>
    <tableColumn id="5" xr3:uid="{00000000-0010-0000-0800-000005000000}" name="Origem_Descricao"/>
    <tableColumn id="6" xr3:uid="{00000000-0010-0000-0800-000006000000}" name="Declaracao_Objetivo"/>
    <tableColumn id="7" xr3:uid="{00000000-0010-0000-0800-000007000000}" name="ID_KPI"/>
    <tableColumn id="8" xr3:uid="{00000000-0010-0000-0800-000008000000}" name="Indicador_KPI"/>
    <tableColumn id="9" xr3:uid="{00000000-0010-0000-0800-000009000000}" name="Baseline"/>
    <tableColumn id="10" xr3:uid="{00000000-0010-0000-0800-00000A000000}" name="Meta_Tipo"/>
    <tableColumn id="11" xr3:uid="{00000000-0010-0000-0800-00000B000000}" name="Meta_Valor"/>
    <tableColumn id="12" xr3:uid="{00000000-0010-0000-0800-00000C000000}" name="Meta_Numerica"/>
    <tableColumn id="13" xr3:uid="{00000000-0010-0000-0800-00000D000000}" name="Prazo"/>
    <tableColumn id="14" xr3:uid="{00000000-0010-0000-0800-00000E000000}" name="Recursos_Humanos"/>
    <tableColumn id="15" xr3:uid="{00000000-0010-0000-0800-00000F000000}" name="Recursos_Materiais"/>
    <tableColumn id="16" xr3:uid="{00000000-0010-0000-0800-000010000000}" name="Recursos_Financeiros_EUR"/>
    <tableColumn id="17" xr3:uid="{00000000-0010-0000-0800-000011000000}" name="Responsavel"/>
    <tableColumn id="18" xr3:uid="{00000000-0010-0000-0800-000012000000}" name="Acoes_PAM"/>
    <tableColumn id="19" xr3:uid="{00000000-0010-0000-0800-000013000000}" name="Estado"/>
    <tableColumn id="20" xr3:uid="{00000000-0010-0000-0800-000014000000}" name="Valor_Atual"/>
    <tableColumn id="21" xr3:uid="{00000000-0010-0000-0800-000015000000}" name="Progresso"/>
    <tableColumn id="22" xr3:uid="{00000000-0010-0000-0800-000016000000}" name="Dias_ate_Prazo"/>
    <tableColumn id="23" xr3:uid="{00000000-0010-0000-0800-000017000000}" name="S_Especifico"/>
    <tableColumn id="24" xr3:uid="{00000000-0010-0000-0800-000018000000}" name="M_Mensuravel"/>
    <tableColumn id="25" xr3:uid="{00000000-0010-0000-0800-000019000000}" name="A_Atingivel"/>
    <tableColumn id="26" xr3:uid="{00000000-0010-0000-0800-00001A000000}" name="R_Relevante"/>
    <tableColumn id="27" xr3:uid="{00000000-0010-0000-0800-00001B000000}" name="T_Temporal"/>
    <tableColumn id="28" xr3:uid="{00000000-0010-0000-0800-00001C000000}" name="Validacao_SMART"/>
    <tableColumn id="29" xr3:uid="{00000000-0010-0000-0800-00001D000000}" name="Data_Aprovacao"/>
    <tableColumn id="30" xr3:uid="{00000000-0010-0000-0800-00001E000000}" name="Considera_USE"/>
    <tableColumn id="31" xr3:uid="{00000000-0010-0000-0800-00001F000000}" name="Oportunidades_Revisao"/>
    <tableColumn id="32" xr3:uid="{00000000-0010-0000-0800-000020000000}" name="Requisitos_Aplicaveis"/>
    <tableColumn id="33" xr3:uid="{00000000-0010-0000-0800-000021000000}" name="Comunicado"/>
    <tableColumn id="34" xr3:uid="{00000000-0010-0000-0800-000022000000}" name="Ligacao_SGA"/>
    <tableColumn id="35" xr3:uid="{00000000-0010-0000-0800-000023000000}" name="Polaridad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metas_energeticas" displayName="tbl_metas_energeticas" ref="A4:I12">
  <autoFilter ref="A4:I12" xr:uid="{00000000-0009-0000-0100-00000A000000}"/>
  <tableColumns count="9">
    <tableColumn id="1" xr3:uid="{00000000-0010-0000-0900-000001000000}" name="ID_Meta"/>
    <tableColumn id="2" xr3:uid="{00000000-0010-0000-0900-000002000000}" name="ID_OBJ"/>
    <tableColumn id="3" xr3:uid="{00000000-0010-0000-0900-000003000000}" name="ID_KPI"/>
    <tableColumn id="4" xr3:uid="{00000000-0010-0000-0900-000004000000}" name="Descricao"/>
    <tableColumn id="5" xr3:uid="{00000000-0010-0000-0900-000005000000}" name="Meta_Numerica"/>
    <tableColumn id="6" xr3:uid="{00000000-0010-0000-0900-000006000000}" name="Prazo"/>
    <tableColumn id="7" xr3:uid="{00000000-0010-0000-0900-000007000000}" name="Valor_LBE"/>
    <tableColumn id="8" xr3:uid="{00000000-0010-0000-0900-000008000000}" name="Valor_Atual"/>
    <tableColumn id="9" xr3:uid="{00000000-0010-0000-0900-000009000000}" name="Unidad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lanos_acao" displayName="tbl_planos_acao" ref="A4:R11">
  <autoFilter ref="A4:R11" xr:uid="{00000000-0009-0000-0100-00000B000000}"/>
  <tableColumns count="18">
    <tableColumn id="1" xr3:uid="{00000000-0010-0000-0A00-000001000000}" name="ID_Plano"/>
    <tableColumn id="2" xr3:uid="{00000000-0010-0000-0A00-000002000000}" name="ID_OBJ"/>
    <tableColumn id="3" xr3:uid="{00000000-0010-0000-0A00-000003000000}" name="O_Que_Fazer"/>
    <tableColumn id="4" xr3:uid="{00000000-0010-0000-0A00-000004000000}" name="Recursos"/>
    <tableColumn id="5" xr3:uid="{00000000-0010-0000-0A00-000005000000}" name="Custo_EUR"/>
    <tableColumn id="6" xr3:uid="{00000000-0010-0000-0A00-000006000000}" name="Responsavel"/>
    <tableColumn id="7" xr3:uid="{00000000-0010-0000-0A00-000007000000}" name="Inicio"/>
    <tableColumn id="8" xr3:uid="{00000000-0010-0000-0A00-000008000000}" name="Prazo"/>
    <tableColumn id="9" xr3:uid="{00000000-0010-0000-0A00-000009000000}" name="Como_Avaliar"/>
    <tableColumn id="10" xr3:uid="{00000000-0010-0000-0A00-00000A000000}" name="Metodo_Verificacao"/>
    <tableColumn id="11" xr3:uid="{00000000-0010-0000-0A00-00000B000000}" name="Poupanca_Prevista_MWh"/>
    <tableColumn id="12" xr3:uid="{00000000-0010-0000-0A00-00000C000000}" name="Estado"/>
    <tableColumn id="13" xr3:uid="{00000000-0010-0000-0A00-00000D000000}" name="Integracao_Negocio"/>
    <tableColumn id="14" xr3:uid="{00000000-0010-0000-0A00-00000E000000}" name="ID_PAM_SGA"/>
    <tableColumn id="15" xr3:uid="{00000000-0010-0000-0A00-00000F000000}" name="ID_Oportunidade"/>
    <tableColumn id="16" xr3:uid="{00000000-0010-0000-0A00-000010000000}" name="Dias_ate_Prazo"/>
    <tableColumn id="17" xr3:uid="{00000000-0010-0000-0A00-000011000000}" name="Poupanca_Prevista_EUR"/>
    <tableColumn id="18" xr3:uid="{00000000-0010-0000-0A00-000012000000}" name="Payback_Ano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dicionario" displayName="tbl_dicionario" ref="A1:I183">
  <autoFilter ref="A1:I183" xr:uid="{00000000-0009-0000-0100-00000C000000}"/>
  <tableColumns count="9">
    <tableColumn id="1" xr3:uid="{00000000-0010-0000-0B00-000001000000}" name="Folha"/>
    <tableColumn id="2" xr3:uid="{00000000-0010-0000-0B00-000002000000}" name="Tabela"/>
    <tableColumn id="3" xr3:uid="{00000000-0010-0000-0B00-000003000000}" name="Coluna"/>
    <tableColumn id="4" xr3:uid="{00000000-0010-0000-0B00-000004000000}" name="Tipo"/>
    <tableColumn id="5" xr3:uid="{00000000-0010-0000-0B00-000005000000}" name="Origem"/>
    <tableColumn id="6" xr3:uid="{00000000-0010-0000-0B00-000006000000}" name="Descricao"/>
    <tableColumn id="7" xr3:uid="{00000000-0010-0000-0B00-000007000000}" name="Dominio_Unidade"/>
    <tableColumn id="8" xr3:uid="{00000000-0010-0000-0B00-000008000000}" name="Obrigatorio"/>
    <tableColumn id="9" xr3:uid="{00000000-0010-0000-0B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6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52.8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5" spans="1:2" ht="26.4" x14ac:dyDescent="0.3">
      <c r="A25" s="5" t="s">
        <v>36</v>
      </c>
      <c r="B25" s="6" t="s">
        <v>37</v>
      </c>
    </row>
    <row r="26" spans="1:2" ht="26.4" x14ac:dyDescent="0.3">
      <c r="A26" s="5" t="s">
        <v>38</v>
      </c>
      <c r="B26" s="6" t="s">
        <v>39</v>
      </c>
    </row>
    <row r="27" spans="1:2" ht="39.6" x14ac:dyDescent="0.3">
      <c r="A27" s="5" t="s">
        <v>40</v>
      </c>
      <c r="B27" s="6" t="s">
        <v>41</v>
      </c>
    </row>
    <row r="28" spans="1:2" ht="26.4" x14ac:dyDescent="0.3">
      <c r="A28" s="5" t="s">
        <v>42</v>
      </c>
      <c r="B28" s="6" t="s">
        <v>43</v>
      </c>
    </row>
    <row r="29" spans="1:2" ht="26.4" x14ac:dyDescent="0.3">
      <c r="A29" s="5" t="s">
        <v>44</v>
      </c>
      <c r="B29" s="6" t="s">
        <v>45</v>
      </c>
    </row>
    <row r="30" spans="1:2" ht="39.6" x14ac:dyDescent="0.3">
      <c r="A30" s="5" t="s">
        <v>46</v>
      </c>
      <c r="B30" s="6" t="s">
        <v>47</v>
      </c>
    </row>
    <row r="32" spans="1:2" x14ac:dyDescent="0.3">
      <c r="A32" s="3" t="s">
        <v>48</v>
      </c>
      <c r="B32" s="4"/>
    </row>
    <row r="33" spans="1:2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x14ac:dyDescent="0.3">
      <c r="A36" s="5" t="s">
        <v>52</v>
      </c>
      <c r="B36" s="6" t="s">
        <v>53</v>
      </c>
    </row>
    <row r="37" spans="1:2" ht="26.4" x14ac:dyDescent="0.3">
      <c r="A37" s="5" t="s">
        <v>54</v>
      </c>
      <c r="B37" s="6" t="s">
        <v>55</v>
      </c>
    </row>
    <row r="38" spans="1:2" ht="26.4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x14ac:dyDescent="0.3">
      <c r="A45" s="5" t="s">
        <v>70</v>
      </c>
      <c r="B45" s="6" t="s">
        <v>71</v>
      </c>
    </row>
    <row r="46" spans="1:2" x14ac:dyDescent="0.3">
      <c r="A46" s="5" t="s">
        <v>72</v>
      </c>
      <c r="B46" s="6" t="s">
        <v>73</v>
      </c>
    </row>
    <row r="47" spans="1:2" x14ac:dyDescent="0.3">
      <c r="A47" s="5" t="s">
        <v>74</v>
      </c>
      <c r="B47" s="6" t="s">
        <v>75</v>
      </c>
    </row>
    <row r="48" spans="1:2" x14ac:dyDescent="0.3">
      <c r="A48" s="5" t="s">
        <v>76</v>
      </c>
      <c r="B48" s="6" t="s">
        <v>77</v>
      </c>
    </row>
    <row r="49" spans="1:2" x14ac:dyDescent="0.3">
      <c r="A49" s="5" t="s">
        <v>78</v>
      </c>
      <c r="B49" s="6" t="s">
        <v>79</v>
      </c>
    </row>
    <row r="50" spans="1:2" x14ac:dyDescent="0.3">
      <c r="A50" s="5" t="s">
        <v>80</v>
      </c>
      <c r="B50" s="6" t="s">
        <v>81</v>
      </c>
    </row>
    <row r="52" spans="1:2" x14ac:dyDescent="0.3">
      <c r="A52" s="3" t="s">
        <v>82</v>
      </c>
      <c r="B52" s="4"/>
    </row>
    <row r="53" spans="1:2" ht="26.4" x14ac:dyDescent="0.3">
      <c r="A53" s="5" t="s">
        <v>83</v>
      </c>
      <c r="B53" s="6" t="s">
        <v>84</v>
      </c>
    </row>
    <row r="54" spans="1:2" x14ac:dyDescent="0.3">
      <c r="A54" s="5" t="s">
        <v>85</v>
      </c>
      <c r="B54" s="6" t="s">
        <v>86</v>
      </c>
    </row>
    <row r="55" spans="1:2" x14ac:dyDescent="0.3">
      <c r="A55" s="5" t="s">
        <v>87</v>
      </c>
      <c r="B55" s="6" t="s">
        <v>88</v>
      </c>
    </row>
    <row r="56" spans="1:2" ht="26.4" x14ac:dyDescent="0.3">
      <c r="A56" s="5" t="s">
        <v>89</v>
      </c>
      <c r="B56" s="6" t="s">
        <v>90</v>
      </c>
    </row>
    <row r="57" spans="1:2" ht="26.4" x14ac:dyDescent="0.3">
      <c r="A57" s="5" t="s">
        <v>91</v>
      </c>
      <c r="B57" s="6" t="s">
        <v>92</v>
      </c>
    </row>
    <row r="58" spans="1:2" ht="52.8" x14ac:dyDescent="0.3">
      <c r="A58" s="5" t="s">
        <v>93</v>
      </c>
      <c r="B58" s="6" t="s">
        <v>94</v>
      </c>
    </row>
    <row r="60" spans="1:2" x14ac:dyDescent="0.3">
      <c r="A60" s="3" t="s">
        <v>95</v>
      </c>
      <c r="B60" s="4"/>
    </row>
    <row r="61" spans="1:2" x14ac:dyDescent="0.3">
      <c r="A61" s="5" t="s">
        <v>96</v>
      </c>
      <c r="B61" s="6" t="s">
        <v>97</v>
      </c>
    </row>
    <row r="62" spans="1:2" x14ac:dyDescent="0.3">
      <c r="A62" s="5" t="s">
        <v>98</v>
      </c>
      <c r="B62" s="6" t="s">
        <v>99</v>
      </c>
    </row>
    <row r="63" spans="1:2" x14ac:dyDescent="0.3">
      <c r="A63" s="5" t="s">
        <v>100</v>
      </c>
      <c r="B63" s="6" t="s">
        <v>101</v>
      </c>
    </row>
    <row r="64" spans="1:2" x14ac:dyDescent="0.3">
      <c r="A64" s="5" t="s">
        <v>102</v>
      </c>
      <c r="B64" s="6" t="s">
        <v>103</v>
      </c>
    </row>
    <row r="65" spans="1:2" x14ac:dyDescent="0.3">
      <c r="A65" s="5" t="s">
        <v>104</v>
      </c>
      <c r="B65" s="6" t="s">
        <v>105</v>
      </c>
    </row>
    <row r="66" spans="1:2" x14ac:dyDescent="0.3">
      <c r="A66" s="5" t="s">
        <v>106</v>
      </c>
      <c r="B66" s="6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4" width="18" customWidth="1"/>
    <col min="5" max="28" width="11" customWidth="1"/>
    <col min="29" max="30" width="10" customWidth="1"/>
  </cols>
  <sheetData>
    <row r="1" spans="1:30" ht="17.399999999999999" x14ac:dyDescent="0.3">
      <c r="A1" s="1" t="s">
        <v>108</v>
      </c>
    </row>
    <row r="2" spans="1:30" x14ac:dyDescent="0.3">
      <c r="A2" s="2" t="s">
        <v>109</v>
      </c>
    </row>
    <row r="4" spans="1:30" ht="26.4" x14ac:dyDescent="0.3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  <c r="I4" s="8" t="s">
        <v>118</v>
      </c>
      <c r="J4" s="8" t="s">
        <v>119</v>
      </c>
      <c r="K4" s="8" t="s">
        <v>120</v>
      </c>
      <c r="L4" s="8" t="s">
        <v>121</v>
      </c>
      <c r="M4" s="8" t="s">
        <v>122</v>
      </c>
      <c r="N4" s="8" t="s">
        <v>123</v>
      </c>
      <c r="O4" s="8" t="s">
        <v>124</v>
      </c>
      <c r="P4" s="8" t="s">
        <v>125</v>
      </c>
      <c r="Q4" s="8" t="s">
        <v>126</v>
      </c>
      <c r="R4" s="8" t="s">
        <v>127</v>
      </c>
      <c r="S4" s="8" t="s">
        <v>128</v>
      </c>
      <c r="T4" s="8" t="s">
        <v>129</v>
      </c>
      <c r="U4" s="8" t="s">
        <v>130</v>
      </c>
      <c r="V4" s="8" t="s">
        <v>131</v>
      </c>
      <c r="W4" s="8" t="s">
        <v>132</v>
      </c>
      <c r="X4" s="8" t="s">
        <v>133</v>
      </c>
      <c r="Y4" s="8" t="s">
        <v>134</v>
      </c>
      <c r="Z4" s="8" t="s">
        <v>135</v>
      </c>
      <c r="AA4" s="8" t="s">
        <v>136</v>
      </c>
      <c r="AB4" s="8" t="s">
        <v>137</v>
      </c>
      <c r="AC4" s="9" t="s">
        <v>138</v>
      </c>
      <c r="AD4" s="9" t="s">
        <v>139</v>
      </c>
    </row>
    <row r="5" spans="1:30" ht="16.05" customHeight="1" x14ac:dyDescent="0.3">
      <c r="A5" s="10">
        <v>45717</v>
      </c>
      <c r="B5" s="11" t="s">
        <v>140</v>
      </c>
      <c r="C5" s="11" t="s">
        <v>141</v>
      </c>
      <c r="D5" s="11" t="s">
        <v>142</v>
      </c>
      <c r="E5" s="12">
        <v>31</v>
      </c>
      <c r="F5" s="12">
        <v>21</v>
      </c>
      <c r="G5" s="13">
        <v>13.2</v>
      </c>
      <c r="H5" s="13">
        <v>0</v>
      </c>
      <c r="I5" s="14">
        <v>568941</v>
      </c>
      <c r="J5" s="14">
        <v>233780</v>
      </c>
      <c r="K5" s="14">
        <v>150493</v>
      </c>
      <c r="L5" s="14">
        <v>78797</v>
      </c>
      <c r="M5" s="14">
        <v>34765</v>
      </c>
      <c r="N5" s="14">
        <v>45887</v>
      </c>
      <c r="O5" s="14">
        <v>12915</v>
      </c>
      <c r="P5" s="14">
        <v>12304</v>
      </c>
      <c r="Q5" s="14">
        <v>3127150</v>
      </c>
      <c r="R5" s="14">
        <v>2074828</v>
      </c>
      <c r="S5" s="14">
        <v>373701</v>
      </c>
      <c r="T5" s="14">
        <v>622911</v>
      </c>
      <c r="U5" s="13">
        <v>3398.2</v>
      </c>
      <c r="V5" s="13">
        <v>4230.2</v>
      </c>
      <c r="W5" s="13">
        <v>745.8</v>
      </c>
      <c r="X5" s="13">
        <v>1330</v>
      </c>
      <c r="Y5" s="14">
        <v>0</v>
      </c>
      <c r="Z5" s="14">
        <v>0</v>
      </c>
      <c r="AA5" s="13">
        <v>255.2</v>
      </c>
      <c r="AB5" s="13">
        <v>20.9</v>
      </c>
      <c r="AC5" s="15">
        <f t="shared" ref="AC5:AC26" si="0">IF(A5="","",J5+K5+L5+M5+N5+O5+P5-I5)</f>
        <v>0</v>
      </c>
      <c r="AD5" s="16">
        <f t="shared" ref="AD5:AD26" si="1">IF(A5="","",(I5+(AA5+AB5)*10)/1000)</f>
        <v>571.702</v>
      </c>
    </row>
    <row r="6" spans="1:30" ht="16.05" customHeight="1" x14ac:dyDescent="0.3">
      <c r="A6" s="10">
        <v>45748</v>
      </c>
      <c r="B6" s="11" t="s">
        <v>140</v>
      </c>
      <c r="C6" s="11" t="s">
        <v>141</v>
      </c>
      <c r="D6" s="11" t="s">
        <v>142</v>
      </c>
      <c r="E6" s="12">
        <v>30</v>
      </c>
      <c r="F6" s="12">
        <v>20</v>
      </c>
      <c r="G6" s="13">
        <v>15.2</v>
      </c>
      <c r="H6" s="13">
        <v>6</v>
      </c>
      <c r="I6" s="14">
        <v>545354</v>
      </c>
      <c r="J6" s="14">
        <v>218570</v>
      </c>
      <c r="K6" s="14">
        <v>148146</v>
      </c>
      <c r="L6" s="14">
        <v>75062</v>
      </c>
      <c r="M6" s="14">
        <v>36654</v>
      </c>
      <c r="N6" s="14">
        <v>43909</v>
      </c>
      <c r="O6" s="14">
        <v>12953</v>
      </c>
      <c r="P6" s="14">
        <v>10060</v>
      </c>
      <c r="Q6" s="14">
        <v>2949838</v>
      </c>
      <c r="R6" s="14">
        <v>1917166</v>
      </c>
      <c r="S6" s="14">
        <v>352528</v>
      </c>
      <c r="T6" s="14">
        <v>532950</v>
      </c>
      <c r="U6" s="13">
        <v>3205.5</v>
      </c>
      <c r="V6" s="13">
        <v>3908.8</v>
      </c>
      <c r="W6" s="13">
        <v>703.6</v>
      </c>
      <c r="X6" s="13">
        <v>1137.9000000000001</v>
      </c>
      <c r="Y6" s="14">
        <v>0</v>
      </c>
      <c r="Z6" s="14">
        <v>0</v>
      </c>
      <c r="AA6" s="13">
        <v>270.5</v>
      </c>
      <c r="AB6" s="13">
        <v>20.399999999999999</v>
      </c>
      <c r="AC6" s="15">
        <f t="shared" si="0"/>
        <v>0</v>
      </c>
      <c r="AD6" s="16">
        <f t="shared" si="1"/>
        <v>548.26300000000003</v>
      </c>
    </row>
    <row r="7" spans="1:30" ht="16.05" customHeight="1" x14ac:dyDescent="0.3">
      <c r="A7" s="10">
        <v>45778</v>
      </c>
      <c r="B7" s="11" t="s">
        <v>140</v>
      </c>
      <c r="C7" s="11" t="s">
        <v>141</v>
      </c>
      <c r="D7" s="11" t="s">
        <v>142</v>
      </c>
      <c r="E7" s="12">
        <v>31</v>
      </c>
      <c r="F7" s="12">
        <v>21</v>
      </c>
      <c r="G7" s="13">
        <v>16.8</v>
      </c>
      <c r="H7" s="13">
        <v>55.8</v>
      </c>
      <c r="I7" s="14">
        <v>538026</v>
      </c>
      <c r="J7" s="14">
        <v>212282</v>
      </c>
      <c r="K7" s="14">
        <v>147778</v>
      </c>
      <c r="L7" s="14">
        <v>72249</v>
      </c>
      <c r="M7" s="14">
        <v>39448</v>
      </c>
      <c r="N7" s="14">
        <v>41507</v>
      </c>
      <c r="O7" s="14">
        <v>13269</v>
      </c>
      <c r="P7" s="14">
        <v>11493</v>
      </c>
      <c r="Q7" s="14">
        <v>3081721</v>
      </c>
      <c r="R7" s="14">
        <v>1948876</v>
      </c>
      <c r="S7" s="14">
        <v>376251</v>
      </c>
      <c r="T7" s="14">
        <v>583006</v>
      </c>
      <c r="U7" s="13">
        <v>3348.8</v>
      </c>
      <c r="V7" s="13">
        <v>3973.4</v>
      </c>
      <c r="W7" s="13">
        <v>750.9</v>
      </c>
      <c r="X7" s="13">
        <v>1244.8</v>
      </c>
      <c r="Y7" s="14">
        <v>0</v>
      </c>
      <c r="Z7" s="14">
        <v>0</v>
      </c>
      <c r="AA7" s="13">
        <v>254.1</v>
      </c>
      <c r="AB7" s="13">
        <v>19.600000000000001</v>
      </c>
      <c r="AC7" s="15">
        <f t="shared" si="0"/>
        <v>0</v>
      </c>
      <c r="AD7" s="16">
        <f t="shared" si="1"/>
        <v>540.76300000000003</v>
      </c>
    </row>
    <row r="8" spans="1:30" ht="16.05" customHeight="1" x14ac:dyDescent="0.3">
      <c r="A8" s="10">
        <v>45809</v>
      </c>
      <c r="B8" s="11" t="s">
        <v>140</v>
      </c>
      <c r="C8" s="11" t="s">
        <v>141</v>
      </c>
      <c r="D8" s="11" t="s">
        <v>142</v>
      </c>
      <c r="E8" s="12">
        <v>30</v>
      </c>
      <c r="F8" s="12">
        <v>19</v>
      </c>
      <c r="G8" s="13">
        <v>21.2</v>
      </c>
      <c r="H8" s="13">
        <v>186</v>
      </c>
      <c r="I8" s="14">
        <v>515423</v>
      </c>
      <c r="J8" s="14">
        <v>209893</v>
      </c>
      <c r="K8" s="14">
        <v>127528</v>
      </c>
      <c r="L8" s="14">
        <v>68734</v>
      </c>
      <c r="M8" s="14">
        <v>43262</v>
      </c>
      <c r="N8" s="14">
        <v>43471</v>
      </c>
      <c r="O8" s="14">
        <v>12590</v>
      </c>
      <c r="P8" s="14">
        <v>9946</v>
      </c>
      <c r="Q8" s="14">
        <v>2676526</v>
      </c>
      <c r="R8" s="14">
        <v>1867421</v>
      </c>
      <c r="S8" s="14">
        <v>336762</v>
      </c>
      <c r="T8" s="14">
        <v>521560</v>
      </c>
      <c r="U8" s="13">
        <v>2908.5</v>
      </c>
      <c r="V8" s="13">
        <v>3807.3</v>
      </c>
      <c r="W8" s="13">
        <v>672.1</v>
      </c>
      <c r="X8" s="13">
        <v>1113.5999999999999</v>
      </c>
      <c r="Y8" s="14">
        <v>0</v>
      </c>
      <c r="Z8" s="14">
        <v>0</v>
      </c>
      <c r="AA8" s="13">
        <v>227.4</v>
      </c>
      <c r="AB8" s="13">
        <v>19.2</v>
      </c>
      <c r="AC8" s="15">
        <f t="shared" si="0"/>
        <v>1</v>
      </c>
      <c r="AD8" s="16">
        <f t="shared" si="1"/>
        <v>517.88900000000001</v>
      </c>
    </row>
    <row r="9" spans="1:30" ht="16.05" customHeight="1" x14ac:dyDescent="0.3">
      <c r="A9" s="10">
        <v>45839</v>
      </c>
      <c r="B9" s="11" t="s">
        <v>140</v>
      </c>
      <c r="C9" s="11" t="s">
        <v>143</v>
      </c>
      <c r="D9" s="11" t="s">
        <v>142</v>
      </c>
      <c r="E9" s="12">
        <v>31</v>
      </c>
      <c r="F9" s="12">
        <v>23</v>
      </c>
      <c r="G9" s="13">
        <v>22.2</v>
      </c>
      <c r="H9" s="13">
        <v>223.2</v>
      </c>
      <c r="I9" s="14">
        <v>620886</v>
      </c>
      <c r="J9" s="14">
        <v>255934</v>
      </c>
      <c r="K9" s="14">
        <v>155542</v>
      </c>
      <c r="L9" s="14">
        <v>83129</v>
      </c>
      <c r="M9" s="14">
        <v>54774</v>
      </c>
      <c r="N9" s="14">
        <v>42982</v>
      </c>
      <c r="O9" s="14">
        <v>15942</v>
      </c>
      <c r="P9" s="14">
        <v>12584</v>
      </c>
      <c r="Q9" s="14">
        <v>3036460</v>
      </c>
      <c r="R9" s="14">
        <v>2236614</v>
      </c>
      <c r="S9" s="14">
        <v>443480</v>
      </c>
      <c r="T9" s="14">
        <v>634114</v>
      </c>
      <c r="U9" s="13">
        <v>3407.4</v>
      </c>
      <c r="V9" s="13">
        <v>4527.3999999999996</v>
      </c>
      <c r="W9" s="13">
        <v>881.9</v>
      </c>
      <c r="X9" s="13">
        <v>1354.2</v>
      </c>
      <c r="Y9" s="14">
        <v>0</v>
      </c>
      <c r="Z9" s="14">
        <v>0</v>
      </c>
      <c r="AA9" s="13">
        <v>244.8</v>
      </c>
      <c r="AB9" s="13">
        <v>16.899999999999999</v>
      </c>
      <c r="AC9" s="15">
        <f t="shared" si="0"/>
        <v>1</v>
      </c>
      <c r="AD9" s="16">
        <f t="shared" si="1"/>
        <v>623.50300000000004</v>
      </c>
    </row>
    <row r="10" spans="1:30" ht="16.05" customHeight="1" x14ac:dyDescent="0.3">
      <c r="A10" s="10">
        <v>45870</v>
      </c>
      <c r="B10" s="11" t="s">
        <v>140</v>
      </c>
      <c r="C10" s="11" t="s">
        <v>143</v>
      </c>
      <c r="D10" s="11" t="s">
        <v>142</v>
      </c>
      <c r="E10" s="12">
        <v>31</v>
      </c>
      <c r="F10" s="12">
        <v>20</v>
      </c>
      <c r="G10" s="13">
        <v>23.1</v>
      </c>
      <c r="H10" s="13">
        <v>251.1</v>
      </c>
      <c r="I10" s="14">
        <v>586901</v>
      </c>
      <c r="J10" s="14">
        <v>232060</v>
      </c>
      <c r="K10" s="14">
        <v>150415</v>
      </c>
      <c r="L10" s="14">
        <v>77888</v>
      </c>
      <c r="M10" s="14">
        <v>54405</v>
      </c>
      <c r="N10" s="14">
        <v>50669</v>
      </c>
      <c r="O10" s="14">
        <v>8255</v>
      </c>
      <c r="P10" s="14">
        <v>13210</v>
      </c>
      <c r="Q10" s="14">
        <v>3305389</v>
      </c>
      <c r="R10" s="14">
        <v>2138267</v>
      </c>
      <c r="S10" s="14">
        <v>237760</v>
      </c>
      <c r="T10" s="14">
        <v>681799</v>
      </c>
      <c r="U10" s="13">
        <v>3440.7</v>
      </c>
      <c r="V10" s="13">
        <v>4257.8999999999996</v>
      </c>
      <c r="W10" s="13">
        <v>480.2</v>
      </c>
      <c r="X10" s="13">
        <v>1453.3</v>
      </c>
      <c r="Y10" s="14">
        <v>0</v>
      </c>
      <c r="Z10" s="14">
        <v>0</v>
      </c>
      <c r="AA10" s="13">
        <v>263.39999999999998</v>
      </c>
      <c r="AB10" s="13">
        <v>17.3</v>
      </c>
      <c r="AC10" s="15">
        <f t="shared" si="0"/>
        <v>1</v>
      </c>
      <c r="AD10" s="16">
        <f t="shared" si="1"/>
        <v>589.70799999999997</v>
      </c>
    </row>
    <row r="11" spans="1:30" ht="16.05" customHeight="1" x14ac:dyDescent="0.3">
      <c r="A11" s="10">
        <v>45901</v>
      </c>
      <c r="B11" s="11" t="s">
        <v>140</v>
      </c>
      <c r="C11" s="11" t="s">
        <v>143</v>
      </c>
      <c r="D11" s="11" t="s">
        <v>142</v>
      </c>
      <c r="E11" s="12">
        <v>30</v>
      </c>
      <c r="F11" s="12">
        <v>22</v>
      </c>
      <c r="G11" s="13">
        <v>20.9</v>
      </c>
      <c r="H11" s="13">
        <v>177</v>
      </c>
      <c r="I11" s="14">
        <v>569448</v>
      </c>
      <c r="J11" s="14">
        <v>224732</v>
      </c>
      <c r="K11" s="14">
        <v>151543</v>
      </c>
      <c r="L11" s="14">
        <v>76055</v>
      </c>
      <c r="M11" s="14">
        <v>48367</v>
      </c>
      <c r="N11" s="14">
        <v>45651</v>
      </c>
      <c r="O11" s="14">
        <v>11963</v>
      </c>
      <c r="P11" s="14">
        <v>11136</v>
      </c>
      <c r="Q11" s="14">
        <v>3070042</v>
      </c>
      <c r="R11" s="14">
        <v>1992851</v>
      </c>
      <c r="S11" s="14">
        <v>372292</v>
      </c>
      <c r="T11" s="14">
        <v>572466</v>
      </c>
      <c r="U11" s="13">
        <v>3317.5</v>
      </c>
      <c r="V11" s="13">
        <v>4102.8</v>
      </c>
      <c r="W11" s="13">
        <v>718.5</v>
      </c>
      <c r="X11" s="13">
        <v>1223.7</v>
      </c>
      <c r="Y11" s="14">
        <v>0</v>
      </c>
      <c r="Z11" s="14">
        <v>0</v>
      </c>
      <c r="AA11" s="13">
        <v>290.2</v>
      </c>
      <c r="AB11" s="13">
        <v>15.8</v>
      </c>
      <c r="AC11" s="15">
        <f t="shared" si="0"/>
        <v>-1</v>
      </c>
      <c r="AD11" s="16">
        <f t="shared" si="1"/>
        <v>572.50800000000004</v>
      </c>
    </row>
    <row r="12" spans="1:30" ht="16.05" customHeight="1" x14ac:dyDescent="0.3">
      <c r="A12" s="10">
        <v>45931</v>
      </c>
      <c r="B12" s="11" t="s">
        <v>140</v>
      </c>
      <c r="C12" s="11" t="s">
        <v>143</v>
      </c>
      <c r="D12" s="11" t="s">
        <v>142</v>
      </c>
      <c r="E12" s="12">
        <v>31</v>
      </c>
      <c r="F12" s="12">
        <v>22</v>
      </c>
      <c r="G12" s="13">
        <v>18.100000000000001</v>
      </c>
      <c r="H12" s="13">
        <v>96.1</v>
      </c>
      <c r="I12" s="14">
        <v>568762</v>
      </c>
      <c r="J12" s="14">
        <v>231621</v>
      </c>
      <c r="K12" s="14">
        <v>150121</v>
      </c>
      <c r="L12" s="14">
        <v>76437</v>
      </c>
      <c r="M12" s="14">
        <v>43597</v>
      </c>
      <c r="N12" s="14">
        <v>41407</v>
      </c>
      <c r="O12" s="14">
        <v>15408</v>
      </c>
      <c r="P12" s="14">
        <v>10171</v>
      </c>
      <c r="Q12" s="14">
        <v>3063889</v>
      </c>
      <c r="R12" s="14">
        <v>2094836</v>
      </c>
      <c r="S12" s="14">
        <v>431440</v>
      </c>
      <c r="T12" s="14">
        <v>550527</v>
      </c>
      <c r="U12" s="13">
        <v>3377.9</v>
      </c>
      <c r="V12" s="13">
        <v>4346.1000000000004</v>
      </c>
      <c r="W12" s="13">
        <v>875.3</v>
      </c>
      <c r="X12" s="13">
        <v>1166</v>
      </c>
      <c r="Y12" s="14">
        <v>0</v>
      </c>
      <c r="Z12" s="14">
        <v>0</v>
      </c>
      <c r="AA12" s="13">
        <v>231.1</v>
      </c>
      <c r="AB12" s="13">
        <v>20.2</v>
      </c>
      <c r="AC12" s="15">
        <f t="shared" si="0"/>
        <v>0</v>
      </c>
      <c r="AD12" s="16">
        <f t="shared" si="1"/>
        <v>571.27499999999998</v>
      </c>
    </row>
    <row r="13" spans="1:30" ht="16.05" customHeight="1" x14ac:dyDescent="0.3">
      <c r="A13" s="10">
        <v>45962</v>
      </c>
      <c r="B13" s="11" t="s">
        <v>140</v>
      </c>
      <c r="C13" s="11" t="s">
        <v>143</v>
      </c>
      <c r="D13" s="11" t="s">
        <v>142</v>
      </c>
      <c r="E13" s="12">
        <v>30</v>
      </c>
      <c r="F13" s="12">
        <v>19</v>
      </c>
      <c r="G13" s="13">
        <v>13.3</v>
      </c>
      <c r="H13" s="13">
        <v>0</v>
      </c>
      <c r="I13" s="14">
        <v>561643</v>
      </c>
      <c r="J13" s="14">
        <v>230406</v>
      </c>
      <c r="K13" s="14">
        <v>147075</v>
      </c>
      <c r="L13" s="14">
        <v>76392</v>
      </c>
      <c r="M13" s="14">
        <v>34544</v>
      </c>
      <c r="N13" s="14">
        <v>46470</v>
      </c>
      <c r="O13" s="14">
        <v>16262</v>
      </c>
      <c r="P13" s="14">
        <v>10494</v>
      </c>
      <c r="Q13" s="14">
        <v>2975801</v>
      </c>
      <c r="R13" s="14">
        <v>1998289</v>
      </c>
      <c r="S13" s="14">
        <v>448497</v>
      </c>
      <c r="T13" s="14">
        <v>548163</v>
      </c>
      <c r="U13" s="13">
        <v>3276.5</v>
      </c>
      <c r="V13" s="13">
        <v>4159.3</v>
      </c>
      <c r="W13" s="13">
        <v>886.9</v>
      </c>
      <c r="X13" s="13">
        <v>1168.5</v>
      </c>
      <c r="Y13" s="14">
        <v>0</v>
      </c>
      <c r="Z13" s="14">
        <v>0</v>
      </c>
      <c r="AA13" s="13">
        <v>231.2</v>
      </c>
      <c r="AB13" s="13">
        <v>16.600000000000001</v>
      </c>
      <c r="AC13" s="15">
        <f t="shared" si="0"/>
        <v>0</v>
      </c>
      <c r="AD13" s="16">
        <f t="shared" si="1"/>
        <v>564.12099999999998</v>
      </c>
    </row>
    <row r="14" spans="1:30" ht="16.05" customHeight="1" x14ac:dyDescent="0.3">
      <c r="A14" s="10">
        <v>45992</v>
      </c>
      <c r="B14" s="11" t="s">
        <v>140</v>
      </c>
      <c r="C14" s="11" t="s">
        <v>143</v>
      </c>
      <c r="D14" s="11" t="s">
        <v>142</v>
      </c>
      <c r="E14" s="12">
        <v>31</v>
      </c>
      <c r="F14" s="12">
        <v>20</v>
      </c>
      <c r="G14" s="13">
        <v>11.4</v>
      </c>
      <c r="H14" s="13">
        <v>0</v>
      </c>
      <c r="I14" s="14">
        <v>582602</v>
      </c>
      <c r="J14" s="14">
        <v>246048</v>
      </c>
      <c r="K14" s="14">
        <v>151639</v>
      </c>
      <c r="L14" s="14">
        <v>77790</v>
      </c>
      <c r="M14" s="14">
        <v>34150</v>
      </c>
      <c r="N14" s="14">
        <v>49348</v>
      </c>
      <c r="O14" s="14">
        <v>12466</v>
      </c>
      <c r="P14" s="14">
        <v>11162</v>
      </c>
      <c r="Q14" s="14">
        <v>3058510</v>
      </c>
      <c r="R14" s="14">
        <v>2163430</v>
      </c>
      <c r="S14" s="14">
        <v>338785</v>
      </c>
      <c r="T14" s="14">
        <v>572203</v>
      </c>
      <c r="U14" s="13">
        <v>3294.6</v>
      </c>
      <c r="V14" s="13">
        <v>4345.2</v>
      </c>
      <c r="W14" s="13">
        <v>692.1</v>
      </c>
      <c r="X14" s="13">
        <v>1233.9000000000001</v>
      </c>
      <c r="Y14" s="14">
        <v>0</v>
      </c>
      <c r="Z14" s="14">
        <v>0</v>
      </c>
      <c r="AA14" s="13">
        <v>229.3</v>
      </c>
      <c r="AB14" s="13">
        <v>17.100000000000001</v>
      </c>
      <c r="AC14" s="15">
        <f t="shared" si="0"/>
        <v>1</v>
      </c>
      <c r="AD14" s="16">
        <f t="shared" si="1"/>
        <v>585.06600000000003</v>
      </c>
    </row>
    <row r="15" spans="1:30" ht="16.05" customHeight="1" x14ac:dyDescent="0.3">
      <c r="A15" s="10">
        <v>46023</v>
      </c>
      <c r="B15" s="11" t="s">
        <v>140</v>
      </c>
      <c r="C15" s="11" t="s">
        <v>143</v>
      </c>
      <c r="D15" s="11" t="s">
        <v>142</v>
      </c>
      <c r="E15" s="12">
        <v>31</v>
      </c>
      <c r="F15" s="12">
        <v>21</v>
      </c>
      <c r="G15" s="13">
        <v>9.6</v>
      </c>
      <c r="H15" s="13">
        <v>0</v>
      </c>
      <c r="I15" s="14">
        <v>567251</v>
      </c>
      <c r="J15" s="14">
        <v>238387</v>
      </c>
      <c r="K15" s="14">
        <v>154580</v>
      </c>
      <c r="L15" s="14">
        <v>78622</v>
      </c>
      <c r="M15" s="14">
        <v>28266</v>
      </c>
      <c r="N15" s="14">
        <v>48208</v>
      </c>
      <c r="O15" s="14">
        <v>10220</v>
      </c>
      <c r="P15" s="14">
        <v>8969</v>
      </c>
      <c r="Q15" s="14">
        <v>3226809</v>
      </c>
      <c r="R15" s="14">
        <v>2045475</v>
      </c>
      <c r="S15" s="14">
        <v>296927</v>
      </c>
      <c r="T15" s="14">
        <v>469263</v>
      </c>
      <c r="U15" s="13">
        <v>3454.1</v>
      </c>
      <c r="V15" s="13">
        <v>4280.6000000000004</v>
      </c>
      <c r="W15" s="13">
        <v>578.5</v>
      </c>
      <c r="X15" s="13">
        <v>998.2</v>
      </c>
      <c r="Y15" s="14">
        <v>0</v>
      </c>
      <c r="Z15" s="14">
        <v>0</v>
      </c>
      <c r="AA15" s="13">
        <v>283.3</v>
      </c>
      <c r="AB15" s="13">
        <v>18.100000000000001</v>
      </c>
      <c r="AC15" s="15">
        <f t="shared" si="0"/>
        <v>1</v>
      </c>
      <c r="AD15" s="16">
        <f t="shared" si="1"/>
        <v>570.26499999999999</v>
      </c>
    </row>
    <row r="16" spans="1:30" ht="16.05" customHeight="1" x14ac:dyDescent="0.3">
      <c r="A16" s="10">
        <v>46054</v>
      </c>
      <c r="B16" s="11" t="s">
        <v>140</v>
      </c>
      <c r="C16" s="11" t="s">
        <v>143</v>
      </c>
      <c r="D16" s="11" t="s">
        <v>142</v>
      </c>
      <c r="E16" s="12">
        <v>28</v>
      </c>
      <c r="F16" s="12">
        <v>20</v>
      </c>
      <c r="G16" s="13">
        <v>11.9</v>
      </c>
      <c r="H16" s="13">
        <v>0</v>
      </c>
      <c r="I16" s="14">
        <v>527749</v>
      </c>
      <c r="J16" s="14">
        <v>219236</v>
      </c>
      <c r="K16" s="14">
        <v>138364</v>
      </c>
      <c r="L16" s="14">
        <v>71532</v>
      </c>
      <c r="M16" s="14">
        <v>30720</v>
      </c>
      <c r="N16" s="14">
        <v>47297</v>
      </c>
      <c r="O16" s="14">
        <v>10672</v>
      </c>
      <c r="P16" s="14">
        <v>9929</v>
      </c>
      <c r="Q16" s="14">
        <v>2776640</v>
      </c>
      <c r="R16" s="14">
        <v>1980694</v>
      </c>
      <c r="S16" s="14">
        <v>295268</v>
      </c>
      <c r="T16" s="14">
        <v>526979</v>
      </c>
      <c r="U16" s="13">
        <v>3055.7</v>
      </c>
      <c r="V16" s="13">
        <v>3951</v>
      </c>
      <c r="W16" s="13">
        <v>587.79999999999995</v>
      </c>
      <c r="X16" s="13">
        <v>1110.5</v>
      </c>
      <c r="Y16" s="14">
        <v>0</v>
      </c>
      <c r="Z16" s="14">
        <v>0</v>
      </c>
      <c r="AA16" s="13">
        <v>288.8</v>
      </c>
      <c r="AB16" s="13">
        <v>17.899999999999999</v>
      </c>
      <c r="AC16" s="15">
        <f t="shared" si="0"/>
        <v>1</v>
      </c>
      <c r="AD16" s="16">
        <f t="shared" si="1"/>
        <v>530.81600000000003</v>
      </c>
    </row>
    <row r="17" spans="1:30" ht="16.05" customHeight="1" x14ac:dyDescent="0.3">
      <c r="A17" s="10">
        <v>46082</v>
      </c>
      <c r="B17" s="11" t="s">
        <v>144</v>
      </c>
      <c r="C17" s="11" t="s">
        <v>143</v>
      </c>
      <c r="D17" s="11" t="s">
        <v>142</v>
      </c>
      <c r="E17" s="12">
        <v>31</v>
      </c>
      <c r="F17" s="12">
        <v>22</v>
      </c>
      <c r="G17" s="13">
        <v>13.1</v>
      </c>
      <c r="H17" s="13">
        <v>0</v>
      </c>
      <c r="I17" s="14">
        <v>590162</v>
      </c>
      <c r="J17" s="14">
        <v>249888</v>
      </c>
      <c r="K17" s="14">
        <v>151794</v>
      </c>
      <c r="L17" s="14">
        <v>80511</v>
      </c>
      <c r="M17" s="14">
        <v>36988</v>
      </c>
      <c r="N17" s="14">
        <v>47006</v>
      </c>
      <c r="O17" s="14">
        <v>13496</v>
      </c>
      <c r="P17" s="14">
        <v>10479</v>
      </c>
      <c r="Q17" s="14">
        <v>3299469</v>
      </c>
      <c r="R17" s="14">
        <v>2127602</v>
      </c>
      <c r="S17" s="14">
        <v>380216</v>
      </c>
      <c r="T17" s="14">
        <v>543239</v>
      </c>
      <c r="U17" s="13">
        <v>3382.8</v>
      </c>
      <c r="V17" s="13">
        <v>4381.8</v>
      </c>
      <c r="W17" s="13">
        <v>736.4</v>
      </c>
      <c r="X17" s="13">
        <v>1163.8</v>
      </c>
      <c r="Y17" s="14">
        <v>0</v>
      </c>
      <c r="Z17" s="14">
        <v>0</v>
      </c>
      <c r="AA17" s="13">
        <v>225.4</v>
      </c>
      <c r="AB17" s="13">
        <v>18.899999999999999</v>
      </c>
      <c r="AC17" s="15">
        <f t="shared" si="0"/>
        <v>0</v>
      </c>
      <c r="AD17" s="16">
        <f t="shared" si="1"/>
        <v>592.60500000000002</v>
      </c>
    </row>
    <row r="18" spans="1:30" ht="16.05" customHeight="1" x14ac:dyDescent="0.3">
      <c r="A18" s="10">
        <v>46113</v>
      </c>
      <c r="B18" s="11" t="s">
        <v>144</v>
      </c>
      <c r="C18" s="11" t="s">
        <v>143</v>
      </c>
      <c r="D18" s="11" t="s">
        <v>142</v>
      </c>
      <c r="E18" s="12">
        <v>30</v>
      </c>
      <c r="F18" s="12">
        <v>20</v>
      </c>
      <c r="G18" s="13">
        <v>14.9</v>
      </c>
      <c r="H18" s="13">
        <v>0</v>
      </c>
      <c r="I18" s="14">
        <v>554352</v>
      </c>
      <c r="J18" s="14">
        <v>229523</v>
      </c>
      <c r="K18" s="14">
        <v>144764</v>
      </c>
      <c r="L18" s="14">
        <v>77847</v>
      </c>
      <c r="M18" s="14">
        <v>36663</v>
      </c>
      <c r="N18" s="14">
        <v>43501</v>
      </c>
      <c r="O18" s="14">
        <v>13087</v>
      </c>
      <c r="P18" s="14">
        <v>8967</v>
      </c>
      <c r="Q18" s="14">
        <v>3049092</v>
      </c>
      <c r="R18" s="14">
        <v>1912861</v>
      </c>
      <c r="S18" s="14">
        <v>361694</v>
      </c>
      <c r="T18" s="14">
        <v>464227</v>
      </c>
      <c r="U18" s="13">
        <v>3176.5</v>
      </c>
      <c r="V18" s="13">
        <v>4039.7</v>
      </c>
      <c r="W18" s="13">
        <v>721.7</v>
      </c>
      <c r="X18" s="13">
        <v>987</v>
      </c>
      <c r="Y18" s="14">
        <v>0</v>
      </c>
      <c r="Z18" s="14">
        <v>0</v>
      </c>
      <c r="AA18" s="13">
        <v>226.7</v>
      </c>
      <c r="AB18" s="13">
        <v>18.8</v>
      </c>
      <c r="AC18" s="15">
        <f t="shared" si="0"/>
        <v>0</v>
      </c>
      <c r="AD18" s="16">
        <f t="shared" si="1"/>
        <v>556.80700000000002</v>
      </c>
    </row>
    <row r="19" spans="1:30" ht="16.05" customHeight="1" x14ac:dyDescent="0.3">
      <c r="A19" s="10">
        <v>46143</v>
      </c>
      <c r="B19" s="11" t="s">
        <v>144</v>
      </c>
      <c r="C19" s="11" t="s">
        <v>143</v>
      </c>
      <c r="D19" s="11" t="s">
        <v>142</v>
      </c>
      <c r="E19" s="12">
        <v>31</v>
      </c>
      <c r="F19" s="12">
        <v>20</v>
      </c>
      <c r="G19" s="13">
        <v>17.600000000000001</v>
      </c>
      <c r="H19" s="13">
        <v>80.599999999999994</v>
      </c>
      <c r="I19" s="14">
        <v>588371</v>
      </c>
      <c r="J19" s="14">
        <v>238094</v>
      </c>
      <c r="K19" s="14">
        <v>159195</v>
      </c>
      <c r="L19" s="14">
        <v>78735</v>
      </c>
      <c r="M19" s="14">
        <v>43234</v>
      </c>
      <c r="N19" s="14">
        <v>44793</v>
      </c>
      <c r="O19" s="14">
        <v>14410</v>
      </c>
      <c r="P19" s="14">
        <v>9910</v>
      </c>
      <c r="Q19" s="14">
        <v>3211838</v>
      </c>
      <c r="R19" s="14">
        <v>2036227</v>
      </c>
      <c r="S19" s="14">
        <v>391966</v>
      </c>
      <c r="T19" s="14">
        <v>529154</v>
      </c>
      <c r="U19" s="13">
        <v>3455.8</v>
      </c>
      <c r="V19" s="13">
        <v>4336.7</v>
      </c>
      <c r="W19" s="13">
        <v>798.5</v>
      </c>
      <c r="X19" s="13">
        <v>1139.7</v>
      </c>
      <c r="Y19" s="14">
        <v>0</v>
      </c>
      <c r="Z19" s="14">
        <v>0</v>
      </c>
      <c r="AA19" s="13">
        <v>295.8</v>
      </c>
      <c r="AB19" s="13">
        <v>18.7</v>
      </c>
      <c r="AC19" s="15">
        <f t="shared" si="0"/>
        <v>0</v>
      </c>
      <c r="AD19" s="16">
        <f t="shared" si="1"/>
        <v>591.51599999999996</v>
      </c>
    </row>
    <row r="20" spans="1:30" ht="16.05" customHeight="1" x14ac:dyDescent="0.3">
      <c r="A20" s="10">
        <v>46174</v>
      </c>
      <c r="B20" s="11" t="s">
        <v>144</v>
      </c>
      <c r="C20" s="11" t="s">
        <v>143</v>
      </c>
      <c r="D20" s="11" t="s">
        <v>142</v>
      </c>
      <c r="E20" s="12">
        <v>30</v>
      </c>
      <c r="F20" s="12">
        <v>20</v>
      </c>
      <c r="G20" s="13">
        <v>21.3</v>
      </c>
      <c r="H20" s="13">
        <v>189</v>
      </c>
      <c r="I20" s="14">
        <v>568979</v>
      </c>
      <c r="J20" s="14">
        <v>230318</v>
      </c>
      <c r="K20" s="14">
        <v>148739</v>
      </c>
      <c r="L20" s="14">
        <v>75662</v>
      </c>
      <c r="M20" s="14">
        <v>50910</v>
      </c>
      <c r="N20" s="14">
        <v>45160</v>
      </c>
      <c r="O20" s="14">
        <v>8724</v>
      </c>
      <c r="P20" s="14">
        <v>9465</v>
      </c>
      <c r="Q20" s="14">
        <v>3006457</v>
      </c>
      <c r="R20" s="14">
        <v>2068539</v>
      </c>
      <c r="S20" s="14">
        <v>254209</v>
      </c>
      <c r="T20" s="14">
        <v>509140</v>
      </c>
      <c r="U20" s="13">
        <v>3210.3</v>
      </c>
      <c r="V20" s="13">
        <v>4171.5</v>
      </c>
      <c r="W20" s="13">
        <v>508.2</v>
      </c>
      <c r="X20" s="13">
        <v>1081.4000000000001</v>
      </c>
      <c r="Y20" s="14">
        <v>0</v>
      </c>
      <c r="Z20" s="14">
        <v>0</v>
      </c>
      <c r="AA20" s="13">
        <v>268.10000000000002</v>
      </c>
      <c r="AB20" s="13">
        <v>14.9</v>
      </c>
      <c r="AC20" s="15">
        <f t="shared" si="0"/>
        <v>-1</v>
      </c>
      <c r="AD20" s="16">
        <f t="shared" si="1"/>
        <v>571.80899999999997</v>
      </c>
    </row>
    <row r="21" spans="1:30" ht="16.05" customHeight="1" x14ac:dyDescent="0.3">
      <c r="A21" s="10">
        <v>46204</v>
      </c>
      <c r="B21" s="11" t="s">
        <v>144</v>
      </c>
      <c r="C21" s="11" t="s">
        <v>143</v>
      </c>
      <c r="D21" s="11" t="s">
        <v>142</v>
      </c>
      <c r="E21" s="12">
        <v>31</v>
      </c>
      <c r="F21" s="12">
        <v>23</v>
      </c>
      <c r="G21" s="13">
        <v>23.3</v>
      </c>
      <c r="H21" s="13">
        <v>257.3</v>
      </c>
      <c r="I21" s="14">
        <v>727698</v>
      </c>
      <c r="J21" s="14">
        <v>279083</v>
      </c>
      <c r="K21" s="14">
        <v>207732</v>
      </c>
      <c r="L21" s="14">
        <v>101173</v>
      </c>
      <c r="M21" s="14">
        <v>69857</v>
      </c>
      <c r="N21" s="14">
        <v>45232</v>
      </c>
      <c r="O21" s="14">
        <v>15426</v>
      </c>
      <c r="P21" s="14">
        <v>9196</v>
      </c>
      <c r="Q21" s="14">
        <v>4493051</v>
      </c>
      <c r="R21" s="14">
        <v>2313732</v>
      </c>
      <c r="S21" s="14">
        <v>437609</v>
      </c>
      <c r="T21" s="14">
        <v>466586</v>
      </c>
      <c r="U21" s="13">
        <v>4702.8999999999996</v>
      </c>
      <c r="V21" s="13">
        <v>5189.2</v>
      </c>
      <c r="W21" s="13">
        <v>846.1</v>
      </c>
      <c r="X21" s="13">
        <v>992.5</v>
      </c>
      <c r="Y21" s="14">
        <v>1560427</v>
      </c>
      <c r="Z21" s="14">
        <v>148938</v>
      </c>
      <c r="AA21" s="13">
        <v>294</v>
      </c>
      <c r="AB21" s="13">
        <v>21.1</v>
      </c>
      <c r="AC21" s="15">
        <f t="shared" si="0"/>
        <v>1</v>
      </c>
      <c r="AD21" s="16">
        <f t="shared" si="1"/>
        <v>730.84900000000005</v>
      </c>
    </row>
    <row r="22" spans="1:30" ht="16.05" customHeight="1" x14ac:dyDescent="0.3">
      <c r="A22" s="10">
        <v>46235</v>
      </c>
      <c r="B22" s="11" t="s">
        <v>144</v>
      </c>
      <c r="C22" s="11" t="s">
        <v>143</v>
      </c>
      <c r="D22" s="11" t="s">
        <v>142</v>
      </c>
      <c r="E22" s="12">
        <v>31</v>
      </c>
      <c r="F22" s="12">
        <v>21</v>
      </c>
      <c r="G22" s="13">
        <v>24</v>
      </c>
      <c r="H22" s="13">
        <v>279</v>
      </c>
      <c r="I22" s="14">
        <v>804830</v>
      </c>
      <c r="J22" s="14">
        <v>314757</v>
      </c>
      <c r="K22" s="14">
        <v>228777</v>
      </c>
      <c r="L22" s="14">
        <v>110260</v>
      </c>
      <c r="M22" s="14">
        <v>75932</v>
      </c>
      <c r="N22" s="14">
        <v>48406</v>
      </c>
      <c r="O22" s="14">
        <v>15834</v>
      </c>
      <c r="P22" s="14">
        <v>10863</v>
      </c>
      <c r="Q22" s="14">
        <v>4737376</v>
      </c>
      <c r="R22" s="14">
        <v>2675672</v>
      </c>
      <c r="S22" s="14">
        <v>441790</v>
      </c>
      <c r="T22" s="14">
        <v>556301</v>
      </c>
      <c r="U22" s="13">
        <v>5102.5</v>
      </c>
      <c r="V22" s="13">
        <v>5519.7</v>
      </c>
      <c r="W22" s="13">
        <v>879</v>
      </c>
      <c r="X22" s="13">
        <v>1174.0999999999999</v>
      </c>
      <c r="Y22" s="14">
        <v>2068150</v>
      </c>
      <c r="Z22" s="14">
        <v>187584</v>
      </c>
      <c r="AA22" s="13">
        <v>283.5</v>
      </c>
      <c r="AB22" s="13">
        <v>17.5</v>
      </c>
      <c r="AC22" s="15">
        <f t="shared" si="0"/>
        <v>-1</v>
      </c>
      <c r="AD22" s="16">
        <f t="shared" si="1"/>
        <v>807.84</v>
      </c>
    </row>
    <row r="23" spans="1:30" ht="16.05" customHeight="1" x14ac:dyDescent="0.3">
      <c r="A23" s="10">
        <v>46266</v>
      </c>
      <c r="B23" s="11" t="s">
        <v>144</v>
      </c>
      <c r="C23" s="11" t="s">
        <v>143</v>
      </c>
      <c r="D23" s="11" t="s">
        <v>142</v>
      </c>
      <c r="E23" s="12">
        <v>30</v>
      </c>
      <c r="F23" s="12">
        <v>22</v>
      </c>
      <c r="G23" s="13">
        <v>21.6</v>
      </c>
      <c r="H23" s="13">
        <v>198</v>
      </c>
      <c r="I23" s="14">
        <v>736636</v>
      </c>
      <c r="J23" s="14">
        <v>288038</v>
      </c>
      <c r="K23" s="14">
        <v>209010</v>
      </c>
      <c r="L23" s="14">
        <v>95995</v>
      </c>
      <c r="M23" s="14">
        <v>66228</v>
      </c>
      <c r="N23" s="14">
        <v>48729</v>
      </c>
      <c r="O23" s="14">
        <v>18311</v>
      </c>
      <c r="P23" s="14">
        <v>10324</v>
      </c>
      <c r="Q23" s="14">
        <v>4453652</v>
      </c>
      <c r="R23" s="14">
        <v>2492916</v>
      </c>
      <c r="S23" s="14">
        <v>462346</v>
      </c>
      <c r="T23" s="14">
        <v>525762</v>
      </c>
      <c r="U23" s="13">
        <v>4753.8</v>
      </c>
      <c r="V23" s="13">
        <v>5232</v>
      </c>
      <c r="W23" s="13">
        <v>960.3</v>
      </c>
      <c r="X23" s="13">
        <v>1135.9000000000001</v>
      </c>
      <c r="Y23" s="14">
        <v>1812058</v>
      </c>
      <c r="Z23" s="14">
        <v>172505</v>
      </c>
      <c r="AA23" s="13">
        <v>292.3</v>
      </c>
      <c r="AB23" s="13">
        <v>20.100000000000001</v>
      </c>
      <c r="AC23" s="15">
        <f t="shared" si="0"/>
        <v>-1</v>
      </c>
      <c r="AD23" s="16">
        <f t="shared" si="1"/>
        <v>739.76</v>
      </c>
    </row>
    <row r="24" spans="1:30" ht="16.05" customHeight="1" x14ac:dyDescent="0.3">
      <c r="A24" s="10">
        <v>46296</v>
      </c>
      <c r="B24" s="11" t="s">
        <v>144</v>
      </c>
      <c r="C24" s="11" t="s">
        <v>143</v>
      </c>
      <c r="D24" s="11" t="s">
        <v>142</v>
      </c>
      <c r="E24" s="12">
        <v>31</v>
      </c>
      <c r="F24" s="12">
        <v>21</v>
      </c>
      <c r="G24" s="13">
        <v>18.2</v>
      </c>
      <c r="H24" s="13">
        <v>99.2</v>
      </c>
      <c r="I24" s="14">
        <v>741703</v>
      </c>
      <c r="J24" s="14">
        <v>287926</v>
      </c>
      <c r="K24" s="14">
        <v>226684</v>
      </c>
      <c r="L24" s="14">
        <v>98976</v>
      </c>
      <c r="M24" s="14">
        <v>60265</v>
      </c>
      <c r="N24" s="14">
        <v>40631</v>
      </c>
      <c r="O24" s="14">
        <v>16423</v>
      </c>
      <c r="P24" s="14">
        <v>10798</v>
      </c>
      <c r="Q24" s="14">
        <v>4773452</v>
      </c>
      <c r="R24" s="14">
        <v>2646941</v>
      </c>
      <c r="S24" s="14">
        <v>461147</v>
      </c>
      <c r="T24" s="14">
        <v>546240</v>
      </c>
      <c r="U24" s="13">
        <v>5194.8999999999996</v>
      </c>
      <c r="V24" s="13">
        <v>5420.6</v>
      </c>
      <c r="W24" s="13">
        <v>892.5</v>
      </c>
      <c r="X24" s="13">
        <v>1172.5</v>
      </c>
      <c r="Y24" s="14">
        <v>2069311</v>
      </c>
      <c r="Z24" s="14">
        <v>181679</v>
      </c>
      <c r="AA24" s="13">
        <v>283.60000000000002</v>
      </c>
      <c r="AB24" s="13">
        <v>16</v>
      </c>
      <c r="AC24" s="15">
        <f t="shared" si="0"/>
        <v>0</v>
      </c>
      <c r="AD24" s="16">
        <f t="shared" si="1"/>
        <v>744.69899999999996</v>
      </c>
    </row>
    <row r="25" spans="1:30" ht="16.05" customHeight="1" x14ac:dyDescent="0.3">
      <c r="A25" s="10">
        <v>46327</v>
      </c>
      <c r="B25" s="11" t="s">
        <v>144</v>
      </c>
      <c r="C25" s="11" t="s">
        <v>143</v>
      </c>
      <c r="D25" s="11" t="s">
        <v>142</v>
      </c>
      <c r="E25" s="12">
        <v>30</v>
      </c>
      <c r="F25" s="12">
        <v>21</v>
      </c>
      <c r="G25" s="13">
        <v>13.8</v>
      </c>
      <c r="H25" s="13">
        <v>0</v>
      </c>
      <c r="I25" s="14">
        <v>697661</v>
      </c>
      <c r="J25" s="14">
        <v>275392</v>
      </c>
      <c r="K25" s="14">
        <v>219160</v>
      </c>
      <c r="L25" s="14">
        <v>86366</v>
      </c>
      <c r="M25" s="14">
        <v>47167</v>
      </c>
      <c r="N25" s="14">
        <v>45808</v>
      </c>
      <c r="O25" s="14">
        <v>13956</v>
      </c>
      <c r="P25" s="14">
        <v>9813</v>
      </c>
      <c r="Q25" s="14">
        <v>4418168</v>
      </c>
      <c r="R25" s="14">
        <v>2407620</v>
      </c>
      <c r="S25" s="14">
        <v>383074</v>
      </c>
      <c r="T25" s="14">
        <v>509090</v>
      </c>
      <c r="U25" s="13">
        <v>4927.7</v>
      </c>
      <c r="V25" s="13">
        <v>5156.8999999999996</v>
      </c>
      <c r="W25" s="13">
        <v>768.2</v>
      </c>
      <c r="X25" s="13">
        <v>1088</v>
      </c>
      <c r="Y25" s="14">
        <v>1884383</v>
      </c>
      <c r="Z25" s="14">
        <v>168936</v>
      </c>
      <c r="AA25" s="13">
        <v>232.8</v>
      </c>
      <c r="AB25" s="13">
        <v>17.600000000000001</v>
      </c>
      <c r="AC25" s="15">
        <f t="shared" si="0"/>
        <v>1</v>
      </c>
      <c r="AD25" s="16">
        <f t="shared" si="1"/>
        <v>700.16499999999996</v>
      </c>
    </row>
    <row r="26" spans="1:30" ht="16.05" customHeight="1" x14ac:dyDescent="0.3">
      <c r="A26" s="10">
        <v>46357</v>
      </c>
      <c r="B26" s="11" t="s">
        <v>144</v>
      </c>
      <c r="C26" s="11" t="s">
        <v>143</v>
      </c>
      <c r="D26" s="11" t="s">
        <v>142</v>
      </c>
      <c r="E26" s="12">
        <v>31</v>
      </c>
      <c r="F26" s="12">
        <v>20</v>
      </c>
      <c r="G26" s="13">
        <v>11.1</v>
      </c>
      <c r="H26" s="13">
        <v>0</v>
      </c>
      <c r="I26" s="14">
        <v>675973</v>
      </c>
      <c r="J26" s="14">
        <v>286521</v>
      </c>
      <c r="K26" s="14">
        <v>197345</v>
      </c>
      <c r="L26" s="14">
        <v>79474</v>
      </c>
      <c r="M26" s="14">
        <v>38953</v>
      </c>
      <c r="N26" s="14">
        <v>49119</v>
      </c>
      <c r="O26" s="14">
        <v>13206</v>
      </c>
      <c r="P26" s="14">
        <v>11356</v>
      </c>
      <c r="Q26" s="14">
        <v>4306092</v>
      </c>
      <c r="R26" s="14">
        <v>2608256</v>
      </c>
      <c r="S26" s="14">
        <v>359103</v>
      </c>
      <c r="T26" s="14">
        <v>589367</v>
      </c>
      <c r="U26" s="13">
        <v>4791.1000000000004</v>
      </c>
      <c r="V26" s="13">
        <v>5342.6</v>
      </c>
      <c r="W26" s="13">
        <v>729.8</v>
      </c>
      <c r="X26" s="13">
        <v>1245.5999999999999</v>
      </c>
      <c r="Y26" s="14">
        <v>1847309</v>
      </c>
      <c r="Z26" s="14">
        <v>162411</v>
      </c>
      <c r="AA26" s="13">
        <v>234.8</v>
      </c>
      <c r="AB26" s="13">
        <v>18.899999999999999</v>
      </c>
      <c r="AC26" s="15">
        <f t="shared" si="0"/>
        <v>1</v>
      </c>
      <c r="AD26" s="16">
        <f t="shared" si="1"/>
        <v>678.51</v>
      </c>
    </row>
  </sheetData>
  <conditionalFormatting sqref="B5:B226">
    <cfRule type="expression" dxfId="40" priority="1">
      <formula>ISNUMBER(SEARCH("Referência",B5))</formula>
    </cfRule>
    <cfRule type="expression" dxfId="39" priority="2">
      <formula>ISNUMBER(SEARCH("Reporte",B5))</formula>
    </cfRule>
  </conditionalFormatting>
  <conditionalFormatting sqref="C5:C226">
    <cfRule type="expression" dxfId="38" priority="3">
      <formula>ISNUMBER(SEARCH("Reconstruído",C5))</formula>
    </cfRule>
  </conditionalFormatting>
  <conditionalFormatting sqref="D5:D226">
    <cfRule type="expression" dxfId="37" priority="4">
      <formula>ISNUMBER(SEARCH("simulado",D5))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5" customWidth="1"/>
    <col min="3" max="3" width="12" customWidth="1"/>
    <col min="4" max="4" width="11" customWidth="1"/>
    <col min="5" max="5" width="9" customWidth="1"/>
    <col min="6" max="6" width="12" customWidth="1"/>
    <col min="7" max="8" width="11" customWidth="1"/>
    <col min="9" max="9" width="9" customWidth="1"/>
    <col min="10" max="10" width="12" customWidth="1"/>
    <col min="11" max="11" width="16" customWidth="1"/>
    <col min="12" max="15" width="9" customWidth="1"/>
    <col min="16" max="17" width="8" customWidth="1"/>
    <col min="18" max="18" width="10" customWidth="1"/>
  </cols>
  <sheetData>
    <row r="1" spans="1:18" ht="17.399999999999999" x14ac:dyDescent="0.3">
      <c r="A1" s="1" t="s">
        <v>145</v>
      </c>
    </row>
    <row r="2" spans="1:18" x14ac:dyDescent="0.3">
      <c r="A2" s="2" t="s">
        <v>146</v>
      </c>
    </row>
    <row r="4" spans="1:18" ht="26.4" x14ac:dyDescent="0.3">
      <c r="A4" s="8" t="s">
        <v>110</v>
      </c>
      <c r="B4" s="9" t="s">
        <v>111</v>
      </c>
      <c r="C4" s="9" t="s">
        <v>147</v>
      </c>
      <c r="D4" s="9" t="s">
        <v>148</v>
      </c>
      <c r="E4" s="9" t="s">
        <v>149</v>
      </c>
      <c r="F4" s="9" t="s">
        <v>150</v>
      </c>
      <c r="G4" s="9" t="s">
        <v>151</v>
      </c>
      <c r="H4" s="9" t="s">
        <v>152</v>
      </c>
      <c r="I4" s="9" t="s">
        <v>153</v>
      </c>
      <c r="J4" s="9" t="s">
        <v>154</v>
      </c>
      <c r="K4" s="9" t="s">
        <v>155</v>
      </c>
      <c r="L4" s="9" t="s">
        <v>156</v>
      </c>
      <c r="M4" s="9" t="s">
        <v>157</v>
      </c>
      <c r="N4" s="9" t="s">
        <v>158</v>
      </c>
      <c r="O4" s="9" t="s">
        <v>159</v>
      </c>
      <c r="P4" s="9" t="s">
        <v>160</v>
      </c>
      <c r="Q4" s="9" t="s">
        <v>161</v>
      </c>
      <c r="R4" s="9" t="s">
        <v>139</v>
      </c>
    </row>
    <row r="5" spans="1:18" ht="16.05" customHeight="1" x14ac:dyDescent="0.3">
      <c r="A5" s="10">
        <v>45717</v>
      </c>
      <c r="B5" s="17" t="str">
        <f>IF(A5="","",INDEX(tbl_base_energia[Periodo],MATCH(A5,tbl_base_energia[Mes],0)))</f>
        <v>Referência (LBE)</v>
      </c>
      <c r="C5" s="15">
        <f>IF(A5="","",INDEX(tbl_base_energia[kWh_Total],MATCH(A5,tbl_base_energia[Mes],0))-INDEX(tbl_base_energia[kWh_Maquinas_Novas],MATCH(A5,tbl_base_energia[Mes],0)))</f>
        <v>568941</v>
      </c>
      <c r="D5" s="15">
        <f>IF(A5="","",(INDEX(tbl_base_energia[Unid_INJ],MATCH(A5,tbl_base_energia[Mes],0))+INDEX(tbl_base_energia[Unid_SOP],MATCH(A5,tbl_base_energia[Mes],0))-INDEX(tbl_base_energia[Unid_Maquinas_Novas],MATCH(A5,tbl_base_energia[Mes],0)))/1000)</f>
        <v>5201.9780000000001</v>
      </c>
      <c r="E5" s="16">
        <f>IF(A5="","",INDEX(tbl_base_energia[CDD_15],MATCH(A5,tbl_base_energia[Mes],0)))</f>
        <v>0</v>
      </c>
      <c r="F5" s="15">
        <f t="shared" ref="F5:F26" si="0">IF(A5="","",lbe_a+lbe_b1*D5+lbe_b2*E5)</f>
        <v>570403.97398077755</v>
      </c>
      <c r="G5" s="15">
        <f t="shared" ref="G5:G26" si="1">IF(A5="","",C5-F5)</f>
        <v>-1462.9739807775477</v>
      </c>
      <c r="H5" s="15">
        <f>IF(A5="","",SUM($G$5:G5))</f>
        <v>-1462.9739807775477</v>
      </c>
      <c r="I5" s="18">
        <f t="shared" ref="I5:I26" si="2">IF(A5="","",-G5/F5)</f>
        <v>2.5648032754183609E-3</v>
      </c>
      <c r="J5" s="17" t="str">
        <f t="shared" ref="J5:J26" si="3">IF(A5="","",IF(AND(D5&gt;=dom_x1_min,D5&lt;=dom_x1_max,E5&gt;=dom_x2_min,E5&lt;=dom_x2_max),"Sim","Não"))</f>
        <v>Sim</v>
      </c>
      <c r="K5" s="17" t="str">
        <f t="shared" ref="K5:K26" si="4">IF(A5="","",IF(B5="Referência (LBE)","Referência",IF(J5="Não","Fora do domínio",IF(G5&gt;lbe_limite,"Desvio significativo",IF(G5&lt;-lbe_limite,"Melhoria significativa","Dentro da incerteza")))))</f>
        <v>Referência</v>
      </c>
      <c r="L5" s="16">
        <f>IF(A5="","",INDEX(tbl_base_energia[kWh_Total],MATCH(A5,tbl_base_energia[Mes],0))/(INDEX(tbl_base_energia[Unid_INJ],MATCH(A5,tbl_base_energia[Mes],0))+INDEX(tbl_base_energia[Unid_SOP],MATCH(A5,tbl_base_energia[Mes],0)))*1000)</f>
        <v>109.37012805513595</v>
      </c>
      <c r="M5" s="16">
        <f>IF(A5="","",INDEX(tbl_base_energia[kWh_SOP],MATCH(A5,tbl_base_energia[Mes],0))/INDEX(tbl_base_energia[Unid_SOP],MATCH(A5,tbl_base_energia[Mes],0))*1000)</f>
        <v>112.6743999984577</v>
      </c>
      <c r="N5" s="16">
        <f>IF(A5="","",INDEX(tbl_base_energia[kWh_INJ],MATCH(A5,tbl_base_energia[Mes],0))/INDEX(tbl_base_energia[Unid_INJ],MATCH(A5,tbl_base_energia[Mes],0))*1000)</f>
        <v>48.124650240634438</v>
      </c>
      <c r="O5" s="18">
        <f t="shared" ref="O5:O26" si="5">IF(A5="","",lbe_a/C5)</f>
        <v>0.16499256783742527</v>
      </c>
      <c r="P5" s="19">
        <f>IF(A5="","",INDEX(tbl_base_energia[kWh_UTL_FRIO],MATCH(A5,tbl_base_energia[Mes],0))/(INDEX(tbl_base_energia[kWh_INJ],MATCH(A5,tbl_base_energia[Mes],0))+INDEX(tbl_base_energia[kWh_SOP],MATCH(A5,tbl_base_energia[Mes],0))))</f>
        <v>9.046953598093023E-2</v>
      </c>
      <c r="Q5" s="19">
        <f>IF(A5="","",INDEX(tbl_base_energia[kWh_UTL_AR],MATCH(A5,tbl_base_energia[Mes],0))/(INDEX(tbl_base_energia[kWh_INJ],MATCH(A5,tbl_base_energia[Mes],0))+INDEX(tbl_base_energia[kWh_SOP],MATCH(A5,tbl_base_energia[Mes],0))+INDEX(tbl_base_energia[kWh_SER],MATCH(A5,tbl_base_energia[Mes],0))+INDEX(tbl_base_energia[kWh_HFS],MATCH(A5,tbl_base_energia[Mes],0))))</f>
        <v>0.19242622566497025</v>
      </c>
      <c r="R5" s="16">
        <f>IF(A5="","",INDEX(tbl_base_energia[Energia_Final_MWh],MATCH(A5,tbl_base_energia[Mes],0)))</f>
        <v>571.702</v>
      </c>
    </row>
    <row r="6" spans="1:18" ht="16.05" customHeight="1" x14ac:dyDescent="0.3">
      <c r="A6" s="10">
        <v>45748</v>
      </c>
      <c r="B6" s="17" t="str">
        <f>IF(A6="","",INDEX(tbl_base_energia[Periodo],MATCH(A6,tbl_base_energia[Mes],0)))</f>
        <v>Referência (LBE)</v>
      </c>
      <c r="C6" s="15">
        <f>IF(A6="","",INDEX(tbl_base_energia[kWh_Total],MATCH(A6,tbl_base_energia[Mes],0))-INDEX(tbl_base_energia[kWh_Maquinas_Novas],MATCH(A6,tbl_base_energia[Mes],0)))</f>
        <v>545354</v>
      </c>
      <c r="D6" s="15">
        <f>IF(A6="","",(INDEX(tbl_base_energia[Unid_INJ],MATCH(A6,tbl_base_energia[Mes],0))+INDEX(tbl_base_energia[Unid_SOP],MATCH(A6,tbl_base_energia[Mes],0))-INDEX(tbl_base_energia[Unid_Maquinas_Novas],MATCH(A6,tbl_base_energia[Mes],0)))/1000)</f>
        <v>4867.0039999999999</v>
      </c>
      <c r="E6" s="16">
        <f>IF(A6="","",INDEX(tbl_base_energia[CDD_15],MATCH(A6,tbl_base_energia[Mes],0)))</f>
        <v>6</v>
      </c>
      <c r="F6" s="15">
        <f t="shared" si="0"/>
        <v>540057.09736890881</v>
      </c>
      <c r="G6" s="15">
        <f t="shared" si="1"/>
        <v>5296.9026310911868</v>
      </c>
      <c r="H6" s="15">
        <f>IF(A6="","",SUM($G$5:G6))</f>
        <v>3833.9286503136391</v>
      </c>
      <c r="I6" s="18">
        <f t="shared" si="2"/>
        <v>-9.8080418846396792E-3</v>
      </c>
      <c r="J6" s="17" t="str">
        <f t="shared" si="3"/>
        <v>Sim</v>
      </c>
      <c r="K6" s="17" t="str">
        <f t="shared" si="4"/>
        <v>Referência</v>
      </c>
      <c r="L6" s="16">
        <f>IF(A6="","",INDEX(tbl_base_energia[kWh_Total],MATCH(A6,tbl_base_energia[Mes],0))/(INDEX(tbl_base_energia[Unid_INJ],MATCH(A6,tbl_base_energia[Mes],0))+INDEX(tbl_base_energia[Unid_SOP],MATCH(A6,tbl_base_energia[Mes],0)))*1000)</f>
        <v>112.05127425414074</v>
      </c>
      <c r="M6" s="16">
        <f>IF(A6="","",INDEX(tbl_base_energia[kWh_SOP],MATCH(A6,tbl_base_energia[Mes],0))/INDEX(tbl_base_energia[Unid_SOP],MATCH(A6,tbl_base_energia[Mes],0))*1000)</f>
        <v>114.00682048398522</v>
      </c>
      <c r="N6" s="16">
        <f>IF(A6="","",INDEX(tbl_base_energia[kWh_INJ],MATCH(A6,tbl_base_energia[Mes],0))/INDEX(tbl_base_energia[Unid_INJ],MATCH(A6,tbl_base_energia[Mes],0))*1000)</f>
        <v>50.221740990522193</v>
      </c>
      <c r="O6" s="18">
        <f t="shared" si="5"/>
        <v>0.17212862936366577</v>
      </c>
      <c r="P6" s="19">
        <f>IF(A6="","",INDEX(tbl_base_energia[kWh_UTL_FRIO],MATCH(A6,tbl_base_energia[Mes],0))/(INDEX(tbl_base_energia[kWh_INJ],MATCH(A6,tbl_base_energia[Mes],0))+INDEX(tbl_base_energia[kWh_SOP],MATCH(A6,tbl_base_energia[Mes],0))))</f>
        <v>9.9952006457313017E-2</v>
      </c>
      <c r="Q6" s="19">
        <f>IF(A6="","",INDEX(tbl_base_energia[kWh_UTL_AR],MATCH(A6,tbl_base_energia[Mes],0))/(INDEX(tbl_base_energia[kWh_INJ],MATCH(A6,tbl_base_energia[Mes],0))+INDEX(tbl_base_energia[kWh_SOP],MATCH(A6,tbl_base_energia[Mes],0))+INDEX(tbl_base_energia[kWh_SER],MATCH(A6,tbl_base_energia[Mes],0))+INDEX(tbl_base_energia[kWh_HFS],MATCH(A6,tbl_base_energia[Mes],0))))</f>
        <v>0.19260049932132328</v>
      </c>
      <c r="R6" s="16">
        <f>IF(A6="","",INDEX(tbl_base_energia[Energia_Final_MWh],MATCH(A6,tbl_base_energia[Mes],0)))</f>
        <v>548.26300000000003</v>
      </c>
    </row>
    <row r="7" spans="1:18" ht="16.05" customHeight="1" x14ac:dyDescent="0.3">
      <c r="A7" s="10">
        <v>45778</v>
      </c>
      <c r="B7" s="17" t="str">
        <f>IF(A7="","",INDEX(tbl_base_energia[Periodo],MATCH(A7,tbl_base_energia[Mes],0)))</f>
        <v>Referência (LBE)</v>
      </c>
      <c r="C7" s="15">
        <f>IF(A7="","",INDEX(tbl_base_energia[kWh_Total],MATCH(A7,tbl_base_energia[Mes],0))-INDEX(tbl_base_energia[kWh_Maquinas_Novas],MATCH(A7,tbl_base_energia[Mes],0)))</f>
        <v>538026</v>
      </c>
      <c r="D7" s="15">
        <f>IF(A7="","",(INDEX(tbl_base_energia[Unid_INJ],MATCH(A7,tbl_base_energia[Mes],0))+INDEX(tbl_base_energia[Unid_SOP],MATCH(A7,tbl_base_energia[Mes],0))-INDEX(tbl_base_energia[Unid_Maquinas_Novas],MATCH(A7,tbl_base_energia[Mes],0)))/1000)</f>
        <v>5030.5969999999998</v>
      </c>
      <c r="E7" s="16">
        <f>IF(A7="","",INDEX(tbl_base_energia[CDD_15],MATCH(A7,tbl_base_energia[Mes],0)))</f>
        <v>55.8</v>
      </c>
      <c r="F7" s="15">
        <f t="shared" si="0"/>
        <v>557855.14230614109</v>
      </c>
      <c r="G7" s="15">
        <f t="shared" si="1"/>
        <v>-19829.14230614109</v>
      </c>
      <c r="H7" s="15">
        <f>IF(A7="","",SUM($G$5:G7))</f>
        <v>-15995.213655827451</v>
      </c>
      <c r="I7" s="18">
        <f t="shared" si="2"/>
        <v>3.5545324946129483E-2</v>
      </c>
      <c r="J7" s="17" t="str">
        <f t="shared" si="3"/>
        <v>Sim</v>
      </c>
      <c r="K7" s="17" t="str">
        <f t="shared" si="4"/>
        <v>Referência</v>
      </c>
      <c r="L7" s="16">
        <f>IF(A7="","",INDEX(tbl_base_energia[kWh_Total],MATCH(A7,tbl_base_energia[Mes],0))/(INDEX(tbl_base_energia[Unid_INJ],MATCH(A7,tbl_base_energia[Mes],0))+INDEX(tbl_base_energia[Unid_SOP],MATCH(A7,tbl_base_energia[Mes],0)))*1000)</f>
        <v>106.95072572897412</v>
      </c>
      <c r="M7" s="16">
        <f>IF(A7="","",INDEX(tbl_base_energia[kWh_SOP],MATCH(A7,tbl_base_energia[Mes],0))/INDEX(tbl_base_energia[Unid_SOP],MATCH(A7,tbl_base_energia[Mes],0))*1000)</f>
        <v>108.92534979136693</v>
      </c>
      <c r="N7" s="16">
        <f>IF(A7="","",INDEX(tbl_base_energia[kWh_INJ],MATCH(A7,tbl_base_energia[Mes],0))/INDEX(tbl_base_energia[Unid_INJ],MATCH(A7,tbl_base_energia[Mes],0))*1000)</f>
        <v>47.953075570436127</v>
      </c>
      <c r="O7" s="18">
        <f t="shared" si="5"/>
        <v>0.17447304877086345</v>
      </c>
      <c r="P7" s="19">
        <f>IF(A7="","",INDEX(tbl_base_energia[kWh_UTL_FRIO],MATCH(A7,tbl_base_energia[Mes],0))/(INDEX(tbl_base_energia[kWh_INJ],MATCH(A7,tbl_base_energia[Mes],0))+INDEX(tbl_base_energia[kWh_SOP],MATCH(A7,tbl_base_energia[Mes],0))))</f>
        <v>0.10955951785813475</v>
      </c>
      <c r="Q7" s="19">
        <f>IF(A7="","",INDEX(tbl_base_energia[kWh_UTL_AR],MATCH(A7,tbl_base_energia[Mes],0))/(INDEX(tbl_base_energia[kWh_INJ],MATCH(A7,tbl_base_energia[Mes],0))+INDEX(tbl_base_energia[kWh_SOP],MATCH(A7,tbl_base_energia[Mes],0))+INDEX(tbl_base_energia[kWh_SER],MATCH(A7,tbl_base_energia[Mes],0))+INDEX(tbl_base_energia[kWh_HFS],MATCH(A7,tbl_base_energia[Mes],0))))</f>
        <v>0.18774654255733819</v>
      </c>
      <c r="R7" s="16">
        <f>IF(A7="","",INDEX(tbl_base_energia[Energia_Final_MWh],MATCH(A7,tbl_base_energia[Mes],0)))</f>
        <v>540.76300000000003</v>
      </c>
    </row>
    <row r="8" spans="1:18" ht="16.05" customHeight="1" x14ac:dyDescent="0.3">
      <c r="A8" s="10">
        <v>45809</v>
      </c>
      <c r="B8" s="17" t="str">
        <f>IF(A8="","",INDEX(tbl_base_energia[Periodo],MATCH(A8,tbl_base_energia[Mes],0)))</f>
        <v>Referência (LBE)</v>
      </c>
      <c r="C8" s="15">
        <f>IF(A8="","",INDEX(tbl_base_energia[kWh_Total],MATCH(A8,tbl_base_energia[Mes],0))-INDEX(tbl_base_energia[kWh_Maquinas_Novas],MATCH(A8,tbl_base_energia[Mes],0)))</f>
        <v>515423</v>
      </c>
      <c r="D8" s="15">
        <f>IF(A8="","",(INDEX(tbl_base_energia[Unid_INJ],MATCH(A8,tbl_base_energia[Mes],0))+INDEX(tbl_base_energia[Unid_SOP],MATCH(A8,tbl_base_energia[Mes],0))-INDEX(tbl_base_energia[Unid_Maquinas_Novas],MATCH(A8,tbl_base_energia[Mes],0)))/1000)</f>
        <v>4543.9470000000001</v>
      </c>
      <c r="E8" s="16">
        <f>IF(A8="","",INDEX(tbl_base_energia[CDD_15],MATCH(A8,tbl_base_energia[Mes],0)))</f>
        <v>186</v>
      </c>
      <c r="F8" s="15">
        <f t="shared" si="0"/>
        <v>520626.6978800302</v>
      </c>
      <c r="G8" s="15">
        <f t="shared" si="1"/>
        <v>-5203.6978800302022</v>
      </c>
      <c r="H8" s="15">
        <f>IF(A8="","",SUM($G$5:G8))</f>
        <v>-21198.911535857653</v>
      </c>
      <c r="I8" s="18">
        <f t="shared" si="2"/>
        <v>9.9950653725969854E-3</v>
      </c>
      <c r="J8" s="17" t="str">
        <f t="shared" si="3"/>
        <v>Sim</v>
      </c>
      <c r="K8" s="17" t="str">
        <f t="shared" si="4"/>
        <v>Referência</v>
      </c>
      <c r="L8" s="16">
        <f>IF(A8="","",INDEX(tbl_base_energia[kWh_Total],MATCH(A8,tbl_base_energia[Mes],0))/(INDEX(tbl_base_energia[Unid_INJ],MATCH(A8,tbl_base_energia[Mes],0))+INDEX(tbl_base_energia[Unid_SOP],MATCH(A8,tbl_base_energia[Mes],0)))*1000)</f>
        <v>113.43068041946792</v>
      </c>
      <c r="M8" s="16">
        <f>IF(A8="","",INDEX(tbl_base_energia[kWh_SOP],MATCH(A8,tbl_base_energia[Mes],0))/INDEX(tbl_base_energia[Unid_SOP],MATCH(A8,tbl_base_energia[Mes],0))*1000)</f>
        <v>112.39725803661841</v>
      </c>
      <c r="N8" s="16">
        <f>IF(A8="","",INDEX(tbl_base_energia[kWh_INJ],MATCH(A8,tbl_base_energia[Mes],0))/INDEX(tbl_base_energia[Unid_INJ],MATCH(A8,tbl_base_energia[Mes],0))*1000)</f>
        <v>47.646837729205693</v>
      </c>
      <c r="O8" s="18">
        <f t="shared" si="5"/>
        <v>0.18212426790809214</v>
      </c>
      <c r="P8" s="19">
        <f>IF(A8="","",INDEX(tbl_base_energia[kWh_UTL_FRIO],MATCH(A8,tbl_base_energia[Mes],0))/(INDEX(tbl_base_energia[kWh_INJ],MATCH(A8,tbl_base_energia[Mes],0))+INDEX(tbl_base_energia[kWh_SOP],MATCH(A8,tbl_base_energia[Mes],0))))</f>
        <v>0.12821371521037517</v>
      </c>
      <c r="Q8" s="19">
        <f>IF(A8="","",INDEX(tbl_base_energia[kWh_UTL_AR],MATCH(A8,tbl_base_energia[Mes],0))/(INDEX(tbl_base_energia[kWh_INJ],MATCH(A8,tbl_base_energia[Mes],0))+INDEX(tbl_base_energia[kWh_SOP],MATCH(A8,tbl_base_energia[Mes],0))+INDEX(tbl_base_energia[kWh_SER],MATCH(A8,tbl_base_energia[Mes],0))+INDEX(tbl_base_energia[kWh_HFS],MATCH(A8,tbl_base_energia[Mes],0))))</f>
        <v>0.19095058576441076</v>
      </c>
      <c r="R8" s="16">
        <f>IF(A8="","",INDEX(tbl_base_energia[Energia_Final_MWh],MATCH(A8,tbl_base_energia[Mes],0)))</f>
        <v>517.88900000000001</v>
      </c>
    </row>
    <row r="9" spans="1:18" ht="16.05" customHeight="1" x14ac:dyDescent="0.3">
      <c r="A9" s="10">
        <v>45839</v>
      </c>
      <c r="B9" s="17" t="str">
        <f>IF(A9="","",INDEX(tbl_base_energia[Periodo],MATCH(A9,tbl_base_energia[Mes],0)))</f>
        <v>Referência (LBE)</v>
      </c>
      <c r="C9" s="15">
        <f>IF(A9="","",INDEX(tbl_base_energia[kWh_Total],MATCH(A9,tbl_base_energia[Mes],0))-INDEX(tbl_base_energia[kWh_Maquinas_Novas],MATCH(A9,tbl_base_energia[Mes],0)))</f>
        <v>620886</v>
      </c>
      <c r="D9" s="15">
        <f>IF(A9="","",(INDEX(tbl_base_energia[Unid_INJ],MATCH(A9,tbl_base_energia[Mes],0))+INDEX(tbl_base_energia[Unid_SOP],MATCH(A9,tbl_base_energia[Mes],0))-INDEX(tbl_base_energia[Unid_Maquinas_Novas],MATCH(A9,tbl_base_energia[Mes],0)))/1000)</f>
        <v>5273.0739999999996</v>
      </c>
      <c r="E9" s="16">
        <f>IF(A9="","",INDEX(tbl_base_energia[CDD_15],MATCH(A9,tbl_base_energia[Mes],0)))</f>
        <v>223.2</v>
      </c>
      <c r="F9" s="15">
        <f t="shared" si="0"/>
        <v>589519.65765712364</v>
      </c>
      <c r="G9" s="15">
        <f t="shared" si="1"/>
        <v>31366.342342876364</v>
      </c>
      <c r="H9" s="15">
        <f>IF(A9="","",SUM($G$5:G9))</f>
        <v>10167.430807018711</v>
      </c>
      <c r="I9" s="18">
        <f t="shared" si="2"/>
        <v>-5.3206609712613949E-2</v>
      </c>
      <c r="J9" s="17" t="str">
        <f t="shared" si="3"/>
        <v>Sim</v>
      </c>
      <c r="K9" s="17" t="str">
        <f t="shared" si="4"/>
        <v>Referência</v>
      </c>
      <c r="L9" s="16">
        <f>IF(A9="","",INDEX(tbl_base_energia[kWh_Total],MATCH(A9,tbl_base_energia[Mes],0))/(INDEX(tbl_base_energia[Unid_INJ],MATCH(A9,tbl_base_energia[Mes],0))+INDEX(tbl_base_energia[Unid_SOP],MATCH(A9,tbl_base_energia[Mes],0)))*1000)</f>
        <v>117.74649853197585</v>
      </c>
      <c r="M9" s="16">
        <f>IF(A9="","",INDEX(tbl_base_energia[kWh_SOP],MATCH(A9,tbl_base_energia[Mes],0))/INDEX(tbl_base_energia[Unid_SOP],MATCH(A9,tbl_base_energia[Mes],0))*1000)</f>
        <v>114.42922202937119</v>
      </c>
      <c r="N9" s="16">
        <f>IF(A9="","",INDEX(tbl_base_energia[kWh_INJ],MATCH(A9,tbl_base_energia[Mes],0))/INDEX(tbl_base_energia[Unid_INJ],MATCH(A9,tbl_base_energia[Mes],0))*1000)</f>
        <v>51.224781488970706</v>
      </c>
      <c r="O9" s="18">
        <f t="shared" si="5"/>
        <v>0.15118884390692106</v>
      </c>
      <c r="P9" s="19">
        <f>IF(A9="","",INDEX(tbl_base_energia[kWh_UTL_FRIO],MATCH(A9,tbl_base_energia[Mes],0))/(INDEX(tbl_base_energia[kWh_INJ],MATCH(A9,tbl_base_energia[Mes],0))+INDEX(tbl_base_energia[kWh_SOP],MATCH(A9,tbl_base_energia[Mes],0))))</f>
        <v>0.13311590469431997</v>
      </c>
      <c r="Q9" s="19">
        <f>IF(A9="","",INDEX(tbl_base_energia[kWh_UTL_AR],MATCH(A9,tbl_base_energia[Mes],0))/(INDEX(tbl_base_energia[kWh_INJ],MATCH(A9,tbl_base_energia[Mes],0))+INDEX(tbl_base_energia[kWh_SOP],MATCH(A9,tbl_base_energia[Mes],0))+INDEX(tbl_base_energia[kWh_SER],MATCH(A9,tbl_base_energia[Mes],0))+INDEX(tbl_base_energia[kWh_HFS],MATCH(A9,tbl_base_energia[Mes],0))))</f>
        <v>0.18892868668778778</v>
      </c>
      <c r="R9" s="16">
        <f>IF(A9="","",INDEX(tbl_base_energia[Energia_Final_MWh],MATCH(A9,tbl_base_energia[Mes],0)))</f>
        <v>623.50300000000004</v>
      </c>
    </row>
    <row r="10" spans="1:18" ht="16.05" customHeight="1" x14ac:dyDescent="0.3">
      <c r="A10" s="10">
        <v>45870</v>
      </c>
      <c r="B10" s="17" t="str">
        <f>IF(A10="","",INDEX(tbl_base_energia[Periodo],MATCH(A10,tbl_base_energia[Mes],0)))</f>
        <v>Referência (LBE)</v>
      </c>
      <c r="C10" s="15">
        <f>IF(A10="","",INDEX(tbl_base_energia[kWh_Total],MATCH(A10,tbl_base_energia[Mes],0))-INDEX(tbl_base_energia[kWh_Maquinas_Novas],MATCH(A10,tbl_base_energia[Mes],0)))</f>
        <v>586901</v>
      </c>
      <c r="D10" s="15">
        <f>IF(A10="","",(INDEX(tbl_base_energia[Unid_INJ],MATCH(A10,tbl_base_energia[Mes],0))+INDEX(tbl_base_energia[Unid_SOP],MATCH(A10,tbl_base_energia[Mes],0))-INDEX(tbl_base_energia[Unid_Maquinas_Novas],MATCH(A10,tbl_base_energia[Mes],0)))/1000)</f>
        <v>5443.6559999999999</v>
      </c>
      <c r="E10" s="16">
        <f>IF(A10="","",INDEX(tbl_base_energia[CDD_15],MATCH(A10,tbl_base_energia[Mes],0)))</f>
        <v>251.1</v>
      </c>
      <c r="F10" s="15">
        <f t="shared" si="0"/>
        <v>606721.36709576903</v>
      </c>
      <c r="G10" s="15">
        <f t="shared" si="1"/>
        <v>-19820.367095769034</v>
      </c>
      <c r="H10" s="15">
        <f>IF(A10="","",SUM($G$5:G10))</f>
        <v>-9652.936288750323</v>
      </c>
      <c r="I10" s="18">
        <f t="shared" si="2"/>
        <v>3.2667989246273656E-2</v>
      </c>
      <c r="J10" s="17" t="str">
        <f t="shared" si="3"/>
        <v>Sim</v>
      </c>
      <c r="K10" s="17" t="str">
        <f t="shared" si="4"/>
        <v>Referência</v>
      </c>
      <c r="L10" s="16">
        <f>IF(A10="","",INDEX(tbl_base_energia[kWh_Total],MATCH(A10,tbl_base_energia[Mes],0))/(INDEX(tbl_base_energia[Unid_INJ],MATCH(A10,tbl_base_energia[Mes],0))+INDEX(tbl_base_energia[Unid_SOP],MATCH(A10,tbl_base_energia[Mes],0)))*1000)</f>
        <v>107.81375604924337</v>
      </c>
      <c r="M10" s="16">
        <f>IF(A10="","",INDEX(tbl_base_energia[kWh_SOP],MATCH(A10,tbl_base_energia[Mes],0))/INDEX(tbl_base_energia[Unid_SOP],MATCH(A10,tbl_base_energia[Mes],0))*1000)</f>
        <v>108.52713903361928</v>
      </c>
      <c r="N10" s="16">
        <f>IF(A10="","",INDEX(tbl_base_energia[kWh_INJ],MATCH(A10,tbl_base_energia[Mes],0))/INDEX(tbl_base_energia[Unid_INJ],MATCH(A10,tbl_base_energia[Mes],0))*1000)</f>
        <v>45.505990369060953</v>
      </c>
      <c r="O10" s="18">
        <f t="shared" si="5"/>
        <v>0.15994356209649085</v>
      </c>
      <c r="P10" s="19">
        <f>IF(A10="","",INDEX(tbl_base_energia[kWh_UTL_FRIO],MATCH(A10,tbl_base_energia[Mes],0))/(INDEX(tbl_base_energia[kWh_INJ],MATCH(A10,tbl_base_energia[Mes],0))+INDEX(tbl_base_energia[kWh_SOP],MATCH(A10,tbl_base_energia[Mes],0))))</f>
        <v>0.14224459114974836</v>
      </c>
      <c r="Q10" s="19">
        <f>IF(A10="","",INDEX(tbl_base_energia[kWh_UTL_AR],MATCH(A10,tbl_base_energia[Mes],0))/(INDEX(tbl_base_energia[kWh_INJ],MATCH(A10,tbl_base_energia[Mes],0))+INDEX(tbl_base_energia[kWh_SOP],MATCH(A10,tbl_base_energia[Mes],0))+INDEX(tbl_base_energia[kWh_SER],MATCH(A10,tbl_base_energia[Mes],0))+INDEX(tbl_base_energia[kWh_HFS],MATCH(A10,tbl_base_energia[Mes],0))))</f>
        <v>0.19282071594791306</v>
      </c>
      <c r="R10" s="16">
        <f>IF(A10="","",INDEX(tbl_base_energia[Energia_Final_MWh],MATCH(A10,tbl_base_energia[Mes],0)))</f>
        <v>589.70799999999997</v>
      </c>
    </row>
    <row r="11" spans="1:18" ht="16.05" customHeight="1" x14ac:dyDescent="0.3">
      <c r="A11" s="10">
        <v>45901</v>
      </c>
      <c r="B11" s="17" t="str">
        <f>IF(A11="","",INDEX(tbl_base_energia[Periodo],MATCH(A11,tbl_base_energia[Mes],0)))</f>
        <v>Referência (LBE)</v>
      </c>
      <c r="C11" s="15">
        <f>IF(A11="","",INDEX(tbl_base_energia[kWh_Total],MATCH(A11,tbl_base_energia[Mes],0))-INDEX(tbl_base_energia[kWh_Maquinas_Novas],MATCH(A11,tbl_base_energia[Mes],0)))</f>
        <v>569448</v>
      </c>
      <c r="D11" s="15">
        <f>IF(A11="","",(INDEX(tbl_base_energia[Unid_INJ],MATCH(A11,tbl_base_energia[Mes],0))+INDEX(tbl_base_energia[Unid_SOP],MATCH(A11,tbl_base_energia[Mes],0))-INDEX(tbl_base_energia[Unid_Maquinas_Novas],MATCH(A11,tbl_base_energia[Mes],0)))/1000)</f>
        <v>5062.893</v>
      </c>
      <c r="E11" s="16">
        <f>IF(A11="","",INDEX(tbl_base_energia[CDD_15],MATCH(A11,tbl_base_energia[Mes],0)))</f>
        <v>177</v>
      </c>
      <c r="F11" s="15">
        <f t="shared" si="0"/>
        <v>567657.13942154171</v>
      </c>
      <c r="G11" s="15">
        <f t="shared" si="1"/>
        <v>1790.8605784582905</v>
      </c>
      <c r="H11" s="15">
        <f>IF(A11="","",SUM($G$5:G11))</f>
        <v>-7862.0757102920325</v>
      </c>
      <c r="I11" s="18">
        <f t="shared" si="2"/>
        <v>-3.15482789537929E-3</v>
      </c>
      <c r="J11" s="17" t="str">
        <f t="shared" si="3"/>
        <v>Sim</v>
      </c>
      <c r="K11" s="17" t="str">
        <f t="shared" si="4"/>
        <v>Referência</v>
      </c>
      <c r="L11" s="16">
        <f>IF(A11="","",INDEX(tbl_base_energia[kWh_Total],MATCH(A11,tbl_base_energia[Mes],0))/(INDEX(tbl_base_energia[Unid_INJ],MATCH(A11,tbl_base_energia[Mes],0))+INDEX(tbl_base_energia[Unid_SOP],MATCH(A11,tbl_base_energia[Mes],0)))*1000)</f>
        <v>112.47482417661207</v>
      </c>
      <c r="M11" s="16">
        <f>IF(A11="","",INDEX(tbl_base_energia[kWh_SOP],MATCH(A11,tbl_base_energia[Mes],0))/INDEX(tbl_base_energia[Unid_SOP],MATCH(A11,tbl_base_energia[Mes],0))*1000)</f>
        <v>112.76909312336949</v>
      </c>
      <c r="N11" s="16">
        <f>IF(A11="","",INDEX(tbl_base_energia[kWh_INJ],MATCH(A11,tbl_base_energia[Mes],0))/INDEX(tbl_base_energia[Unid_INJ],MATCH(A11,tbl_base_energia[Mes],0))*1000)</f>
        <v>49.361865407704521</v>
      </c>
      <c r="O11" s="18">
        <f t="shared" si="5"/>
        <v>0.1648456690303462</v>
      </c>
      <c r="P11" s="19">
        <f>IF(A11="","",INDEX(tbl_base_energia[kWh_UTL_FRIO],MATCH(A11,tbl_base_energia[Mes],0))/(INDEX(tbl_base_energia[kWh_INJ],MATCH(A11,tbl_base_energia[Mes],0))+INDEX(tbl_base_energia[kWh_SOP],MATCH(A11,tbl_base_energia[Mes],0))))</f>
        <v>0.12854162514118664</v>
      </c>
      <c r="Q11" s="19">
        <f>IF(A11="","",INDEX(tbl_base_energia[kWh_UTL_AR],MATCH(A11,tbl_base_energia[Mes],0))/(INDEX(tbl_base_energia[kWh_INJ],MATCH(A11,tbl_base_energia[Mes],0))+INDEX(tbl_base_energia[kWh_SOP],MATCH(A11,tbl_base_energia[Mes],0))+INDEX(tbl_base_energia[kWh_SER],MATCH(A11,tbl_base_energia[Mes],0))+INDEX(tbl_base_energia[kWh_HFS],MATCH(A11,tbl_base_energia[Mes],0))))</f>
        <v>0.19043553160696489</v>
      </c>
      <c r="R11" s="16">
        <f>IF(A11="","",INDEX(tbl_base_energia[Energia_Final_MWh],MATCH(A11,tbl_base_energia[Mes],0)))</f>
        <v>572.50800000000004</v>
      </c>
    </row>
    <row r="12" spans="1:18" ht="16.05" customHeight="1" x14ac:dyDescent="0.3">
      <c r="A12" s="10">
        <v>45931</v>
      </c>
      <c r="B12" s="17" t="str">
        <f>IF(A12="","",INDEX(tbl_base_energia[Periodo],MATCH(A12,tbl_base_energia[Mes],0)))</f>
        <v>Referência (LBE)</v>
      </c>
      <c r="C12" s="15">
        <f>IF(A12="","",INDEX(tbl_base_energia[kWh_Total],MATCH(A12,tbl_base_energia[Mes],0))-INDEX(tbl_base_energia[kWh_Maquinas_Novas],MATCH(A12,tbl_base_energia[Mes],0)))</f>
        <v>568762</v>
      </c>
      <c r="D12" s="15">
        <f>IF(A12="","",(INDEX(tbl_base_energia[Unid_INJ],MATCH(A12,tbl_base_energia[Mes],0))+INDEX(tbl_base_energia[Unid_SOP],MATCH(A12,tbl_base_energia[Mes],0))-INDEX(tbl_base_energia[Unid_Maquinas_Novas],MATCH(A12,tbl_base_energia[Mes],0)))/1000)</f>
        <v>5158.7250000000004</v>
      </c>
      <c r="E12" s="16">
        <f>IF(A12="","",INDEX(tbl_base_energia[CDD_15],MATCH(A12,tbl_base_energia[Mes],0)))</f>
        <v>96.1</v>
      </c>
      <c r="F12" s="15">
        <f t="shared" si="0"/>
        <v>571867.96488020604</v>
      </c>
      <c r="G12" s="15">
        <f t="shared" si="1"/>
        <v>-3105.9648802060401</v>
      </c>
      <c r="H12" s="15">
        <f>IF(A12="","",SUM($G$5:G12))</f>
        <v>-10968.040590498073</v>
      </c>
      <c r="I12" s="18">
        <f t="shared" si="2"/>
        <v>5.4312622335064226E-3</v>
      </c>
      <c r="J12" s="17" t="str">
        <f t="shared" si="3"/>
        <v>Sim</v>
      </c>
      <c r="K12" s="17" t="str">
        <f t="shared" si="4"/>
        <v>Referência</v>
      </c>
      <c r="L12" s="16">
        <f>IF(A12="","",INDEX(tbl_base_energia[kWh_Total],MATCH(A12,tbl_base_energia[Mes],0))/(INDEX(tbl_base_energia[Unid_INJ],MATCH(A12,tbl_base_energia[Mes],0))+INDEX(tbl_base_energia[Unid_SOP],MATCH(A12,tbl_base_energia[Mes],0)))*1000)</f>
        <v>110.25243640628256</v>
      </c>
      <c r="M12" s="16">
        <f>IF(A12="","",INDEX(tbl_base_energia[kWh_SOP],MATCH(A12,tbl_base_energia[Mes],0))/INDEX(tbl_base_energia[Unid_SOP],MATCH(A12,tbl_base_energia[Mes],0))*1000)</f>
        <v>110.567605292252</v>
      </c>
      <c r="N12" s="16">
        <f>IF(A12="","",INDEX(tbl_base_energia[kWh_INJ],MATCH(A12,tbl_base_energia[Mes],0))/INDEX(tbl_base_energia[Unid_INJ],MATCH(A12,tbl_base_energia[Mes],0))*1000)</f>
        <v>48.996879456142182</v>
      </c>
      <c r="O12" s="18">
        <f t="shared" si="5"/>
        <v>0.16504449407307903</v>
      </c>
      <c r="P12" s="19">
        <f>IF(A12="","",INDEX(tbl_base_energia[kWh_UTL_FRIO],MATCH(A12,tbl_base_energia[Mes],0))/(INDEX(tbl_base_energia[kWh_INJ],MATCH(A12,tbl_base_energia[Mes],0))+INDEX(tbl_base_energia[kWh_SOP],MATCH(A12,tbl_base_energia[Mes],0))))</f>
        <v>0.11420540574524154</v>
      </c>
      <c r="Q12" s="19">
        <f>IF(A12="","",INDEX(tbl_base_energia[kWh_UTL_AR],MATCH(A12,tbl_base_energia[Mes],0))/(INDEX(tbl_base_energia[kWh_INJ],MATCH(A12,tbl_base_energia[Mes],0))+INDEX(tbl_base_energia[kWh_SOP],MATCH(A12,tbl_base_energia[Mes],0))+INDEX(tbl_base_energia[kWh_SER],MATCH(A12,tbl_base_energia[Mes],0))+INDEX(tbl_base_energia[kWh_HFS],MATCH(A12,tbl_base_energia[Mes],0))))</f>
        <v>0.18765789144188491</v>
      </c>
      <c r="R12" s="16">
        <f>IF(A12="","",INDEX(tbl_base_energia[Energia_Final_MWh],MATCH(A12,tbl_base_energia[Mes],0)))</f>
        <v>571.27499999999998</v>
      </c>
    </row>
    <row r="13" spans="1:18" ht="16.05" customHeight="1" x14ac:dyDescent="0.3">
      <c r="A13" s="10">
        <v>45962</v>
      </c>
      <c r="B13" s="17" t="str">
        <f>IF(A13="","",INDEX(tbl_base_energia[Periodo],MATCH(A13,tbl_base_energia[Mes],0)))</f>
        <v>Referência (LBE)</v>
      </c>
      <c r="C13" s="15">
        <f>IF(A13="","",INDEX(tbl_base_energia[kWh_Total],MATCH(A13,tbl_base_energia[Mes],0))-INDEX(tbl_base_energia[kWh_Maquinas_Novas],MATCH(A13,tbl_base_energia[Mes],0)))</f>
        <v>561643</v>
      </c>
      <c r="D13" s="15">
        <f>IF(A13="","",(INDEX(tbl_base_energia[Unid_INJ],MATCH(A13,tbl_base_energia[Mes],0))+INDEX(tbl_base_energia[Unid_SOP],MATCH(A13,tbl_base_energia[Mes],0))-INDEX(tbl_base_energia[Unid_Maquinas_Novas],MATCH(A13,tbl_base_energia[Mes],0)))/1000)</f>
        <v>4974.09</v>
      </c>
      <c r="E13" s="16">
        <f>IF(A13="","",INDEX(tbl_base_energia[CDD_15],MATCH(A13,tbl_base_energia[Mes],0)))</f>
        <v>0</v>
      </c>
      <c r="F13" s="15">
        <f t="shared" si="0"/>
        <v>549528.042162542</v>
      </c>
      <c r="G13" s="15">
        <f t="shared" si="1"/>
        <v>12114.957837458001</v>
      </c>
      <c r="H13" s="15">
        <f>IF(A13="","",SUM($G$5:G13))</f>
        <v>1146.9172469599289</v>
      </c>
      <c r="I13" s="18">
        <f t="shared" si="2"/>
        <v>-2.2046113952224083E-2</v>
      </c>
      <c r="J13" s="17" t="str">
        <f t="shared" si="3"/>
        <v>Sim</v>
      </c>
      <c r="K13" s="17" t="str">
        <f t="shared" si="4"/>
        <v>Referência</v>
      </c>
      <c r="L13" s="16">
        <f>IF(A13="","",INDEX(tbl_base_energia[kWh_Total],MATCH(A13,tbl_base_energia[Mes],0))/(INDEX(tbl_base_energia[Unid_INJ],MATCH(A13,tbl_base_energia[Mes],0))+INDEX(tbl_base_energia[Unid_SOP],MATCH(A13,tbl_base_energia[Mes],0)))*1000)</f>
        <v>112.91371889129469</v>
      </c>
      <c r="M13" s="16">
        <f>IF(A13="","",INDEX(tbl_base_energia[kWh_SOP],MATCH(A13,tbl_base_energia[Mes],0))/INDEX(tbl_base_energia[Unid_SOP],MATCH(A13,tbl_base_energia[Mes],0))*1000)</f>
        <v>115.30164055349351</v>
      </c>
      <c r="N13" s="16">
        <f>IF(A13="","",INDEX(tbl_base_energia[kWh_INJ],MATCH(A13,tbl_base_energia[Mes],0))/INDEX(tbl_base_energia[Unid_INJ],MATCH(A13,tbl_base_energia[Mes],0))*1000)</f>
        <v>49.423667778860207</v>
      </c>
      <c r="O13" s="18">
        <f t="shared" si="5"/>
        <v>0.16713648445363438</v>
      </c>
      <c r="P13" s="19">
        <f>IF(A13="","",INDEX(tbl_base_energia[kWh_UTL_FRIO],MATCH(A13,tbl_base_energia[Mes],0))/(INDEX(tbl_base_energia[kWh_INJ],MATCH(A13,tbl_base_energia[Mes],0))+INDEX(tbl_base_energia[kWh_SOP],MATCH(A13,tbl_base_energia[Mes],0))))</f>
        <v>9.15118906646957E-2</v>
      </c>
      <c r="Q13" s="19">
        <f>IF(A13="","",INDEX(tbl_base_energia[kWh_UTL_AR],MATCH(A13,tbl_base_energia[Mes],0))/(INDEX(tbl_base_energia[kWh_INJ],MATCH(A13,tbl_base_energia[Mes],0))+INDEX(tbl_base_energia[kWh_SOP],MATCH(A13,tbl_base_energia[Mes],0))+INDEX(tbl_base_energia[kWh_SER],MATCH(A13,tbl_base_energia[Mes],0))+INDEX(tbl_base_energia[kWh_HFS],MATCH(A13,tbl_base_energia[Mes],0))))</f>
        <v>0.18897824790902368</v>
      </c>
      <c r="R13" s="16">
        <f>IF(A13="","",INDEX(tbl_base_energia[Energia_Final_MWh],MATCH(A13,tbl_base_energia[Mes],0)))</f>
        <v>564.12099999999998</v>
      </c>
    </row>
    <row r="14" spans="1:18" ht="16.05" customHeight="1" x14ac:dyDescent="0.3">
      <c r="A14" s="10">
        <v>45992</v>
      </c>
      <c r="B14" s="17" t="str">
        <f>IF(A14="","",INDEX(tbl_base_energia[Periodo],MATCH(A14,tbl_base_energia[Mes],0)))</f>
        <v>Referência (LBE)</v>
      </c>
      <c r="C14" s="15">
        <f>IF(A14="","",INDEX(tbl_base_energia[kWh_Total],MATCH(A14,tbl_base_energia[Mes],0))-INDEX(tbl_base_energia[kWh_Maquinas_Novas],MATCH(A14,tbl_base_energia[Mes],0)))</f>
        <v>582602</v>
      </c>
      <c r="D14" s="15">
        <f>IF(A14="","",(INDEX(tbl_base_energia[Unid_INJ],MATCH(A14,tbl_base_energia[Mes],0))+INDEX(tbl_base_energia[Unid_SOP],MATCH(A14,tbl_base_energia[Mes],0))-INDEX(tbl_base_energia[Unid_Maquinas_Novas],MATCH(A14,tbl_base_energia[Mes],0)))/1000)</f>
        <v>5221.9399999999996</v>
      </c>
      <c r="E14" s="16">
        <f>IF(A14="","",INDEX(tbl_base_energia[CDD_15],MATCH(A14,tbl_base_energia[Mes],0)))</f>
        <v>0</v>
      </c>
      <c r="F14" s="15">
        <f t="shared" si="0"/>
        <v>572232.61502793944</v>
      </c>
      <c r="G14" s="15">
        <f t="shared" si="1"/>
        <v>10369.384972060565</v>
      </c>
      <c r="H14" s="15">
        <f>IF(A14="","",SUM($G$5:G14))</f>
        <v>11516.302219020494</v>
      </c>
      <c r="I14" s="18">
        <f t="shared" si="2"/>
        <v>-1.8120926175370616E-2</v>
      </c>
      <c r="J14" s="17" t="str">
        <f t="shared" si="3"/>
        <v>Sim</v>
      </c>
      <c r="K14" s="17" t="str">
        <f t="shared" si="4"/>
        <v>Referência</v>
      </c>
      <c r="L14" s="16">
        <f>IF(A14="","",INDEX(tbl_base_energia[kWh_Total],MATCH(A14,tbl_base_energia[Mes],0))/(INDEX(tbl_base_energia[Unid_INJ],MATCH(A14,tbl_base_energia[Mes],0))+INDEX(tbl_base_energia[Unid_SOP],MATCH(A14,tbl_base_energia[Mes],0)))*1000)</f>
        <v>111.56811453214706</v>
      </c>
      <c r="M14" s="16">
        <f>IF(A14="","",INDEX(tbl_base_energia[kWh_SOP],MATCH(A14,tbl_base_energia[Mes],0))/INDEX(tbl_base_energia[Unid_SOP],MATCH(A14,tbl_base_energia[Mes],0))*1000)</f>
        <v>113.7305112714532</v>
      </c>
      <c r="N14" s="16">
        <f>IF(A14="","",INDEX(tbl_base_energia[kWh_INJ],MATCH(A14,tbl_base_energia[Mes],0))/INDEX(tbl_base_energia[Unid_INJ],MATCH(A14,tbl_base_energia[Mes],0))*1000)</f>
        <v>49.579370346999035</v>
      </c>
      <c r="O14" s="18">
        <f t="shared" si="5"/>
        <v>0.16112378010716163</v>
      </c>
      <c r="P14" s="19">
        <f>IF(A14="","",INDEX(tbl_base_energia[kWh_UTL_FRIO],MATCH(A14,tbl_base_energia[Mes],0))/(INDEX(tbl_base_energia[kWh_INJ],MATCH(A14,tbl_base_energia[Mes],0))+INDEX(tbl_base_energia[kWh_SOP],MATCH(A14,tbl_base_energia[Mes],0))))</f>
        <v>8.587155225089077E-2</v>
      </c>
      <c r="Q14" s="19">
        <f>IF(A14="","",INDEX(tbl_base_energia[kWh_UTL_AR],MATCH(A14,tbl_base_energia[Mes],0))/(INDEX(tbl_base_energia[kWh_INJ],MATCH(A14,tbl_base_energia[Mes],0))+INDEX(tbl_base_energia[kWh_SOP],MATCH(A14,tbl_base_energia[Mes],0))+INDEX(tbl_base_energia[kWh_SER],MATCH(A14,tbl_base_energia[Mes],0))+INDEX(tbl_base_energia[kWh_HFS],MATCH(A14,tbl_base_energia[Mes],0))))</f>
        <v>0.18463619856876684</v>
      </c>
      <c r="R14" s="16">
        <f>IF(A14="","",INDEX(tbl_base_energia[Energia_Final_MWh],MATCH(A14,tbl_base_energia[Mes],0)))</f>
        <v>585.06600000000003</v>
      </c>
    </row>
    <row r="15" spans="1:18" ht="16.05" customHeight="1" x14ac:dyDescent="0.3">
      <c r="A15" s="10">
        <v>46023</v>
      </c>
      <c r="B15" s="17" t="str">
        <f>IF(A15="","",INDEX(tbl_base_energia[Periodo],MATCH(A15,tbl_base_energia[Mes],0)))</f>
        <v>Referência (LBE)</v>
      </c>
      <c r="C15" s="15">
        <f>IF(A15="","",INDEX(tbl_base_energia[kWh_Total],MATCH(A15,tbl_base_energia[Mes],0))-INDEX(tbl_base_energia[kWh_Maquinas_Novas],MATCH(A15,tbl_base_energia[Mes],0)))</f>
        <v>567251</v>
      </c>
      <c r="D15" s="15">
        <f>IF(A15="","",(INDEX(tbl_base_energia[Unid_INJ],MATCH(A15,tbl_base_energia[Mes],0))+INDEX(tbl_base_energia[Unid_SOP],MATCH(A15,tbl_base_energia[Mes],0))-INDEX(tbl_base_energia[Unid_Maquinas_Novas],MATCH(A15,tbl_base_energia[Mes],0)))/1000)</f>
        <v>5272.2839999999997</v>
      </c>
      <c r="E15" s="16">
        <f>IF(A15="","",INDEX(tbl_base_energia[CDD_15],MATCH(A15,tbl_base_energia[Mes],0)))</f>
        <v>0</v>
      </c>
      <c r="F15" s="15">
        <f t="shared" si="0"/>
        <v>576844.43272548052</v>
      </c>
      <c r="G15" s="15">
        <f t="shared" si="1"/>
        <v>-9593.4327254805248</v>
      </c>
      <c r="H15" s="15">
        <f>IF(A15="","",SUM($G$5:G15))</f>
        <v>1922.869493539969</v>
      </c>
      <c r="I15" s="18">
        <f t="shared" si="2"/>
        <v>1.6630883789851926E-2</v>
      </c>
      <c r="J15" s="17" t="str">
        <f t="shared" si="3"/>
        <v>Sim</v>
      </c>
      <c r="K15" s="17" t="str">
        <f t="shared" si="4"/>
        <v>Referência</v>
      </c>
      <c r="L15" s="16">
        <f>IF(A15="","",INDEX(tbl_base_energia[kWh_Total],MATCH(A15,tbl_base_energia[Mes],0))/(INDEX(tbl_base_energia[Unid_INJ],MATCH(A15,tbl_base_energia[Mes],0))+INDEX(tbl_base_energia[Unid_SOP],MATCH(A15,tbl_base_energia[Mes],0)))*1000)</f>
        <v>107.59113128200227</v>
      </c>
      <c r="M15" s="16">
        <f>IF(A15="","",INDEX(tbl_base_energia[kWh_SOP],MATCH(A15,tbl_base_energia[Mes],0))/INDEX(tbl_base_energia[Unid_SOP],MATCH(A15,tbl_base_energia[Mes],0))*1000)</f>
        <v>116.54359011965435</v>
      </c>
      <c r="N15" s="16">
        <f>IF(A15="","",INDEX(tbl_base_energia[kWh_INJ],MATCH(A15,tbl_base_energia[Mes],0))/INDEX(tbl_base_energia[Unid_INJ],MATCH(A15,tbl_base_energia[Mes],0))*1000)</f>
        <v>47.904911632513731</v>
      </c>
      <c r="O15" s="18">
        <f t="shared" si="5"/>
        <v>0.16548412702312129</v>
      </c>
      <c r="P15" s="19">
        <f>IF(A15="","",INDEX(tbl_base_energia[kWh_UTL_FRIO],MATCH(A15,tbl_base_energia[Mes],0))/(INDEX(tbl_base_energia[kWh_INJ],MATCH(A15,tbl_base_energia[Mes],0))+INDEX(tbl_base_energia[kWh_SOP],MATCH(A15,tbl_base_energia[Mes],0))))</f>
        <v>7.1929704020948323E-2</v>
      </c>
      <c r="Q15" s="19">
        <f>IF(A15="","",INDEX(tbl_base_energia[kWh_UTL_AR],MATCH(A15,tbl_base_energia[Mes],0))/(INDEX(tbl_base_energia[kWh_INJ],MATCH(A15,tbl_base_energia[Mes],0))+INDEX(tbl_base_energia[kWh_SOP],MATCH(A15,tbl_base_energia[Mes],0))+INDEX(tbl_base_energia[kWh_SER],MATCH(A15,tbl_base_energia[Mes],0))+INDEX(tbl_base_energia[kWh_HFS],MATCH(A15,tbl_base_energia[Mes],0))))</f>
        <v>0.1907578683799338</v>
      </c>
      <c r="R15" s="16">
        <f>IF(A15="","",INDEX(tbl_base_energia[Energia_Final_MWh],MATCH(A15,tbl_base_energia[Mes],0)))</f>
        <v>570.26499999999999</v>
      </c>
    </row>
    <row r="16" spans="1:18" ht="16.05" customHeight="1" x14ac:dyDescent="0.3">
      <c r="A16" s="10">
        <v>46054</v>
      </c>
      <c r="B16" s="17" t="str">
        <f>IF(A16="","",INDEX(tbl_base_energia[Periodo],MATCH(A16,tbl_base_energia[Mes],0)))</f>
        <v>Referência (LBE)</v>
      </c>
      <c r="C16" s="15">
        <f>IF(A16="","",INDEX(tbl_base_energia[kWh_Total],MATCH(A16,tbl_base_energia[Mes],0))-INDEX(tbl_base_energia[kWh_Maquinas_Novas],MATCH(A16,tbl_base_energia[Mes],0)))</f>
        <v>527749</v>
      </c>
      <c r="D16" s="15">
        <f>IF(A16="","",(INDEX(tbl_base_energia[Unid_INJ],MATCH(A16,tbl_base_energia[Mes],0))+INDEX(tbl_base_energia[Unid_SOP],MATCH(A16,tbl_base_energia[Mes],0))-INDEX(tbl_base_energia[Unid_Maquinas_Novas],MATCH(A16,tbl_base_energia[Mes],0)))/1000)</f>
        <v>4757.3339999999998</v>
      </c>
      <c r="E16" s="16">
        <f>IF(A16="","",INDEX(tbl_base_energia[CDD_15],MATCH(A16,tbl_base_energia[Mes],0)))</f>
        <v>0</v>
      </c>
      <c r="F16" s="15">
        <f t="shared" si="0"/>
        <v>529671.86949354026</v>
      </c>
      <c r="G16" s="15">
        <f t="shared" si="1"/>
        <v>-1922.86949354026</v>
      </c>
      <c r="H16" s="15">
        <f>IF(A16="","",SUM($G$5:G16))</f>
        <v>-2.9103830456733704E-10</v>
      </c>
      <c r="I16" s="18">
        <f t="shared" si="2"/>
        <v>3.6303032203293378E-3</v>
      </c>
      <c r="J16" s="17" t="str">
        <f t="shared" si="3"/>
        <v>Sim</v>
      </c>
      <c r="K16" s="17" t="str">
        <f t="shared" si="4"/>
        <v>Referência</v>
      </c>
      <c r="L16" s="16">
        <f>IF(A16="","",INDEX(tbl_base_energia[kWh_Total],MATCH(A16,tbl_base_energia[Mes],0))/(INDEX(tbl_base_energia[Unid_INJ],MATCH(A16,tbl_base_energia[Mes],0))+INDEX(tbl_base_energia[Unid_SOP],MATCH(A16,tbl_base_energia[Mes],0)))*1000)</f>
        <v>110.93377088932583</v>
      </c>
      <c r="M16" s="16">
        <f>IF(A16="","",INDEX(tbl_base_energia[kWh_SOP],MATCH(A16,tbl_base_energia[Mes],0))/INDEX(tbl_base_energia[Unid_SOP],MATCH(A16,tbl_base_energia[Mes],0))*1000)</f>
        <v>110.68645636327469</v>
      </c>
      <c r="N16" s="16">
        <f>IF(A16="","",INDEX(tbl_base_energia[kWh_INJ],MATCH(A16,tbl_base_energia[Mes],0))/INDEX(tbl_base_energia[Unid_INJ],MATCH(A16,tbl_base_energia[Mes],0))*1000)</f>
        <v>49.831450962314165</v>
      </c>
      <c r="O16" s="18">
        <f t="shared" si="5"/>
        <v>0.17787060996419241</v>
      </c>
      <c r="P16" s="19">
        <f>IF(A16="","",INDEX(tbl_base_energia[kWh_UTL_FRIO],MATCH(A16,tbl_base_energia[Mes],0))/(INDEX(tbl_base_energia[kWh_INJ],MATCH(A16,tbl_base_energia[Mes],0))+INDEX(tbl_base_energia[kWh_SOP],MATCH(A16,tbl_base_energia[Mes],0))))</f>
        <v>8.5906040268456371E-2</v>
      </c>
      <c r="Q16" s="19">
        <f>IF(A16="","",INDEX(tbl_base_energia[kWh_UTL_AR],MATCH(A16,tbl_base_energia[Mes],0))/(INDEX(tbl_base_energia[kWh_INJ],MATCH(A16,tbl_base_energia[Mes],0))+INDEX(tbl_base_energia[kWh_SOP],MATCH(A16,tbl_base_energia[Mes],0))+INDEX(tbl_base_energia[kWh_SER],MATCH(A16,tbl_base_energia[Mes],0))+INDEX(tbl_base_energia[kWh_HFS],MATCH(A16,tbl_base_energia[Mes],0))))</f>
        <v>0.18913752211125831</v>
      </c>
      <c r="R16" s="16">
        <f>IF(A16="","",INDEX(tbl_base_energia[Energia_Final_MWh],MATCH(A16,tbl_base_energia[Mes],0)))</f>
        <v>530.81600000000003</v>
      </c>
    </row>
    <row r="17" spans="1:18" ht="16.05" customHeight="1" x14ac:dyDescent="0.3">
      <c r="A17" s="10">
        <v>46082</v>
      </c>
      <c r="B17" s="17" t="str">
        <f>IF(A17="","",INDEX(tbl_base_energia[Periodo],MATCH(A17,tbl_base_energia[Mes],0)))</f>
        <v>Reporte</v>
      </c>
      <c r="C17" s="15">
        <f>IF(A17="","",INDEX(tbl_base_energia[kWh_Total],MATCH(A17,tbl_base_energia[Mes],0))-INDEX(tbl_base_energia[kWh_Maquinas_Novas],MATCH(A17,tbl_base_energia[Mes],0)))</f>
        <v>590162</v>
      </c>
      <c r="D17" s="15">
        <f>IF(A17="","",(INDEX(tbl_base_energia[Unid_INJ],MATCH(A17,tbl_base_energia[Mes],0))+INDEX(tbl_base_energia[Unid_SOP],MATCH(A17,tbl_base_energia[Mes],0))-INDEX(tbl_base_energia[Unid_Maquinas_Novas],MATCH(A17,tbl_base_energia[Mes],0)))/1000)</f>
        <v>5427.0709999999999</v>
      </c>
      <c r="E17" s="16">
        <f>IF(A17="","",INDEX(tbl_base_energia[CDD_15],MATCH(A17,tbl_base_energia[Mes],0)))</f>
        <v>0</v>
      </c>
      <c r="F17" s="15">
        <f t="shared" si="0"/>
        <v>591023.86673845723</v>
      </c>
      <c r="G17" s="15">
        <f t="shared" si="1"/>
        <v>-861.86673845723271</v>
      </c>
      <c r="H17" s="15">
        <f>IF(A17="","",SUM($G$5:G17))</f>
        <v>-861.86673845752375</v>
      </c>
      <c r="I17" s="18">
        <f t="shared" si="2"/>
        <v>1.4582604645281274E-3</v>
      </c>
      <c r="J17" s="17" t="str">
        <f t="shared" si="3"/>
        <v>Sim</v>
      </c>
      <c r="K17" s="17" t="str">
        <f t="shared" si="4"/>
        <v>Dentro da incerteza</v>
      </c>
      <c r="L17" s="16">
        <f>IF(A17="","",INDEX(tbl_base_energia[kWh_Total],MATCH(A17,tbl_base_energia[Mes],0))/(INDEX(tbl_base_energia[Unid_INJ],MATCH(A17,tbl_base_energia[Mes],0))+INDEX(tbl_base_energia[Unid_SOP],MATCH(A17,tbl_base_energia[Mes],0)))*1000)</f>
        <v>108.74410893095005</v>
      </c>
      <c r="M17" s="16">
        <f>IF(A17="","",INDEX(tbl_base_energia[kWh_SOP],MATCH(A17,tbl_base_energia[Mes],0))/INDEX(tbl_base_energia[Unid_SOP],MATCH(A17,tbl_base_energia[Mes],0))*1000)</f>
        <v>117.45053821156401</v>
      </c>
      <c r="N17" s="16">
        <f>IF(A17="","",INDEX(tbl_base_energia[kWh_INJ],MATCH(A17,tbl_base_energia[Mes],0))/INDEX(tbl_base_energia[Unid_INJ],MATCH(A17,tbl_base_energia[Mes],0))*1000)</f>
        <v>46.005584534966083</v>
      </c>
      <c r="O17" s="18">
        <f t="shared" si="5"/>
        <v>0.15905977771864774</v>
      </c>
      <c r="P17" s="19">
        <f>IF(A17="","",INDEX(tbl_base_energia[kWh_UTL_FRIO],MATCH(A17,tbl_base_energia[Mes],0))/(INDEX(tbl_base_energia[kWh_INJ],MATCH(A17,tbl_base_energia[Mes],0))+INDEX(tbl_base_energia[kWh_SOP],MATCH(A17,tbl_base_energia[Mes],0))))</f>
        <v>9.2082791860227747E-2</v>
      </c>
      <c r="Q17" s="19">
        <f>IF(A17="","",INDEX(tbl_base_energia[kWh_UTL_AR],MATCH(A17,tbl_base_energia[Mes],0))/(INDEX(tbl_base_energia[kWh_INJ],MATCH(A17,tbl_base_energia[Mes],0))+INDEX(tbl_base_energia[kWh_SOP],MATCH(A17,tbl_base_energia[Mes],0))+INDEX(tbl_base_energia[kWh_SER],MATCH(A17,tbl_base_energia[Mes],0))+INDEX(tbl_base_energia[kWh_HFS],MATCH(A17,tbl_base_energia[Mes],0))))</f>
        <v>0.18914525075354099</v>
      </c>
      <c r="R17" s="16">
        <f>IF(A17="","",INDEX(tbl_base_energia[Energia_Final_MWh],MATCH(A17,tbl_base_energia[Mes],0)))</f>
        <v>592.60500000000002</v>
      </c>
    </row>
    <row r="18" spans="1:18" ht="16.05" customHeight="1" x14ac:dyDescent="0.3">
      <c r="A18" s="10">
        <v>46113</v>
      </c>
      <c r="B18" s="17" t="str">
        <f>IF(A18="","",INDEX(tbl_base_energia[Periodo],MATCH(A18,tbl_base_energia[Mes],0)))</f>
        <v>Reporte</v>
      </c>
      <c r="C18" s="15">
        <f>IF(A18="","",INDEX(tbl_base_energia[kWh_Total],MATCH(A18,tbl_base_energia[Mes],0))-INDEX(tbl_base_energia[kWh_Maquinas_Novas],MATCH(A18,tbl_base_energia[Mes],0)))</f>
        <v>554352</v>
      </c>
      <c r="D18" s="15">
        <f>IF(A18="","",(INDEX(tbl_base_energia[Unid_INJ],MATCH(A18,tbl_base_energia[Mes],0))+INDEX(tbl_base_energia[Unid_SOP],MATCH(A18,tbl_base_energia[Mes],0))-INDEX(tbl_base_energia[Unid_Maquinas_Novas],MATCH(A18,tbl_base_energia[Mes],0)))/1000)</f>
        <v>4961.9530000000004</v>
      </c>
      <c r="E18" s="16">
        <f>IF(A18="","",INDEX(tbl_base_energia[CDD_15],MATCH(A18,tbl_base_energia[Mes],0)))</f>
        <v>0</v>
      </c>
      <c r="F18" s="15">
        <f t="shared" si="0"/>
        <v>548416.21887883288</v>
      </c>
      <c r="G18" s="15">
        <f t="shared" si="1"/>
        <v>5935.7811211671215</v>
      </c>
      <c r="H18" s="15">
        <f>IF(A18="","",SUM($G$5:G18))</f>
        <v>5073.9143827095977</v>
      </c>
      <c r="I18" s="18">
        <f t="shared" si="2"/>
        <v>-1.0823496674299805E-2</v>
      </c>
      <c r="J18" s="17" t="str">
        <f t="shared" si="3"/>
        <v>Sim</v>
      </c>
      <c r="K18" s="17" t="str">
        <f t="shared" si="4"/>
        <v>Dentro da incerteza</v>
      </c>
      <c r="L18" s="16">
        <f>IF(A18="","",INDEX(tbl_base_energia[kWh_Total],MATCH(A18,tbl_base_energia[Mes],0))/(INDEX(tbl_base_energia[Unid_INJ],MATCH(A18,tbl_base_energia[Mes],0))+INDEX(tbl_base_energia[Unid_SOP],MATCH(A18,tbl_base_energia[Mes],0)))*1000)</f>
        <v>111.72052617185209</v>
      </c>
      <c r="M18" s="16">
        <f>IF(A18="","",INDEX(tbl_base_energia[kWh_SOP],MATCH(A18,tbl_base_energia[Mes],0))/INDEX(tbl_base_energia[Unid_SOP],MATCH(A18,tbl_base_energia[Mes],0))*1000)</f>
        <v>119.98937716854492</v>
      </c>
      <c r="N18" s="16">
        <f>IF(A18="","",INDEX(tbl_base_energia[kWh_INJ],MATCH(A18,tbl_base_energia[Mes],0))/INDEX(tbl_base_energia[Unid_INJ],MATCH(A18,tbl_base_energia[Mes],0))*1000)</f>
        <v>47.477740914344331</v>
      </c>
      <c r="O18" s="18">
        <f t="shared" si="5"/>
        <v>0.16933471248952395</v>
      </c>
      <c r="P18" s="19">
        <f>IF(A18="","",INDEX(tbl_base_energia[kWh_UTL_FRIO],MATCH(A18,tbl_base_energia[Mes],0))/(INDEX(tbl_base_energia[kWh_INJ],MATCH(A18,tbl_base_energia[Mes],0))+INDEX(tbl_base_energia[kWh_SOP],MATCH(A18,tbl_base_energia[Mes],0))))</f>
        <v>9.7954243668628621E-2</v>
      </c>
      <c r="Q18" s="19">
        <f>IF(A18="","",INDEX(tbl_base_energia[kWh_UTL_AR],MATCH(A18,tbl_base_energia[Mes],0))/(INDEX(tbl_base_energia[kWh_INJ],MATCH(A18,tbl_base_energia[Mes],0))+INDEX(tbl_base_energia[kWh_SOP],MATCH(A18,tbl_base_energia[Mes],0))+INDEX(tbl_base_energia[kWh_SER],MATCH(A18,tbl_base_energia[Mes],0))+INDEX(tbl_base_energia[kWh_HFS],MATCH(A18,tbl_base_energia[Mes],0))))</f>
        <v>0.19641419888429407</v>
      </c>
      <c r="R18" s="16">
        <f>IF(A18="","",INDEX(tbl_base_energia[Energia_Final_MWh],MATCH(A18,tbl_base_energia[Mes],0)))</f>
        <v>556.80700000000002</v>
      </c>
    </row>
    <row r="19" spans="1:18" ht="16.05" customHeight="1" x14ac:dyDescent="0.3">
      <c r="A19" s="10">
        <v>46143</v>
      </c>
      <c r="B19" s="17" t="str">
        <f>IF(A19="","",INDEX(tbl_base_energia[Periodo],MATCH(A19,tbl_base_energia[Mes],0)))</f>
        <v>Reporte</v>
      </c>
      <c r="C19" s="15">
        <f>IF(A19="","",INDEX(tbl_base_energia[kWh_Total],MATCH(A19,tbl_base_energia[Mes],0))-INDEX(tbl_base_energia[kWh_Maquinas_Novas],MATCH(A19,tbl_base_energia[Mes],0)))</f>
        <v>588371</v>
      </c>
      <c r="D19" s="15">
        <f>IF(A19="","",(INDEX(tbl_base_energia[Unid_INJ],MATCH(A19,tbl_base_energia[Mes],0))+INDEX(tbl_base_energia[Unid_SOP],MATCH(A19,tbl_base_energia[Mes],0))-INDEX(tbl_base_energia[Unid_Maquinas_Novas],MATCH(A19,tbl_base_energia[Mes],0)))/1000)</f>
        <v>5248.0649999999996</v>
      </c>
      <c r="E19" s="16">
        <f>IF(A19="","",INDEX(tbl_base_energia[CDD_15],MATCH(A19,tbl_base_energia[Mes],0)))</f>
        <v>80.599999999999994</v>
      </c>
      <c r="F19" s="15">
        <f t="shared" si="0"/>
        <v>579176.8558666613</v>
      </c>
      <c r="G19" s="15">
        <f t="shared" si="1"/>
        <v>9194.1441333387047</v>
      </c>
      <c r="H19" s="15">
        <f>IF(A19="","",SUM($G$5:G19))</f>
        <v>14268.058516048302</v>
      </c>
      <c r="I19" s="18">
        <f t="shared" si="2"/>
        <v>-1.5874501959476418E-2</v>
      </c>
      <c r="J19" s="17" t="str">
        <f t="shared" si="3"/>
        <v>Sim</v>
      </c>
      <c r="K19" s="17" t="str">
        <f t="shared" si="4"/>
        <v>Dentro da incerteza</v>
      </c>
      <c r="L19" s="16">
        <f>IF(A19="","",INDEX(tbl_base_energia[kWh_Total],MATCH(A19,tbl_base_energia[Mes],0))/(INDEX(tbl_base_energia[Unid_INJ],MATCH(A19,tbl_base_energia[Mes],0))+INDEX(tbl_base_energia[Unid_SOP],MATCH(A19,tbl_base_energia[Mes],0)))*1000)</f>
        <v>112.11198794222251</v>
      </c>
      <c r="M19" s="16">
        <f>IF(A19="","",INDEX(tbl_base_energia[kWh_SOP],MATCH(A19,tbl_base_energia[Mes],0))/INDEX(tbl_base_energia[Unid_SOP],MATCH(A19,tbl_base_energia[Mes],0))*1000)</f>
        <v>116.92900644181617</v>
      </c>
      <c r="N19" s="16">
        <f>IF(A19="","",INDEX(tbl_base_energia[kWh_INJ],MATCH(A19,tbl_base_energia[Mes],0))/INDEX(tbl_base_energia[Unid_INJ],MATCH(A19,tbl_base_energia[Mes],0))*1000)</f>
        <v>49.565077690717899</v>
      </c>
      <c r="O19" s="18">
        <f t="shared" si="5"/>
        <v>0.15954395532409413</v>
      </c>
      <c r="P19" s="19">
        <f>IF(A19="","",INDEX(tbl_base_energia[kWh_UTL_FRIO],MATCH(A19,tbl_base_energia[Mes],0))/(INDEX(tbl_base_energia[kWh_INJ],MATCH(A19,tbl_base_energia[Mes],0))+INDEX(tbl_base_energia[kWh_SOP],MATCH(A19,tbl_base_energia[Mes],0))))</f>
        <v>0.10882254479736414</v>
      </c>
      <c r="Q19" s="19">
        <f>IF(A19="","",INDEX(tbl_base_energia[kWh_UTL_AR],MATCH(A19,tbl_base_energia[Mes],0))/(INDEX(tbl_base_energia[kWh_INJ],MATCH(A19,tbl_base_energia[Mes],0))+INDEX(tbl_base_energia[kWh_SOP],MATCH(A19,tbl_base_energia[Mes],0))+INDEX(tbl_base_energia[kWh_SER],MATCH(A19,tbl_base_energia[Mes],0))+INDEX(tbl_base_energia[kWh_HFS],MATCH(A19,tbl_base_energia[Mes],0))))</f>
        <v>0.18674885972548025</v>
      </c>
      <c r="R19" s="16">
        <f>IF(A19="","",INDEX(tbl_base_energia[Energia_Final_MWh],MATCH(A19,tbl_base_energia[Mes],0)))</f>
        <v>591.51599999999996</v>
      </c>
    </row>
    <row r="20" spans="1:18" ht="16.05" customHeight="1" x14ac:dyDescent="0.3">
      <c r="A20" s="10">
        <v>46174</v>
      </c>
      <c r="B20" s="17" t="str">
        <f>IF(A20="","",INDEX(tbl_base_energia[Periodo],MATCH(A20,tbl_base_energia[Mes],0)))</f>
        <v>Reporte</v>
      </c>
      <c r="C20" s="15">
        <f>IF(A20="","",INDEX(tbl_base_energia[kWh_Total],MATCH(A20,tbl_base_energia[Mes],0))-INDEX(tbl_base_energia[kWh_Maquinas_Novas],MATCH(A20,tbl_base_energia[Mes],0)))</f>
        <v>568979</v>
      </c>
      <c r="D20" s="15">
        <f>IF(A20="","",(INDEX(tbl_base_energia[Unid_INJ],MATCH(A20,tbl_base_energia[Mes],0))+INDEX(tbl_base_energia[Unid_SOP],MATCH(A20,tbl_base_energia[Mes],0))-INDEX(tbl_base_energia[Unid_Maquinas_Novas],MATCH(A20,tbl_base_energia[Mes],0)))/1000)</f>
        <v>5074.9960000000001</v>
      </c>
      <c r="E20" s="16">
        <f>IF(A20="","",INDEX(tbl_base_energia[CDD_15],MATCH(A20,tbl_base_energia[Mes],0)))</f>
        <v>189</v>
      </c>
      <c r="F20" s="15">
        <f t="shared" si="0"/>
        <v>569443.42100683029</v>
      </c>
      <c r="G20" s="15">
        <f t="shared" si="1"/>
        <v>-464.42100683029275</v>
      </c>
      <c r="H20" s="15">
        <f>IF(A20="","",SUM($G$5:G20))</f>
        <v>13803.63750921801</v>
      </c>
      <c r="I20" s="18">
        <f t="shared" si="2"/>
        <v>8.1557006314894663E-4</v>
      </c>
      <c r="J20" s="17" t="str">
        <f t="shared" si="3"/>
        <v>Sim</v>
      </c>
      <c r="K20" s="17" t="str">
        <f t="shared" si="4"/>
        <v>Dentro da incerteza</v>
      </c>
      <c r="L20" s="16">
        <f>IF(A20="","",INDEX(tbl_base_energia[kWh_Total],MATCH(A20,tbl_base_energia[Mes],0))/(INDEX(tbl_base_energia[Unid_INJ],MATCH(A20,tbl_base_energia[Mes],0))+INDEX(tbl_base_energia[Unid_SOP],MATCH(A20,tbl_base_energia[Mes],0)))*1000)</f>
        <v>112.11417703580456</v>
      </c>
      <c r="M20" s="16">
        <f>IF(A20="","",INDEX(tbl_base_energia[kWh_SOP],MATCH(A20,tbl_base_energia[Mes],0))/INDEX(tbl_base_energia[Unid_SOP],MATCH(A20,tbl_base_energia[Mes],0))*1000)</f>
        <v>111.34332009210365</v>
      </c>
      <c r="N20" s="16">
        <f>IF(A20="","",INDEX(tbl_base_energia[kWh_INJ],MATCH(A20,tbl_base_energia[Mes],0))/INDEX(tbl_base_energia[Unid_INJ],MATCH(A20,tbl_base_energia[Mes],0))*1000)</f>
        <v>49.473183883887245</v>
      </c>
      <c r="O20" s="18">
        <f t="shared" si="5"/>
        <v>0.16498154859492631</v>
      </c>
      <c r="P20" s="19">
        <f>IF(A20="","",INDEX(tbl_base_energia[kWh_UTL_FRIO],MATCH(A20,tbl_base_energia[Mes],0))/(INDEX(tbl_base_energia[kWh_INJ],MATCH(A20,tbl_base_energia[Mes],0))+INDEX(tbl_base_energia[kWh_SOP],MATCH(A20,tbl_base_energia[Mes],0))))</f>
        <v>0.13430697757856996</v>
      </c>
      <c r="Q20" s="19">
        <f>IF(A20="","",INDEX(tbl_base_energia[kWh_UTL_AR],MATCH(A20,tbl_base_energia[Mes],0))/(INDEX(tbl_base_energia[kWh_INJ],MATCH(A20,tbl_base_energia[Mes],0))+INDEX(tbl_base_energia[kWh_SOP],MATCH(A20,tbl_base_energia[Mes],0))+INDEX(tbl_base_energia[kWh_SER],MATCH(A20,tbl_base_energia[Mes],0))+INDEX(tbl_base_energia[kWh_HFS],MATCH(A20,tbl_base_energia[Mes],0))))</f>
        <v>0.19046636089476043</v>
      </c>
      <c r="R20" s="16">
        <f>IF(A20="","",INDEX(tbl_base_energia[Energia_Final_MWh],MATCH(A20,tbl_base_energia[Mes],0)))</f>
        <v>571.80899999999997</v>
      </c>
    </row>
    <row r="21" spans="1:18" ht="16.05" customHeight="1" x14ac:dyDescent="0.3">
      <c r="A21" s="10">
        <v>46204</v>
      </c>
      <c r="B21" s="17" t="str">
        <f>IF(A21="","",INDEX(tbl_base_energia[Periodo],MATCH(A21,tbl_base_energia[Mes],0)))</f>
        <v>Reporte</v>
      </c>
      <c r="C21" s="15">
        <f>IF(A21="","",INDEX(tbl_base_energia[kWh_Total],MATCH(A21,tbl_base_energia[Mes],0))-INDEX(tbl_base_energia[kWh_Maquinas_Novas],MATCH(A21,tbl_base_energia[Mes],0)))</f>
        <v>578760</v>
      </c>
      <c r="D21" s="15">
        <f>IF(A21="","",(INDEX(tbl_base_energia[Unid_INJ],MATCH(A21,tbl_base_energia[Mes],0))+INDEX(tbl_base_energia[Unid_SOP],MATCH(A21,tbl_base_energia[Mes],0))-INDEX(tbl_base_energia[Unid_Maquinas_Novas],MATCH(A21,tbl_base_energia[Mes],0)))/1000)</f>
        <v>5246.3559999999998</v>
      </c>
      <c r="E21" s="16">
        <f>IF(A21="","",INDEX(tbl_base_energia[CDD_15],MATCH(A21,tbl_base_energia[Mes],0)))</f>
        <v>257.3</v>
      </c>
      <c r="F21" s="15">
        <f t="shared" si="0"/>
        <v>588997.56212170306</v>
      </c>
      <c r="G21" s="15">
        <f t="shared" si="1"/>
        <v>-10237.562121703057</v>
      </c>
      <c r="H21" s="15">
        <f>IF(A21="","",SUM($G$5:G21))</f>
        <v>3566.075387514953</v>
      </c>
      <c r="I21" s="18">
        <f t="shared" si="2"/>
        <v>1.7381331910483688E-2</v>
      </c>
      <c r="J21" s="17" t="str">
        <f t="shared" si="3"/>
        <v>Sim</v>
      </c>
      <c r="K21" s="17" t="str">
        <f t="shared" si="4"/>
        <v>Dentro da incerteza</v>
      </c>
      <c r="L21" s="16">
        <f>IF(A21="","",INDEX(tbl_base_energia[kWh_Total],MATCH(A21,tbl_base_energia[Mes],0))/(INDEX(tbl_base_energia[Unid_INJ],MATCH(A21,tbl_base_energia[Mes],0))+INDEX(tbl_base_energia[Unid_SOP],MATCH(A21,tbl_base_energia[Mes],0)))*1000)</f>
        <v>106.90777126287117</v>
      </c>
      <c r="M21" s="16">
        <f>IF(A21="","",INDEX(tbl_base_energia[kWh_SOP],MATCH(A21,tbl_base_energia[Mes],0))/INDEX(tbl_base_energia[Unid_SOP],MATCH(A21,tbl_base_energia[Mes],0))*1000)</f>
        <v>120.62027927175663</v>
      </c>
      <c r="N21" s="16">
        <f>IF(A21="","",INDEX(tbl_base_energia[kWh_INJ],MATCH(A21,tbl_base_energia[Mes],0))/INDEX(tbl_base_energia[Unid_INJ],MATCH(A21,tbl_base_energia[Mes],0))*1000)</f>
        <v>46.234062333145118</v>
      </c>
      <c r="O21" s="18">
        <f t="shared" si="5"/>
        <v>0.16219337296632902</v>
      </c>
      <c r="P21" s="19">
        <f>IF(A21="","",INDEX(tbl_base_energia[kWh_UTL_FRIO],MATCH(A21,tbl_base_energia[Mes],0))/(INDEX(tbl_base_energia[kWh_INJ],MATCH(A21,tbl_base_energia[Mes],0))+INDEX(tbl_base_energia[kWh_SOP],MATCH(A21,tbl_base_energia[Mes],0))))</f>
        <v>0.14349804340457875</v>
      </c>
      <c r="Q21" s="19">
        <f>IF(A21="","",INDEX(tbl_base_energia[kWh_UTL_AR],MATCH(A21,tbl_base_energia[Mes],0))/(INDEX(tbl_base_energia[kWh_INJ],MATCH(A21,tbl_base_energia[Mes],0))+INDEX(tbl_base_energia[kWh_SOP],MATCH(A21,tbl_base_energia[Mes],0))+INDEX(tbl_base_energia[kWh_SER],MATCH(A21,tbl_base_energia[Mes],0))+INDEX(tbl_base_energia[kWh_HFS],MATCH(A21,tbl_base_energia[Mes],0))))</f>
        <v>0.19782104149680216</v>
      </c>
      <c r="R21" s="16">
        <f>IF(A21="","",INDEX(tbl_base_energia[Energia_Final_MWh],MATCH(A21,tbl_base_energia[Mes],0)))</f>
        <v>730.84900000000005</v>
      </c>
    </row>
    <row r="22" spans="1:18" ht="16.05" customHeight="1" x14ac:dyDescent="0.3">
      <c r="A22" s="10">
        <v>46235</v>
      </c>
      <c r="B22" s="17" t="str">
        <f>IF(A22="","",INDEX(tbl_base_energia[Periodo],MATCH(A22,tbl_base_energia[Mes],0)))</f>
        <v>Reporte</v>
      </c>
      <c r="C22" s="15">
        <f>IF(A22="","",INDEX(tbl_base_energia[kWh_Total],MATCH(A22,tbl_base_energia[Mes],0))-INDEX(tbl_base_energia[kWh_Maquinas_Novas],MATCH(A22,tbl_base_energia[Mes],0)))</f>
        <v>617246</v>
      </c>
      <c r="D22" s="15">
        <f>IF(A22="","",(INDEX(tbl_base_energia[Unid_INJ],MATCH(A22,tbl_base_energia[Mes],0))+INDEX(tbl_base_energia[Unid_SOP],MATCH(A22,tbl_base_energia[Mes],0))-INDEX(tbl_base_energia[Unid_Maquinas_Novas],MATCH(A22,tbl_base_energia[Mes],0)))/1000)</f>
        <v>5344.8980000000001</v>
      </c>
      <c r="E22" s="16">
        <f>IF(A22="","",INDEX(tbl_base_energia[CDD_15],MATCH(A22,tbl_base_energia[Mes],0)))</f>
        <v>279</v>
      </c>
      <c r="F22" s="15">
        <f t="shared" si="0"/>
        <v>599249.88849501091</v>
      </c>
      <c r="G22" s="15">
        <f t="shared" si="1"/>
        <v>17996.111504989094</v>
      </c>
      <c r="H22" s="15">
        <f>IF(A22="","",SUM($G$5:G22))</f>
        <v>21562.186892504047</v>
      </c>
      <c r="I22" s="18">
        <f t="shared" si="2"/>
        <v>-3.0031063585486045E-2</v>
      </c>
      <c r="J22" s="17" t="str">
        <f t="shared" si="3"/>
        <v>Não</v>
      </c>
      <c r="K22" s="17" t="str">
        <f t="shared" si="4"/>
        <v>Fora do domínio</v>
      </c>
      <c r="L22" s="16">
        <f>IF(A22="","",INDEX(tbl_base_energia[kWh_Total],MATCH(A22,tbl_base_energia[Mes],0))/(INDEX(tbl_base_energia[Unid_INJ],MATCH(A22,tbl_base_energia[Mes],0))+INDEX(tbl_base_energia[Unid_SOP],MATCH(A22,tbl_base_energia[Mes],0)))*1000)</f>
        <v>108.5693765911134</v>
      </c>
      <c r="M22" s="16">
        <f>IF(A22="","",INDEX(tbl_base_energia[kWh_SOP],MATCH(A22,tbl_base_energia[Mes],0))/INDEX(tbl_base_energia[Unid_SOP],MATCH(A22,tbl_base_energia[Mes],0))*1000)</f>
        <v>117.63661614727067</v>
      </c>
      <c r="N22" s="16">
        <f>IF(A22="","",INDEX(tbl_base_energia[kWh_INJ],MATCH(A22,tbl_base_energia[Mes],0))/INDEX(tbl_base_energia[Unid_INJ],MATCH(A22,tbl_base_energia[Mes],0))*1000)</f>
        <v>48.291923630296601</v>
      </c>
      <c r="O22" s="18">
        <f t="shared" si="5"/>
        <v>0.15208042909632882</v>
      </c>
      <c r="P22" s="19">
        <f>IF(A22="","",INDEX(tbl_base_energia[kWh_UTL_FRIO],MATCH(A22,tbl_base_energia[Mes],0))/(INDEX(tbl_base_energia[kWh_INJ],MATCH(A22,tbl_base_energia[Mes],0))+INDEX(tbl_base_energia[kWh_SOP],MATCH(A22,tbl_base_energia[Mes],0))))</f>
        <v>0.13970055231135495</v>
      </c>
      <c r="Q22" s="19">
        <f>IF(A22="","",INDEX(tbl_base_energia[kWh_UTL_AR],MATCH(A22,tbl_base_energia[Mes],0))/(INDEX(tbl_base_energia[kWh_INJ],MATCH(A22,tbl_base_energia[Mes],0))+INDEX(tbl_base_energia[kWh_SOP],MATCH(A22,tbl_base_energia[Mes],0))+INDEX(tbl_base_energia[kWh_SER],MATCH(A22,tbl_base_energia[Mes],0))+INDEX(tbl_base_energia[kWh_HFS],MATCH(A22,tbl_base_energia[Mes],0))))</f>
        <v>0.19336023471189745</v>
      </c>
      <c r="R22" s="16">
        <f>IF(A22="","",INDEX(tbl_base_energia[Energia_Final_MWh],MATCH(A22,tbl_base_energia[Mes],0)))</f>
        <v>807.84</v>
      </c>
    </row>
    <row r="23" spans="1:18" ht="16.05" customHeight="1" x14ac:dyDescent="0.3">
      <c r="A23" s="10">
        <v>46266</v>
      </c>
      <c r="B23" s="17" t="str">
        <f>IF(A23="","",INDEX(tbl_base_energia[Periodo],MATCH(A23,tbl_base_energia[Mes],0)))</f>
        <v>Reporte</v>
      </c>
      <c r="C23" s="15">
        <f>IF(A23="","",INDEX(tbl_base_energia[kWh_Total],MATCH(A23,tbl_base_energia[Mes],0))-INDEX(tbl_base_energia[kWh_Maquinas_Novas],MATCH(A23,tbl_base_energia[Mes],0)))</f>
        <v>564131</v>
      </c>
      <c r="D23" s="15">
        <f>IF(A23="","",(INDEX(tbl_base_energia[Unid_INJ],MATCH(A23,tbl_base_energia[Mes],0))+INDEX(tbl_base_energia[Unid_SOP],MATCH(A23,tbl_base_energia[Mes],0))-INDEX(tbl_base_energia[Unid_Maquinas_Novas],MATCH(A23,tbl_base_energia[Mes],0)))/1000)</f>
        <v>5134.51</v>
      </c>
      <c r="E23" s="16">
        <f>IF(A23="","",INDEX(tbl_base_energia[CDD_15],MATCH(A23,tbl_base_energia[Mes],0)))</f>
        <v>198</v>
      </c>
      <c r="F23" s="15">
        <f t="shared" si="0"/>
        <v>575403.44635947968</v>
      </c>
      <c r="G23" s="15">
        <f t="shared" si="1"/>
        <v>-11272.446359479683</v>
      </c>
      <c r="H23" s="15">
        <f>IF(A23="","",SUM($G$5:G23))</f>
        <v>10289.740533024364</v>
      </c>
      <c r="I23" s="18">
        <f t="shared" si="2"/>
        <v>1.959050893907454E-2</v>
      </c>
      <c r="J23" s="17" t="str">
        <f t="shared" si="3"/>
        <v>Sim</v>
      </c>
      <c r="K23" s="17" t="str">
        <f t="shared" si="4"/>
        <v>Dentro da incerteza</v>
      </c>
      <c r="L23" s="16">
        <f>IF(A23="","",INDEX(tbl_base_energia[kWh_Total],MATCH(A23,tbl_base_energia[Mes],0))/(INDEX(tbl_base_energia[Unid_INJ],MATCH(A23,tbl_base_energia[Mes],0))+INDEX(tbl_base_energia[Unid_SOP],MATCH(A23,tbl_base_energia[Mes],0)))*1000)</f>
        <v>106.04315685098022</v>
      </c>
      <c r="M23" s="16">
        <f>IF(A23="","",INDEX(tbl_base_energia[kWh_SOP],MATCH(A23,tbl_base_energia[Mes],0))/INDEX(tbl_base_energia[Unid_SOP],MATCH(A23,tbl_base_energia[Mes],0))*1000)</f>
        <v>115.54260151565477</v>
      </c>
      <c r="N23" s="16">
        <f>IF(A23="","",INDEX(tbl_base_energia[kWh_INJ],MATCH(A23,tbl_base_energia[Mes],0))/INDEX(tbl_base_energia[Unid_INJ],MATCH(A23,tbl_base_energia[Mes],0))*1000)</f>
        <v>46.930025067068556</v>
      </c>
      <c r="O23" s="18">
        <f t="shared" si="5"/>
        <v>0.16639935854968541</v>
      </c>
      <c r="P23" s="19">
        <f>IF(A23="","",INDEX(tbl_base_energia[kWh_UTL_FRIO],MATCH(A23,tbl_base_energia[Mes],0))/(INDEX(tbl_base_energia[kWh_INJ],MATCH(A23,tbl_base_energia[Mes],0))+INDEX(tbl_base_energia[kWh_SOP],MATCH(A23,tbl_base_energia[Mes],0))))</f>
        <v>0.13324266469234361</v>
      </c>
      <c r="Q23" s="19">
        <f>IF(A23="","",INDEX(tbl_base_energia[kWh_UTL_AR],MATCH(A23,tbl_base_energia[Mes],0))/(INDEX(tbl_base_energia[kWh_INJ],MATCH(A23,tbl_base_energia[Mes],0))+INDEX(tbl_base_energia[kWh_SOP],MATCH(A23,tbl_base_energia[Mes],0))+INDEX(tbl_base_energia[kWh_SER],MATCH(A23,tbl_base_energia[Mes],0))+INDEX(tbl_base_energia[kWh_HFS],MATCH(A23,tbl_base_energia[Mes],0))))</f>
        <v>0.18261005206559847</v>
      </c>
      <c r="R23" s="16">
        <f>IF(A23="","",INDEX(tbl_base_energia[Energia_Final_MWh],MATCH(A23,tbl_base_energia[Mes],0)))</f>
        <v>739.76</v>
      </c>
    </row>
    <row r="24" spans="1:18" ht="16.05" customHeight="1" x14ac:dyDescent="0.3">
      <c r="A24" s="10">
        <v>46296</v>
      </c>
      <c r="B24" s="17" t="str">
        <f>IF(A24="","",INDEX(tbl_base_energia[Periodo],MATCH(A24,tbl_base_energia[Mes],0)))</f>
        <v>Reporte</v>
      </c>
      <c r="C24" s="15">
        <f>IF(A24="","",INDEX(tbl_base_energia[kWh_Total],MATCH(A24,tbl_base_energia[Mes],0))-INDEX(tbl_base_energia[kWh_Maquinas_Novas],MATCH(A24,tbl_base_energia[Mes],0)))</f>
        <v>560024</v>
      </c>
      <c r="D24" s="15">
        <f>IF(A24="","",(INDEX(tbl_base_energia[Unid_INJ],MATCH(A24,tbl_base_energia[Mes],0))+INDEX(tbl_base_energia[Unid_SOP],MATCH(A24,tbl_base_energia[Mes],0))-INDEX(tbl_base_energia[Unid_Maquinas_Novas],MATCH(A24,tbl_base_energia[Mes],0)))/1000)</f>
        <v>5351.0820000000003</v>
      </c>
      <c r="E24" s="16">
        <f>IF(A24="","",INDEX(tbl_base_energia[CDD_15],MATCH(A24,tbl_base_energia[Mes],0)))</f>
        <v>99.2</v>
      </c>
      <c r="F24" s="15">
        <f t="shared" si="0"/>
        <v>589664.07988698268</v>
      </c>
      <c r="G24" s="15">
        <f t="shared" si="1"/>
        <v>-29640.079886982683</v>
      </c>
      <c r="H24" s="15">
        <f>IF(A24="","",SUM($G$5:G24))</f>
        <v>-19350.339353958319</v>
      </c>
      <c r="I24" s="18">
        <f t="shared" si="2"/>
        <v>5.0266042816553481E-2</v>
      </c>
      <c r="J24" s="17" t="str">
        <f t="shared" si="3"/>
        <v>Sim</v>
      </c>
      <c r="K24" s="17" t="str">
        <f t="shared" si="4"/>
        <v>Dentro da incerteza</v>
      </c>
      <c r="L24" s="16">
        <f>IF(A24="","",INDEX(tbl_base_energia[kWh_Total],MATCH(A24,tbl_base_energia[Mes],0))/(INDEX(tbl_base_energia[Unid_INJ],MATCH(A24,tbl_base_energia[Mes],0))+INDEX(tbl_base_energia[Unid_SOP],MATCH(A24,tbl_base_energia[Mes],0)))*1000)</f>
        <v>99.954678950292788</v>
      </c>
      <c r="M24" s="16">
        <f>IF(A24="","",INDEX(tbl_base_energia[kWh_SOP],MATCH(A24,tbl_base_energia[Mes],0))/INDEX(tbl_base_energia[Unid_SOP],MATCH(A24,tbl_base_energia[Mes],0))*1000)</f>
        <v>108.7768862245135</v>
      </c>
      <c r="N24" s="16">
        <f>IF(A24="","",INDEX(tbl_base_energia[kWh_INJ],MATCH(A24,tbl_base_energia[Mes],0))/INDEX(tbl_base_energia[Unid_INJ],MATCH(A24,tbl_base_energia[Mes],0))*1000)</f>
        <v>47.48848422483352</v>
      </c>
      <c r="O24" s="18">
        <f t="shared" si="5"/>
        <v>0.16761966726067556</v>
      </c>
      <c r="P24" s="19">
        <f>IF(A24="","",INDEX(tbl_base_energia[kWh_UTL_FRIO],MATCH(A24,tbl_base_energia[Mes],0))/(INDEX(tbl_base_energia[kWh_INJ],MATCH(A24,tbl_base_energia[Mes],0))+INDEX(tbl_base_energia[kWh_SOP],MATCH(A24,tbl_base_energia[Mes],0))))</f>
        <v>0.11710810128058141</v>
      </c>
      <c r="Q24" s="19">
        <f>IF(A24="","",INDEX(tbl_base_energia[kWh_UTL_AR],MATCH(A24,tbl_base_energia[Mes],0))/(INDEX(tbl_base_energia[kWh_INJ],MATCH(A24,tbl_base_energia[Mes],0))+INDEX(tbl_base_energia[kWh_SOP],MATCH(A24,tbl_base_energia[Mes],0))+INDEX(tbl_base_energia[kWh_SER],MATCH(A24,tbl_base_energia[Mes],0))+INDEX(tbl_base_energia[kWh_HFS],MATCH(A24,tbl_base_energia[Mes],0))))</f>
        <v>0.18266950395972176</v>
      </c>
      <c r="R24" s="16">
        <f>IF(A24="","",INDEX(tbl_base_energia[Energia_Final_MWh],MATCH(A24,tbl_base_energia[Mes],0)))</f>
        <v>744.69899999999996</v>
      </c>
    </row>
    <row r="25" spans="1:18" ht="16.05" customHeight="1" x14ac:dyDescent="0.3">
      <c r="A25" s="10">
        <v>46327</v>
      </c>
      <c r="B25" s="17" t="str">
        <f>IF(A25="","",INDEX(tbl_base_energia[Periodo],MATCH(A25,tbl_base_energia[Mes],0)))</f>
        <v>Reporte</v>
      </c>
      <c r="C25" s="15">
        <f>IF(A25="","",INDEX(tbl_base_energia[kWh_Total],MATCH(A25,tbl_base_energia[Mes],0))-INDEX(tbl_base_energia[kWh_Maquinas_Novas],MATCH(A25,tbl_base_energia[Mes],0)))</f>
        <v>528725</v>
      </c>
      <c r="D25" s="15">
        <f>IF(A25="","",(INDEX(tbl_base_energia[Unid_INJ],MATCH(A25,tbl_base_energia[Mes],0))+INDEX(tbl_base_energia[Unid_SOP],MATCH(A25,tbl_base_energia[Mes],0))-INDEX(tbl_base_energia[Unid_Maquinas_Novas],MATCH(A25,tbl_base_energia[Mes],0)))/1000)</f>
        <v>4941.4049999999997</v>
      </c>
      <c r="E25" s="16">
        <f>IF(A25="","",INDEX(tbl_base_energia[CDD_15],MATCH(A25,tbl_base_energia[Mes],0)))</f>
        <v>0</v>
      </c>
      <c r="F25" s="15">
        <f t="shared" si="0"/>
        <v>546533.8966547529</v>
      </c>
      <c r="G25" s="15">
        <f t="shared" si="1"/>
        <v>-17808.896654752898</v>
      </c>
      <c r="H25" s="15">
        <f>IF(A25="","",SUM($G$5:G25))</f>
        <v>-37159.236008711217</v>
      </c>
      <c r="I25" s="18">
        <f t="shared" si="2"/>
        <v>3.2585164001278463E-2</v>
      </c>
      <c r="J25" s="17" t="str">
        <f t="shared" si="3"/>
        <v>Sim</v>
      </c>
      <c r="K25" s="17" t="str">
        <f t="shared" si="4"/>
        <v>Dentro da incerteza</v>
      </c>
      <c r="L25" s="16">
        <f>IF(A25="","",INDEX(tbl_base_energia[kWh_Total],MATCH(A25,tbl_base_energia[Mes],0))/(INDEX(tbl_base_energia[Unid_INJ],MATCH(A25,tbl_base_energia[Mes],0))+INDEX(tbl_base_energia[Unid_SOP],MATCH(A25,tbl_base_energia[Mes],0)))*1000)</f>
        <v>102.20959103915914</v>
      </c>
      <c r="M25" s="16">
        <f>IF(A25="","",INDEX(tbl_base_energia[kWh_SOP],MATCH(A25,tbl_base_energia[Mes],0))/INDEX(tbl_base_energia[Unid_SOP],MATCH(A25,tbl_base_energia[Mes],0))*1000)</f>
        <v>114.38349905716018</v>
      </c>
      <c r="N25" s="16">
        <f>IF(A25="","",INDEX(tbl_base_energia[kWh_INJ],MATCH(A25,tbl_base_energia[Mes],0))/INDEX(tbl_base_energia[Unid_INJ],MATCH(A25,tbl_base_energia[Mes],0))*1000)</f>
        <v>49.60427036726535</v>
      </c>
      <c r="O25" s="18">
        <f t="shared" si="5"/>
        <v>0.17754226968271328</v>
      </c>
      <c r="P25" s="19">
        <f>IF(A25="","",INDEX(tbl_base_energia[kWh_UTL_FRIO],MATCH(A25,tbl_base_energia[Mes],0))/(INDEX(tbl_base_energia[kWh_INJ],MATCH(A25,tbl_base_energia[Mes],0))+INDEX(tbl_base_energia[kWh_SOP],MATCH(A25,tbl_base_energia[Mes],0))))</f>
        <v>9.5373186237240976E-2</v>
      </c>
      <c r="Q25" s="19">
        <f>IF(A25="","",INDEX(tbl_base_energia[kWh_UTL_AR],MATCH(A25,tbl_base_energia[Mes],0))/(INDEX(tbl_base_energia[kWh_INJ],MATCH(A25,tbl_base_energia[Mes],0))+INDEX(tbl_base_energia[kWh_SOP],MATCH(A25,tbl_base_energia[Mes],0))+INDEX(tbl_base_energia[kWh_SER],MATCH(A25,tbl_base_energia[Mes],0))+INDEX(tbl_base_energia[kWh_HFS],MATCH(A25,tbl_base_energia[Mes],0))))</f>
        <v>0.16662647278423989</v>
      </c>
      <c r="R25" s="16">
        <f>IF(A25="","",INDEX(tbl_base_energia[Energia_Final_MWh],MATCH(A25,tbl_base_energia[Mes],0)))</f>
        <v>700.16499999999996</v>
      </c>
    </row>
    <row r="26" spans="1:18" ht="16.05" customHeight="1" x14ac:dyDescent="0.3">
      <c r="A26" s="10">
        <v>46357</v>
      </c>
      <c r="B26" s="17" t="str">
        <f>IF(A26="","",INDEX(tbl_base_energia[Periodo],MATCH(A26,tbl_base_energia[Mes],0)))</f>
        <v>Reporte</v>
      </c>
      <c r="C26" s="15">
        <f>IF(A26="","",INDEX(tbl_base_energia[kWh_Total],MATCH(A26,tbl_base_energia[Mes],0))-INDEX(tbl_base_energia[kWh_Maquinas_Novas],MATCH(A26,tbl_base_energia[Mes],0)))</f>
        <v>513562</v>
      </c>
      <c r="D26" s="15">
        <f>IF(A26="","",(INDEX(tbl_base_energia[Unid_INJ],MATCH(A26,tbl_base_energia[Mes],0))+INDEX(tbl_base_energia[Unid_SOP],MATCH(A26,tbl_base_energia[Mes],0))-INDEX(tbl_base_energia[Unid_Maquinas_Novas],MATCH(A26,tbl_base_energia[Mes],0)))/1000)</f>
        <v>5067.0389999999998</v>
      </c>
      <c r="E26" s="16">
        <f>IF(A26="","",INDEX(tbl_base_energia[CDD_15],MATCH(A26,tbl_base_energia[Mes],0)))</f>
        <v>0</v>
      </c>
      <c r="F26" s="15">
        <f t="shared" si="0"/>
        <v>558042.73791911174</v>
      </c>
      <c r="G26" s="15">
        <f t="shared" si="1"/>
        <v>-44480.737919111736</v>
      </c>
      <c r="H26" s="15">
        <f>IF(A26="","",SUM($G$5:G26))</f>
        <v>-81639.973927822954</v>
      </c>
      <c r="I26" s="18">
        <f t="shared" si="2"/>
        <v>7.9708479112148609E-2</v>
      </c>
      <c r="J26" s="17" t="str">
        <f t="shared" si="3"/>
        <v>Sim</v>
      </c>
      <c r="K26" s="17" t="str">
        <f t="shared" si="4"/>
        <v>Melhoria significativa</v>
      </c>
      <c r="L26" s="16">
        <f>IF(A26="","",INDEX(tbl_base_energia[kWh_Total],MATCH(A26,tbl_base_energia[Mes],0))/(INDEX(tbl_base_energia[Unid_INJ],MATCH(A26,tbl_base_energia[Mes],0))+INDEX(tbl_base_energia[Unid_SOP],MATCH(A26,tbl_base_energia[Mes],0)))*1000)</f>
        <v>97.763809400394649</v>
      </c>
      <c r="M26" s="16">
        <f>IF(A26="","",INDEX(tbl_base_energia[kWh_SOP],MATCH(A26,tbl_base_energia[Mes],0))/INDEX(tbl_base_energia[Unid_SOP],MATCH(A26,tbl_base_energia[Mes],0))*1000)</f>
        <v>109.85156365019384</v>
      </c>
      <c r="N26" s="16">
        <f>IF(A26="","",INDEX(tbl_base_energia[kWh_INJ],MATCH(A26,tbl_base_energia[Mes],0))/INDEX(tbl_base_energia[Unid_INJ],MATCH(A26,tbl_base_energia[Mes],0))*1000)</f>
        <v>45.829257712097188</v>
      </c>
      <c r="O26" s="18">
        <f t="shared" si="5"/>
        <v>0.18278423352583054</v>
      </c>
      <c r="P26" s="19">
        <f>IF(A26="","",INDEX(tbl_base_energia[kWh_UTL_FRIO],MATCH(A26,tbl_base_energia[Mes],0))/(INDEX(tbl_base_energia[kWh_INJ],MATCH(A26,tbl_base_energia[Mes],0))+INDEX(tbl_base_energia[kWh_SOP],MATCH(A26,tbl_base_energia[Mes],0))))</f>
        <v>8.050369317124989E-2</v>
      </c>
      <c r="Q26" s="19">
        <f>IF(A26="","",INDEX(tbl_base_energia[kWh_UTL_AR],MATCH(A26,tbl_base_energia[Mes],0))/(INDEX(tbl_base_energia[kWh_INJ],MATCH(A26,tbl_base_energia[Mes],0))+INDEX(tbl_base_energia[kWh_SOP],MATCH(A26,tbl_base_energia[Mes],0))+INDEX(tbl_base_energia[kWh_SER],MATCH(A26,tbl_base_energia[Mes],0))+INDEX(tbl_base_energia[kWh_HFS],MATCH(A26,tbl_base_energia[Mes],0))))</f>
        <v>0.15631318495440849</v>
      </c>
      <c r="R26" s="16">
        <f>IF(A26="","",INDEX(tbl_base_energia[Energia_Final_MWh],MATCH(A26,tbl_base_energia[Mes],0)))</f>
        <v>678.51</v>
      </c>
    </row>
  </sheetData>
  <conditionalFormatting sqref="J5:J226">
    <cfRule type="expression" dxfId="36" priority="6">
      <formula>ISNUMBER(SEARCH("Não",J5))</formula>
    </cfRule>
  </conditionalFormatting>
  <conditionalFormatting sqref="K5:K226">
    <cfRule type="expression" dxfId="35" priority="1">
      <formula>ISNUMBER(SEARCH("Desvio significativo",K5))</formula>
    </cfRule>
    <cfRule type="expression" dxfId="34" priority="2">
      <formula>ISNUMBER(SEARCH("Melhoria significativa",K5))</formula>
    </cfRule>
    <cfRule type="expression" dxfId="33" priority="3">
      <formula>ISNUMBER(SEARCH("Dentro da incerteza",K5))</formula>
    </cfRule>
    <cfRule type="expression" dxfId="32" priority="4">
      <formula>ISNUMBER(SEARCH("Fora do domínio",K5))</formula>
    </cfRule>
    <cfRule type="expression" dxfId="31" priority="5">
      <formula>ISNUMBER(SEARCH("Referência",K5))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G54"/>
  <sheetViews>
    <sheetView showGridLines="0" workbookViewId="0"/>
  </sheetViews>
  <sheetFormatPr defaultRowHeight="14.4" x14ac:dyDescent="0.3"/>
  <cols>
    <col min="1" max="1" width="40" customWidth="1"/>
    <col min="2" max="2" width="16" customWidth="1"/>
    <col min="3" max="3" width="14" customWidth="1"/>
    <col min="4" max="5" width="12" customWidth="1"/>
    <col min="6" max="6" width="16" customWidth="1"/>
    <col min="7" max="7" width="60" customWidth="1"/>
  </cols>
  <sheetData>
    <row r="1" spans="1:7" ht="17.399999999999999" x14ac:dyDescent="0.3">
      <c r="A1" s="1" t="s">
        <v>162</v>
      </c>
    </row>
    <row r="2" spans="1:7" x14ac:dyDescent="0.3">
      <c r="A2" s="2" t="s">
        <v>163</v>
      </c>
    </row>
    <row r="4" spans="1:7" x14ac:dyDescent="0.3">
      <c r="A4" s="8" t="s">
        <v>164</v>
      </c>
      <c r="B4" s="8" t="s">
        <v>165</v>
      </c>
      <c r="C4" s="8" t="s">
        <v>166</v>
      </c>
      <c r="D4" s="8" t="s">
        <v>167</v>
      </c>
      <c r="E4" s="8" t="s">
        <v>168</v>
      </c>
      <c r="F4" s="8" t="s">
        <v>169</v>
      </c>
      <c r="G4" s="8" t="s">
        <v>170</v>
      </c>
    </row>
    <row r="5" spans="1:7" ht="26.4" x14ac:dyDescent="0.3">
      <c r="A5" s="20" t="s">
        <v>171</v>
      </c>
      <c r="B5" s="21">
        <f>INDEX(LINEST(IDE_Mensal!$C$5:$C$16,IDE_Mensal!$D$5:$E$16,TRUE,TRUE),1,3)</f>
        <v>93871.036537992579</v>
      </c>
      <c r="C5" s="21">
        <f>INDEX(LINEST(IDE_Mensal!$C$5:$C$16,IDE_Mensal!$D$5:$E$16,TRUE,TRUE),2,3)</f>
        <v>95670.530722283787</v>
      </c>
      <c r="D5" s="22">
        <f>IFERROR(B5/C5,"")</f>
        <v>0.98119071598426844</v>
      </c>
      <c r="E5" s="23">
        <f>IFERROR(TDIST(ABS(D5),lbe_df,2),"")</f>
        <v>0.35213712721663604</v>
      </c>
      <c r="F5" s="24" t="str">
        <f>IF(E5="","",IF(E5&lt;0.2,"Sim","Não"))</f>
        <v>Não</v>
      </c>
      <c r="G5" s="24" t="s">
        <v>172</v>
      </c>
    </row>
    <row r="6" spans="1:7" ht="26.4" x14ac:dyDescent="0.3">
      <c r="A6" s="20" t="s">
        <v>173</v>
      </c>
      <c r="B6" s="21">
        <f>INDEX(LINEST(IDE_Mensal!$C$5:$C$16,IDE_Mensal!$D$5:$E$16,TRUE,TRUE),1,2)</f>
        <v>91.60610395560785</v>
      </c>
      <c r="C6" s="21">
        <f>INDEX(LINEST(IDE_Mensal!$C$5:$C$16,IDE_Mensal!$D$5:$E$16,TRUE,TRUE),2,2)</f>
        <v>18.979981201252265</v>
      </c>
      <c r="D6" s="22">
        <f>IFERROR(B6/C6,"")</f>
        <v>4.8264591510535242</v>
      </c>
      <c r="E6" s="23">
        <f>IFERROR(TDIST(ABS(D6),lbe_df,2),"")</f>
        <v>9.385109142906647E-4</v>
      </c>
      <c r="F6" s="24" t="str">
        <f>IF(E6="","",IF(E6&lt;0.2,"Sim","Não"))</f>
        <v>Sim</v>
      </c>
      <c r="G6" s="24" t="s">
        <v>174</v>
      </c>
    </row>
    <row r="7" spans="1:7" x14ac:dyDescent="0.3">
      <c r="A7" s="20" t="s">
        <v>175</v>
      </c>
      <c r="B7" s="21">
        <f>INDEX(LINEST(IDE_Mensal!$C$5:$C$16,IDE_Mensal!$D$5:$E$16,TRUE,TRUE),1,1)</f>
        <v>56.464409092823658</v>
      </c>
      <c r="C7" s="21">
        <f>INDEX(LINEST(IDE_Mensal!$C$5:$C$16,IDE_Mensal!$D$5:$E$16,TRUE,TRUE),2,1)</f>
        <v>48.058908197682115</v>
      </c>
      <c r="D7" s="22">
        <f>IFERROR(B7/C7,"")</f>
        <v>1.1748999552916797</v>
      </c>
      <c r="E7" s="23">
        <f>IFERROR(TDIST(ABS(D7),lbe_df,2),"")</f>
        <v>0.27018197546677541</v>
      </c>
      <c r="F7" s="24" t="str">
        <f>IF(E7="","",IF(E7&lt;0.2,"Sim","Não"))</f>
        <v>Não</v>
      </c>
      <c r="G7" s="24" t="s">
        <v>176</v>
      </c>
    </row>
    <row r="9" spans="1:7" x14ac:dyDescent="0.3">
      <c r="A9" s="8" t="s">
        <v>177</v>
      </c>
      <c r="B9" s="8" t="s">
        <v>178</v>
      </c>
      <c r="C9" s="8"/>
      <c r="D9" s="8"/>
      <c r="E9" s="8"/>
      <c r="F9" s="8"/>
      <c r="G9" s="8"/>
    </row>
    <row r="10" spans="1:7" x14ac:dyDescent="0.3">
      <c r="A10" s="20" t="s">
        <v>179</v>
      </c>
      <c r="B10" s="25">
        <f>INDEX(LINEST(IDE_Mensal!$C$5:$C$16,IDE_Mensal!$D$5:$E$16,TRUE,TRUE),3,1)</f>
        <v>0.75328414653691766</v>
      </c>
    </row>
    <row r="11" spans="1:7" x14ac:dyDescent="0.3">
      <c r="A11" s="20" t="s">
        <v>180</v>
      </c>
      <c r="B11" s="14">
        <f>INDEX(LINEST(IDE_Mensal!$C$5:$C$16,IDE_Mensal!$D$5:$E$16,TRUE,TRUE),3,2)</f>
        <v>15599.313148894003</v>
      </c>
    </row>
    <row r="12" spans="1:7" x14ac:dyDescent="0.3">
      <c r="A12" s="20" t="s">
        <v>181</v>
      </c>
      <c r="B12" s="22">
        <f>INDEX(LINEST(IDE_Mensal!$C$5:$C$16,IDE_Mensal!$D$5:$E$16,TRUE,TRUE),4,1)</f>
        <v>13.739606157588755</v>
      </c>
    </row>
    <row r="13" spans="1:7" x14ac:dyDescent="0.3">
      <c r="A13" s="20" t="s">
        <v>182</v>
      </c>
      <c r="B13" s="12">
        <f>INDEX(LINEST(IDE_Mensal!$C$5:$C$16,IDE_Mensal!$D$5:$E$16,TRUE,TRUE),4,2)</f>
        <v>9</v>
      </c>
    </row>
    <row r="14" spans="1:7" x14ac:dyDescent="0.3">
      <c r="A14" s="20" t="s">
        <v>183</v>
      </c>
      <c r="B14" s="23">
        <f>FDIST(lbe_f,2,lbe_df)</f>
        <v>1.8402920828184339E-3</v>
      </c>
    </row>
    <row r="15" spans="1:7" x14ac:dyDescent="0.3">
      <c r="A15" s="20" t="s">
        <v>184</v>
      </c>
      <c r="B15" s="14">
        <f>AVERAGE(IDE_Mensal!$C$5:$C$16)</f>
        <v>562748.83333333337</v>
      </c>
    </row>
    <row r="16" spans="1:7" x14ac:dyDescent="0.3">
      <c r="A16" s="20" t="s">
        <v>185</v>
      </c>
      <c r="B16" s="26">
        <f>lbe_sey/lbe_ymed</f>
        <v>2.7719849824466989E-2</v>
      </c>
    </row>
    <row r="17" spans="1:7" x14ac:dyDescent="0.3">
      <c r="A17" s="20" t="s">
        <v>186</v>
      </c>
      <c r="B17" s="27">
        <f>SUM(IDE_Mensal!$G$5:$G$16)/((COUNT(IDE_Mensal!$C$5:$C$16)-3)*lbe_ymed)</f>
        <v>-5.7463627609541818E-17</v>
      </c>
    </row>
    <row r="18" spans="1:7" x14ac:dyDescent="0.3">
      <c r="A18" s="20" t="s">
        <v>187</v>
      </c>
      <c r="B18" s="25">
        <f>TINV(0.05,lbe_df)</f>
        <v>2.2621571627982053</v>
      </c>
    </row>
    <row r="19" spans="1:7" ht="26.4" x14ac:dyDescent="0.3">
      <c r="A19" s="20" t="s">
        <v>188</v>
      </c>
      <c r="B19" s="14">
        <f>lbe_t*lbe_sey</f>
        <v>35288.097974502794</v>
      </c>
    </row>
    <row r="20" spans="1:7" x14ac:dyDescent="0.3">
      <c r="A20" s="20" t="s">
        <v>189</v>
      </c>
      <c r="B20" s="26">
        <f>lbe_a/lbe_ymed</f>
        <v>0.16680805179455591</v>
      </c>
    </row>
    <row r="22" spans="1:7" x14ac:dyDescent="0.3">
      <c r="A22" s="8" t="s">
        <v>190</v>
      </c>
      <c r="B22" s="8" t="s">
        <v>178</v>
      </c>
      <c r="C22" s="8" t="s">
        <v>191</v>
      </c>
      <c r="D22" s="8" t="s">
        <v>192</v>
      </c>
      <c r="E22" s="8"/>
      <c r="F22" s="8" t="s">
        <v>193</v>
      </c>
      <c r="G22" s="8" t="s">
        <v>194</v>
      </c>
    </row>
    <row r="23" spans="1:7" ht="39.6" x14ac:dyDescent="0.3">
      <c r="A23" s="20" t="s">
        <v>195</v>
      </c>
      <c r="B23" s="25">
        <f>lbe_r2</f>
        <v>0.75328414653691766</v>
      </c>
      <c r="C23" s="24" t="s">
        <v>196</v>
      </c>
      <c r="D23" s="24" t="str">
        <f>IF(lbe_r2&gt;=0.5,"Cumpre","Não cumpre")</f>
        <v>Cumpre</v>
      </c>
      <c r="F23" s="24" t="s">
        <v>197</v>
      </c>
      <c r="G23" s="24" t="s">
        <v>198</v>
      </c>
    </row>
    <row r="24" spans="1:7" ht="26.4" x14ac:dyDescent="0.3">
      <c r="A24" s="20" t="s">
        <v>199</v>
      </c>
      <c r="B24" s="25">
        <f>lbe_r2</f>
        <v>0.75328414653691766</v>
      </c>
      <c r="C24" s="24" t="s">
        <v>200</v>
      </c>
      <c r="D24" s="24" t="str">
        <f>IF(lbe_r2&gt;0.75,"Cumpre","Não cumpre")</f>
        <v>Cumpre</v>
      </c>
      <c r="F24" s="24" t="s">
        <v>201</v>
      </c>
      <c r="G24" s="24" t="s">
        <v>202</v>
      </c>
    </row>
    <row r="25" spans="1:7" x14ac:dyDescent="0.3">
      <c r="A25" s="20" t="s">
        <v>203</v>
      </c>
      <c r="B25" s="25">
        <f>MAX(E6:E7)</f>
        <v>0.27018197546677541</v>
      </c>
      <c r="C25" s="24" t="s">
        <v>204</v>
      </c>
      <c r="D25" s="24" t="str">
        <f>IF(MAX(E6:E7)&lt;0.2,"Cumpre","Não cumpre")</f>
        <v>Não cumpre</v>
      </c>
      <c r="F25" s="24" t="s">
        <v>205</v>
      </c>
      <c r="G25" s="24" t="s">
        <v>206</v>
      </c>
    </row>
    <row r="26" spans="1:7" x14ac:dyDescent="0.3">
      <c r="A26" s="20" t="s">
        <v>207</v>
      </c>
      <c r="B26" s="25">
        <f>MIN(E6:E7)</f>
        <v>9.385109142906647E-4</v>
      </c>
      <c r="C26" s="24" t="s">
        <v>208</v>
      </c>
      <c r="D26" s="24" t="str">
        <f>IF(MIN(E6:E7)&lt;0.1,"Cumpre","Não cumpre")</f>
        <v>Cumpre</v>
      </c>
      <c r="F26" s="24" t="s">
        <v>205</v>
      </c>
      <c r="G26" s="24"/>
    </row>
    <row r="27" spans="1:7" x14ac:dyDescent="0.3">
      <c r="A27" s="20" t="s">
        <v>183</v>
      </c>
      <c r="B27" s="25">
        <f>lbe_pf</f>
        <v>1.8402920828184339E-3</v>
      </c>
      <c r="C27" s="24" t="s">
        <v>208</v>
      </c>
      <c r="D27" s="24" t="str">
        <f>IF(lbe_pf&lt;0.1,"Cumpre","Não cumpre")</f>
        <v>Cumpre</v>
      </c>
      <c r="F27" s="24" t="s">
        <v>205</v>
      </c>
      <c r="G27" s="24" t="s">
        <v>209</v>
      </c>
    </row>
    <row r="28" spans="1:7" ht="39.6" x14ac:dyDescent="0.3">
      <c r="A28" s="20" t="s">
        <v>185</v>
      </c>
      <c r="B28" s="26">
        <f>lbe_cv</f>
        <v>2.7719849824466989E-2</v>
      </c>
      <c r="C28" s="24" t="s">
        <v>210</v>
      </c>
      <c r="D28" s="24" t="str">
        <f>IF(lbe_cv&lt;=0.15,"Cumpre","Não cumpre")</f>
        <v>Cumpre</v>
      </c>
      <c r="F28" s="24" t="s">
        <v>211</v>
      </c>
      <c r="G28" s="24" t="s">
        <v>212</v>
      </c>
    </row>
    <row r="29" spans="1:7" ht="26.4" x14ac:dyDescent="0.3">
      <c r="A29" s="20" t="s">
        <v>186</v>
      </c>
      <c r="B29" s="26">
        <f>lbe_nmbe</f>
        <v>-5.7463627609541818E-17</v>
      </c>
      <c r="C29" s="24" t="s">
        <v>213</v>
      </c>
      <c r="D29" s="24" t="str">
        <f>IF(ABS(lbe_nmbe)&lt;=0.05,"Cumpre","Não cumpre")</f>
        <v>Cumpre</v>
      </c>
      <c r="F29" s="24" t="s">
        <v>201</v>
      </c>
      <c r="G29" s="24" t="s">
        <v>214</v>
      </c>
    </row>
    <row r="30" spans="1:7" x14ac:dyDescent="0.3">
      <c r="A30" s="20" t="s">
        <v>215</v>
      </c>
      <c r="B30" s="20" t="str">
        <f>IF(COUNTIF(D23:D29,"Não cumpre")=0,"Válido",IF(COUNTIF(D23:D29,"Não cumpre")=1,"Válido com reserva","Não válido"))</f>
        <v>Válido com reserva</v>
      </c>
    </row>
    <row r="32" spans="1:7" x14ac:dyDescent="0.3">
      <c r="A32" s="8" t="s">
        <v>216</v>
      </c>
      <c r="B32" s="8" t="s">
        <v>217</v>
      </c>
      <c r="C32" s="8" t="s">
        <v>218</v>
      </c>
      <c r="D32" s="8" t="s">
        <v>219</v>
      </c>
      <c r="E32" s="8" t="s">
        <v>220</v>
      </c>
      <c r="F32" s="8" t="s">
        <v>221</v>
      </c>
      <c r="G32" s="8" t="s">
        <v>222</v>
      </c>
    </row>
    <row r="33" spans="1:7" ht="26.4" x14ac:dyDescent="0.3">
      <c r="A33" s="20" t="s">
        <v>223</v>
      </c>
      <c r="B33" s="13">
        <f>MIN(IDE_Mensal!$D$5:$D$16)</f>
        <v>4543.9470000000001</v>
      </c>
      <c r="C33" s="13">
        <f>MAX(IDE_Mensal!$D$5:$D$16)</f>
        <v>5443.6559999999999</v>
      </c>
      <c r="D33" s="28">
        <v>0.1</v>
      </c>
      <c r="E33" s="13">
        <f>B33*(1-D33)</f>
        <v>4089.5523000000003</v>
      </c>
      <c r="F33" s="13">
        <f>C33*(1+D33)</f>
        <v>5988.0216</v>
      </c>
      <c r="G33" s="24" t="s">
        <v>224</v>
      </c>
    </row>
    <row r="34" spans="1:7" x14ac:dyDescent="0.3">
      <c r="A34" s="20" t="s">
        <v>225</v>
      </c>
      <c r="B34" s="13">
        <f>MIN(IDE_Mensal!$E$5:$E$16)</f>
        <v>0</v>
      </c>
      <c r="C34" s="13">
        <f>MAX(IDE_Mensal!$E$5:$E$16)</f>
        <v>251.1</v>
      </c>
      <c r="D34" s="28">
        <v>0.1</v>
      </c>
      <c r="E34" s="13">
        <f>B34*(1-D34)</f>
        <v>0</v>
      </c>
      <c r="F34" s="13">
        <f>C34*(1+D34)</f>
        <v>276.21000000000004</v>
      </c>
      <c r="G34" s="24" t="s">
        <v>226</v>
      </c>
    </row>
    <row r="37" spans="1:7" ht="26.4" x14ac:dyDescent="0.3">
      <c r="A37" s="8" t="s">
        <v>227</v>
      </c>
      <c r="B37" s="8" t="s">
        <v>178</v>
      </c>
      <c r="C37" s="8"/>
      <c r="D37" s="8"/>
      <c r="E37" s="8"/>
      <c r="F37" s="8"/>
      <c r="G37" s="8" t="s">
        <v>194</v>
      </c>
    </row>
    <row r="38" spans="1:7" x14ac:dyDescent="0.3">
      <c r="A38" s="20" t="s">
        <v>228</v>
      </c>
      <c r="B38" s="12">
        <f>COUNTIF(tbl_ide_mensal[Periodo],"Reporte")</f>
        <v>10</v>
      </c>
      <c r="G38" s="24"/>
    </row>
    <row r="39" spans="1:7" x14ac:dyDescent="0.3">
      <c r="A39" s="20" t="s">
        <v>229</v>
      </c>
      <c r="B39" s="12">
        <f>COUNTIFS(tbl_ide_mensal[Periodo],"Reporte",tbl_ide_mensal[Dentro_Dominio],"Sim")</f>
        <v>9</v>
      </c>
      <c r="G39" s="24" t="s">
        <v>230</v>
      </c>
    </row>
    <row r="40" spans="1:7" x14ac:dyDescent="0.3">
      <c r="A40" s="20" t="s">
        <v>231</v>
      </c>
      <c r="B40" s="14">
        <f>SUMIFS(tbl_ide_mensal[kWh_Esperado],tbl_ide_mensal[Periodo],"Reporte",tbl_ide_mensal[Dentro_Dominio],"Sim")</f>
        <v>5146702.0854328116</v>
      </c>
      <c r="G40" s="24"/>
    </row>
    <row r="41" spans="1:7" x14ac:dyDescent="0.3">
      <c r="A41" s="20" t="s">
        <v>232</v>
      </c>
      <c r="B41" s="14">
        <f>SUMIFS(tbl_ide_mensal[Y_kWh_Ajustado],tbl_ide_mensal[Periodo],"Reporte",tbl_ide_mensal[Dentro_Dominio],"Sim")</f>
        <v>5047066</v>
      </c>
      <c r="G41" s="24"/>
    </row>
    <row r="42" spans="1:7" ht="26.4" x14ac:dyDescent="0.3">
      <c r="A42" s="20" t="s">
        <v>233</v>
      </c>
      <c r="B42" s="14">
        <f>B40-B41</f>
        <v>99636.08543281164</v>
      </c>
      <c r="G42" s="24" t="s">
        <v>234</v>
      </c>
    </row>
    <row r="43" spans="1:7" x14ac:dyDescent="0.3">
      <c r="A43" s="20" t="s">
        <v>235</v>
      </c>
      <c r="B43" s="26">
        <f>IFERROR(B42/B40,"")</f>
        <v>1.9359209796662002E-2</v>
      </c>
      <c r="G43" s="24" t="s">
        <v>236</v>
      </c>
    </row>
    <row r="44" spans="1:7" ht="26.4" x14ac:dyDescent="0.3">
      <c r="A44" s="20" t="s">
        <v>237</v>
      </c>
      <c r="B44" s="14">
        <f>lbe_t*lbe_sey*SQRT(B39)</f>
        <v>105864.29392350838</v>
      </c>
      <c r="G44" s="24" t="s">
        <v>238</v>
      </c>
    </row>
    <row r="45" spans="1:7" ht="39.6" x14ac:dyDescent="0.3">
      <c r="A45" s="20" t="s">
        <v>239</v>
      </c>
      <c r="B45" s="38" t="str">
        <f>IF(B39=0,"Sem meses válidos",IF(B42&gt;B44,"Melhoria DEMONSTRADA (estatisticamente significativa)",IF(B42&lt;-B44,"Piorou (desvio significativo)","Melhoria NÃO demonstrada: diferença dentro da incerteza do modelo")))</f>
        <v>Melhoria NÃO demonstrada: diferença dentro da incerteza do modelo</v>
      </c>
      <c r="C45" s="39"/>
      <c r="D45" s="39"/>
      <c r="E45" s="39"/>
      <c r="F45" s="40"/>
      <c r="G45" s="24" t="s">
        <v>240</v>
      </c>
    </row>
    <row r="47" spans="1:7" ht="26.4" x14ac:dyDescent="0.3">
      <c r="A47" s="8" t="s">
        <v>241</v>
      </c>
      <c r="B47" s="8" t="s">
        <v>178</v>
      </c>
      <c r="C47" s="8"/>
      <c r="D47" s="8"/>
      <c r="E47" s="8"/>
      <c r="F47" s="8"/>
      <c r="G47" s="8" t="s">
        <v>194</v>
      </c>
    </row>
    <row r="48" spans="1:7" x14ac:dyDescent="0.3">
      <c r="A48" s="20" t="s">
        <v>242</v>
      </c>
      <c r="B48" s="12">
        <f>COUNTIFS(tbl_ide_mensal[Mes],"&gt;="&amp;DATE(2026,10,1),tbl_ide_mensal[Dentro_Dominio],"Sim")</f>
        <v>3</v>
      </c>
      <c r="G48" s="24"/>
    </row>
    <row r="49" spans="1:7" x14ac:dyDescent="0.3">
      <c r="A49" s="20" t="s">
        <v>243</v>
      </c>
      <c r="B49" s="14">
        <f>SUMIFS(tbl_ide_mensal[kWh_Esperado],tbl_ide_mensal[Mes],"&gt;="&amp;DATE(2026,10,1),tbl_ide_mensal[Dentro_Dominio],"Sim")</f>
        <v>1694240.7144608474</v>
      </c>
      <c r="G49" s="24"/>
    </row>
    <row r="50" spans="1:7" x14ac:dyDescent="0.3">
      <c r="A50" s="20" t="s">
        <v>244</v>
      </c>
      <c r="B50" s="14">
        <f>SUMIFS(tbl_ide_mensal[Y_kWh_Ajustado],tbl_ide_mensal[Mes],"&gt;="&amp;DATE(2026,10,1),tbl_ide_mensal[Dentro_Dominio],"Sim")</f>
        <v>1602311</v>
      </c>
      <c r="G50" s="24"/>
    </row>
    <row r="51" spans="1:7" x14ac:dyDescent="0.3">
      <c r="A51" s="20" t="s">
        <v>245</v>
      </c>
      <c r="B51" s="14">
        <f>B49-B50</f>
        <v>91929.714460847434</v>
      </c>
      <c r="G51" s="24" t="s">
        <v>246</v>
      </c>
    </row>
    <row r="52" spans="1:7" x14ac:dyDescent="0.3">
      <c r="A52" s="20" t="s">
        <v>247</v>
      </c>
      <c r="B52" s="26">
        <f>IFERROR(B51/B49,"")</f>
        <v>5.4260125893682065E-2</v>
      </c>
      <c r="G52" s="24"/>
    </row>
    <row r="53" spans="1:7" x14ac:dyDescent="0.3">
      <c r="A53" s="20" t="s">
        <v>248</v>
      </c>
      <c r="B53" s="14">
        <f>lbe_t*lbe_sey*SQRT(B48)</f>
        <v>61120.778594307223</v>
      </c>
      <c r="G53" s="24"/>
    </row>
    <row r="54" spans="1:7" ht="26.4" x14ac:dyDescent="0.3">
      <c r="A54" s="20" t="s">
        <v>239</v>
      </c>
      <c r="B54" s="38" t="str">
        <f>IF(B48=0,"Sem meses válidos",IF(B51&gt;B53,"Melhoria DEMONSTRADA (estatisticamente significativa)",IF(B51&lt;-B53,"Piorou (desvio significativo)","Melhoria NÃO demonstrada: diferença dentro da incerteza do modelo")))</f>
        <v>Melhoria DEMONSTRADA (estatisticamente significativa)</v>
      </c>
      <c r="C54" s="39"/>
      <c r="D54" s="39"/>
      <c r="E54" s="39"/>
      <c r="F54" s="40"/>
      <c r="G54" s="24" t="s">
        <v>249</v>
      </c>
    </row>
  </sheetData>
  <mergeCells count="2">
    <mergeCell ref="B54:F54"/>
    <mergeCell ref="B45:F45"/>
  </mergeCells>
  <conditionalFormatting sqref="B30">
    <cfRule type="expression" dxfId="30" priority="1">
      <formula>B30="Válido com reserva"</formula>
    </cfRule>
    <cfRule type="expression" dxfId="29" priority="2">
      <formula>B30="Não válido"</formula>
    </cfRule>
    <cfRule type="expression" dxfId="28" priority="3">
      <formula>B30="Válido"</formula>
    </cfRule>
  </conditionalFormatting>
  <conditionalFormatting sqref="B45">
    <cfRule type="expression" dxfId="27" priority="6">
      <formula>ISNUMBER(SEARCH("DEMONSTRADA",B45))</formula>
    </cfRule>
    <cfRule type="expression" dxfId="26" priority="7">
      <formula>ISNUMBER(SEARCH("NÃO demonstrada",B45))</formula>
    </cfRule>
    <cfRule type="expression" dxfId="25" priority="8">
      <formula>ISNUMBER(SEARCH("Piorou",B45))</formula>
    </cfRule>
  </conditionalFormatting>
  <conditionalFormatting sqref="B54">
    <cfRule type="expression" dxfId="24" priority="9">
      <formula>ISNUMBER(SEARCH("DEMONSTRADA",B54))</formula>
    </cfRule>
    <cfRule type="expression" dxfId="23" priority="10">
      <formula>ISNUMBER(SEARCH("NÃO demonstrada",B54))</formula>
    </cfRule>
    <cfRule type="expression" dxfId="22" priority="11">
      <formula>ISNUMBER(SEARCH("Piorou",B54))</formula>
    </cfRule>
  </conditionalFormatting>
  <conditionalFormatting sqref="D23:D29">
    <cfRule type="expression" dxfId="21" priority="4">
      <formula>D23="Não cumpre"</formula>
    </cfRule>
    <cfRule type="expression" dxfId="20" priority="5">
      <formula>D23="Cumpre"</formula>
    </cfRule>
  </conditionalFormatting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4" customWidth="1"/>
    <col min="3" max="3" width="16" customWidth="1"/>
    <col min="4" max="4" width="26" customWidth="1"/>
    <col min="5" max="6" width="10" customWidth="1"/>
    <col min="7" max="7" width="9" customWidth="1"/>
    <col min="8" max="8" width="16" customWidth="1"/>
    <col min="9" max="9" width="60" customWidth="1"/>
  </cols>
  <sheetData>
    <row r="1" spans="1:9" ht="17.399999999999999" x14ac:dyDescent="0.3">
      <c r="A1" s="1" t="s">
        <v>250</v>
      </c>
    </row>
    <row r="2" spans="1:9" x14ac:dyDescent="0.3">
      <c r="A2" s="2" t="s">
        <v>251</v>
      </c>
    </row>
    <row r="4" spans="1:9" ht="39.6" x14ac:dyDescent="0.3">
      <c r="A4" s="8" t="s">
        <v>252</v>
      </c>
      <c r="B4" s="8" t="s">
        <v>253</v>
      </c>
      <c r="C4" s="8" t="s">
        <v>254</v>
      </c>
      <c r="D4" s="8" t="s">
        <v>255</v>
      </c>
      <c r="E4" s="8" t="s">
        <v>256</v>
      </c>
      <c r="F4" s="9" t="s">
        <v>257</v>
      </c>
      <c r="G4" s="9" t="s">
        <v>258</v>
      </c>
      <c r="H4" s="8" t="s">
        <v>259</v>
      </c>
      <c r="I4" s="8" t="s">
        <v>260</v>
      </c>
    </row>
    <row r="5" spans="1:9" ht="30" customHeight="1" x14ac:dyDescent="0.3">
      <c r="A5" s="11" t="s">
        <v>261</v>
      </c>
      <c r="B5" s="11" t="s">
        <v>262</v>
      </c>
      <c r="C5" s="11" t="s">
        <v>126</v>
      </c>
      <c r="D5" s="11" t="s">
        <v>263</v>
      </c>
      <c r="E5" s="11" t="s">
        <v>264</v>
      </c>
      <c r="F5" s="19">
        <f>SUMPRODUCT((Base_Mensal!$Q$5:$Q$16+Base_Mensal!$R$5:$R$16-AVERAGE(Base_Mensal!$Q$5:$Q$16)-AVERAGE(Base_Mensal!$R$5:$R$16))*(Base_Mensal!$I$5:$I$16-AVERAGE(Base_Mensal!$I$5:$I$16)))/SQRT(SUMPRODUCT((Base_Mensal!$Q$5:$Q$16+Base_Mensal!$R$5:$R$16-AVERAGE(Base_Mensal!$Q$5:$Q$16)-AVERAGE(Base_Mensal!$R$5:$R$16))^2)*SUMPRODUCT((Base_Mensal!$I$5:$I$16-AVERAGE(Base_Mensal!$I$5:$I$16))^2))</f>
        <v>0.84583904729249504</v>
      </c>
      <c r="G5" s="19">
        <f t="shared" ref="G5:G10" si="0">IF(A5="","",IFERROR(F5^2,""))</f>
        <v>0.71544369392467566</v>
      </c>
      <c r="H5" s="11" t="s">
        <v>265</v>
      </c>
      <c r="I5" s="11" t="s">
        <v>266</v>
      </c>
    </row>
    <row r="6" spans="1:9" ht="30" customHeight="1" x14ac:dyDescent="0.3">
      <c r="A6" s="11" t="s">
        <v>267</v>
      </c>
      <c r="B6" s="11" t="s">
        <v>268</v>
      </c>
      <c r="C6" s="11" t="s">
        <v>117</v>
      </c>
      <c r="D6" s="11" t="s">
        <v>269</v>
      </c>
      <c r="E6" s="11" t="s">
        <v>270</v>
      </c>
      <c r="F6" s="19">
        <f>CORREL(Base_Mensal!$I$5:$I$16,Base_Mensal!$H$5:$H$16)</f>
        <v>0.33868759269901738</v>
      </c>
      <c r="G6" s="19">
        <f t="shared" si="0"/>
        <v>0.1147092854482555</v>
      </c>
      <c r="H6" s="11" t="s">
        <v>271</v>
      </c>
      <c r="I6" s="11" t="s">
        <v>272</v>
      </c>
    </row>
    <row r="7" spans="1:9" ht="30" customHeight="1" x14ac:dyDescent="0.3">
      <c r="A7" s="11" t="s">
        <v>273</v>
      </c>
      <c r="B7" s="11" t="s">
        <v>274</v>
      </c>
      <c r="C7" s="11" t="s">
        <v>130</v>
      </c>
      <c r="D7" s="11" t="s">
        <v>263</v>
      </c>
      <c r="E7" s="11" t="s">
        <v>275</v>
      </c>
      <c r="F7" s="19">
        <f>CORREL(Base_Mensal!$I$5:$I$16,Base_Mensal!$U$5:$U$16)</f>
        <v>0.76162036713856895</v>
      </c>
      <c r="G7" s="19">
        <f t="shared" si="0"/>
        <v>0.5800655836402886</v>
      </c>
      <c r="H7" s="11" t="s">
        <v>276</v>
      </c>
      <c r="I7" s="11" t="s">
        <v>277</v>
      </c>
    </row>
    <row r="8" spans="1:9" ht="30" customHeight="1" x14ac:dyDescent="0.3">
      <c r="A8" s="11" t="s">
        <v>278</v>
      </c>
      <c r="B8" s="11" t="s">
        <v>279</v>
      </c>
      <c r="C8" s="11" t="s">
        <v>131</v>
      </c>
      <c r="D8" s="11" t="s">
        <v>263</v>
      </c>
      <c r="E8" s="11" t="s">
        <v>275</v>
      </c>
      <c r="F8" s="19">
        <f>CORREL(Base_Mensal!$I$5:$I$16,Base_Mensal!$V$5:$V$16)</f>
        <v>0.93019173815063716</v>
      </c>
      <c r="G8" s="19">
        <f t="shared" si="0"/>
        <v>0.86525666972370352</v>
      </c>
      <c r="H8" s="11" t="s">
        <v>276</v>
      </c>
      <c r="I8" s="11" t="s">
        <v>280</v>
      </c>
    </row>
    <row r="9" spans="1:9" ht="30" customHeight="1" x14ac:dyDescent="0.3">
      <c r="A9" s="11" t="s">
        <v>281</v>
      </c>
      <c r="B9" s="11" t="s">
        <v>282</v>
      </c>
      <c r="C9" s="11" t="s">
        <v>115</v>
      </c>
      <c r="D9" s="11" t="s">
        <v>283</v>
      </c>
      <c r="E9" s="11" t="s">
        <v>284</v>
      </c>
      <c r="F9" s="19">
        <f>CORREL(Base_Mensal!$I$5:$I$16,Base_Mensal!$F$5:$F$16)</f>
        <v>0.60898591206876096</v>
      </c>
      <c r="G9" s="19">
        <f t="shared" si="0"/>
        <v>0.37086384109822068</v>
      </c>
      <c r="H9" s="11" t="s">
        <v>285</v>
      </c>
      <c r="I9" s="11" t="s">
        <v>286</v>
      </c>
    </row>
    <row r="10" spans="1:9" ht="30" customHeight="1" x14ac:dyDescent="0.3">
      <c r="A10" s="11" t="s">
        <v>287</v>
      </c>
      <c r="B10" s="11" t="s">
        <v>288</v>
      </c>
      <c r="C10" s="11" t="s">
        <v>116</v>
      </c>
      <c r="D10" s="11" t="s">
        <v>289</v>
      </c>
      <c r="E10" s="11" t="s">
        <v>290</v>
      </c>
      <c r="F10" s="19">
        <f>CORREL(Base_Mensal!$I$5:$I$16,Base_Mensal!$G$5:$G$16)</f>
        <v>0.2302591787852942</v>
      </c>
      <c r="G10" s="19">
        <f t="shared" si="0"/>
        <v>5.3019289414878081E-2</v>
      </c>
      <c r="H10" s="11" t="s">
        <v>276</v>
      </c>
      <c r="I10" s="11" t="s">
        <v>291</v>
      </c>
    </row>
  </sheetData>
  <conditionalFormatting sqref="H5:H210">
    <cfRule type="expression" dxfId="19" priority="1">
      <formula>ISNUMBER(SEARCH("reserva",H5))</formula>
    </cfRule>
    <cfRule type="expression" dxfId="18" priority="2">
      <formula>ISNUMBER(SEARCH("Relevante",H5))</formula>
    </cfRule>
    <cfRule type="expression" dxfId="17" priority="3">
      <formula>ISNUMBER(SEARCH("Redundante",H5))</formula>
    </cfRule>
    <cfRule type="expression" dxfId="16" priority="4">
      <formula>ISNUMBER(SEARCH("Excluída",H5))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1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3" width="40" customWidth="1"/>
    <col min="4" max="4" width="11" customWidth="1"/>
    <col min="5" max="5" width="8" customWidth="1"/>
    <col min="6" max="6" width="24" customWidth="1"/>
    <col min="7" max="7" width="10" customWidth="1"/>
    <col min="8" max="8" width="32" customWidth="1"/>
    <col min="9" max="9" width="22" customWidth="1"/>
    <col min="10" max="10" width="10" customWidth="1"/>
    <col min="11" max="11" width="9" customWidth="1"/>
    <col min="12" max="12" width="12" customWidth="1"/>
    <col min="13" max="13" width="30" customWidth="1"/>
    <col min="14" max="14" width="9" customWidth="1"/>
    <col min="15" max="15" width="28" customWidth="1"/>
    <col min="16" max="16" width="26" customWidth="1"/>
    <col min="17" max="17" width="30" customWidth="1"/>
    <col min="18" max="18" width="8" customWidth="1"/>
    <col min="19" max="19" width="30" customWidth="1"/>
    <col min="20" max="20" width="16" customWidth="1"/>
    <col min="21" max="21" width="8" customWidth="1"/>
    <col min="22" max="24" width="10" customWidth="1"/>
    <col min="25" max="25" width="9" customWidth="1"/>
    <col min="26" max="26" width="14" customWidth="1"/>
    <col min="27" max="27" width="26" customWidth="1"/>
    <col min="28" max="28" width="16" customWidth="1"/>
  </cols>
  <sheetData>
    <row r="1" spans="1:28" ht="17.399999999999999" x14ac:dyDescent="0.3">
      <c r="A1" s="1" t="s">
        <v>292</v>
      </c>
    </row>
    <row r="2" spans="1:28" x14ac:dyDescent="0.3">
      <c r="A2" s="2" t="s">
        <v>293</v>
      </c>
    </row>
    <row r="4" spans="1:28" ht="39.6" x14ac:dyDescent="0.3">
      <c r="A4" s="8" t="s">
        <v>294</v>
      </c>
      <c r="B4" s="8" t="s">
        <v>295</v>
      </c>
      <c r="C4" s="8" t="s">
        <v>296</v>
      </c>
      <c r="D4" s="8" t="s">
        <v>256</v>
      </c>
      <c r="E4" s="8" t="s">
        <v>297</v>
      </c>
      <c r="F4" s="8" t="s">
        <v>298</v>
      </c>
      <c r="G4" s="8" t="s">
        <v>299</v>
      </c>
      <c r="H4" s="8" t="s">
        <v>300</v>
      </c>
      <c r="I4" s="8" t="s">
        <v>301</v>
      </c>
      <c r="J4" s="9" t="s">
        <v>302</v>
      </c>
      <c r="K4" s="8" t="s">
        <v>303</v>
      </c>
      <c r="L4" s="8" t="s">
        <v>304</v>
      </c>
      <c r="M4" s="8" t="s">
        <v>305</v>
      </c>
      <c r="N4" s="8" t="s">
        <v>306</v>
      </c>
      <c r="O4" s="8" t="s">
        <v>58</v>
      </c>
      <c r="P4" s="8" t="s">
        <v>66</v>
      </c>
      <c r="Q4" s="8" t="s">
        <v>307</v>
      </c>
      <c r="R4" s="8" t="s">
        <v>308</v>
      </c>
      <c r="S4" s="8" t="s">
        <v>309</v>
      </c>
      <c r="T4" s="8" t="s">
        <v>310</v>
      </c>
      <c r="U4" s="8" t="s">
        <v>311</v>
      </c>
      <c r="V4" s="8" t="s">
        <v>312</v>
      </c>
      <c r="W4" s="8" t="s">
        <v>313</v>
      </c>
      <c r="X4" s="9" t="s">
        <v>314</v>
      </c>
      <c r="Y4" s="9" t="s">
        <v>315</v>
      </c>
      <c r="Z4" s="9" t="s">
        <v>14</v>
      </c>
      <c r="AA4" s="8" t="s">
        <v>316</v>
      </c>
      <c r="AB4" s="8" t="s">
        <v>317</v>
      </c>
    </row>
    <row r="5" spans="1:28" ht="42" customHeight="1" x14ac:dyDescent="0.3">
      <c r="A5" s="11" t="s">
        <v>318</v>
      </c>
      <c r="B5" s="11" t="s">
        <v>319</v>
      </c>
      <c r="C5" s="11" t="s">
        <v>320</v>
      </c>
      <c r="D5" s="11" t="s">
        <v>321</v>
      </c>
      <c r="E5" s="11" t="s">
        <v>322</v>
      </c>
      <c r="F5" s="11" t="s">
        <v>323</v>
      </c>
      <c r="G5" s="11" t="s">
        <v>324</v>
      </c>
      <c r="H5" s="11" t="s">
        <v>325</v>
      </c>
      <c r="I5" s="11" t="s">
        <v>326</v>
      </c>
      <c r="J5" s="29">
        <f>IF(OR(A5="",T5="—"),V5,IFERROR(AVERAGE(INDEX(IDE_Mensal!$A$5:$R$16,0,MATCH(T5,IDE_Mensal!$A$4:$R$4,0))),""))</f>
        <v>0</v>
      </c>
      <c r="K5" s="11" t="s">
        <v>327</v>
      </c>
      <c r="L5" s="11" t="s">
        <v>328</v>
      </c>
      <c r="M5" s="11" t="s">
        <v>329</v>
      </c>
      <c r="N5" s="11" t="s">
        <v>330</v>
      </c>
      <c r="O5" s="11" t="s">
        <v>331</v>
      </c>
      <c r="P5" s="11" t="s">
        <v>332</v>
      </c>
      <c r="Q5" s="11" t="s">
        <v>333</v>
      </c>
      <c r="R5" s="11" t="s">
        <v>334</v>
      </c>
      <c r="S5" s="11" t="s">
        <v>335</v>
      </c>
      <c r="T5" s="11" t="s">
        <v>336</v>
      </c>
      <c r="U5" s="21">
        <v>0.05</v>
      </c>
      <c r="V5" s="21">
        <v>0</v>
      </c>
      <c r="W5" s="21">
        <f>LBE_Modelo!$B$43</f>
        <v>1.9359209796662002E-2</v>
      </c>
      <c r="X5" s="29">
        <f>IF(A5="","",IF(T5="—",W5,IFERROR(AVERAGE(INDEX(IDE_Mensal!$A$17:$R$26,0,MATCH(T5,IDE_Mensal!$A$4:$R$4,0))),"")))</f>
        <v>1.9359209796662002E-2</v>
      </c>
      <c r="Y5" s="18" t="str">
        <f t="shared" ref="Y5:Y17" si="0">IF(OR(A5="",NOT(ISNUMBER(X5)),NOT(ISNUMBER(J5))),"",IF(ABS(J5)&lt;0.000001,"",(X5-J5)/ABS(J5)))</f>
        <v/>
      </c>
      <c r="Z5" s="17" t="str">
        <f t="shared" ref="Z5:Z17" si="1">IF(A5="","",IF(OR(U5="",NOT(ISNUMBER(X5))),"Sem meta / sem dado",IF(E5="Maior",IF(X5&gt;=U5,"Cumpre","Não cumpre"),IF(X5&lt;=U5,"Cumpre","Não cumpre"))))</f>
        <v>Não cumpre</v>
      </c>
      <c r="AA5" s="11" t="s">
        <v>337</v>
      </c>
      <c r="AB5" s="11" t="s">
        <v>338</v>
      </c>
    </row>
    <row r="6" spans="1:28" ht="42" customHeight="1" x14ac:dyDescent="0.3">
      <c r="A6" s="11" t="s">
        <v>339</v>
      </c>
      <c r="B6" s="11" t="s">
        <v>340</v>
      </c>
      <c r="C6" s="11" t="s">
        <v>341</v>
      </c>
      <c r="D6" s="11" t="s">
        <v>342</v>
      </c>
      <c r="E6" s="11" t="s">
        <v>343</v>
      </c>
      <c r="F6" s="11" t="s">
        <v>344</v>
      </c>
      <c r="G6" s="11" t="s">
        <v>324</v>
      </c>
      <c r="H6" s="11" t="s">
        <v>345</v>
      </c>
      <c r="I6" s="11" t="s">
        <v>346</v>
      </c>
      <c r="J6" s="29">
        <f>IF(OR(A6="",T6="—"),V6,IFERROR(AVERAGE(INDEX(IDE_Mensal!$A$5:$R$16,0,MATCH(T6,IDE_Mensal!$A$4:$R$4,0))),""))</f>
        <v>111.09142160138352</v>
      </c>
      <c r="K6" s="11" t="s">
        <v>327</v>
      </c>
      <c r="L6" s="11" t="s">
        <v>347</v>
      </c>
      <c r="M6" s="11" t="s">
        <v>348</v>
      </c>
      <c r="N6" s="11" t="s">
        <v>330</v>
      </c>
      <c r="O6" s="11" t="s">
        <v>349</v>
      </c>
      <c r="P6" s="11" t="s">
        <v>350</v>
      </c>
      <c r="Q6" s="11" t="s">
        <v>351</v>
      </c>
      <c r="R6" s="11" t="s">
        <v>352</v>
      </c>
      <c r="S6" s="11" t="s">
        <v>353</v>
      </c>
      <c r="T6" s="11" t="s">
        <v>156</v>
      </c>
      <c r="U6" s="21">
        <v>101</v>
      </c>
      <c r="V6" s="21"/>
      <c r="W6" s="21"/>
      <c r="X6" s="29">
        <f>IF(A6="","",IF(T6="—",W6,IFERROR(AVERAGE(INDEX(IDE_Mensal!$A$17:$R$26,0,MATCH(T6,IDE_Mensal!$A$4:$R$4,0))),"")))</f>
        <v>106.61391841756407</v>
      </c>
      <c r="Y6" s="18">
        <f t="shared" si="0"/>
        <v>-4.0304670867257031E-2</v>
      </c>
      <c r="Z6" s="17" t="str">
        <f t="shared" si="1"/>
        <v>Não cumpre</v>
      </c>
      <c r="AA6" s="11" t="s">
        <v>354</v>
      </c>
      <c r="AB6" s="11" t="s">
        <v>355</v>
      </c>
    </row>
    <row r="7" spans="1:28" ht="42" customHeight="1" x14ac:dyDescent="0.3">
      <c r="A7" s="11" t="s">
        <v>356</v>
      </c>
      <c r="B7" s="11" t="s">
        <v>357</v>
      </c>
      <c r="C7" s="11" t="s">
        <v>358</v>
      </c>
      <c r="D7" s="11" t="s">
        <v>359</v>
      </c>
      <c r="E7" s="11" t="s">
        <v>343</v>
      </c>
      <c r="F7" s="11" t="s">
        <v>360</v>
      </c>
      <c r="G7" s="11" t="s">
        <v>324</v>
      </c>
      <c r="H7" s="11" t="s">
        <v>361</v>
      </c>
      <c r="I7" s="11" t="s">
        <v>362</v>
      </c>
      <c r="J7" s="29">
        <f>IF(OR(A7="",T7="—"),V7,IFERROR(AVERAGE(INDEX(IDE_Mensal!$A$5:$R$16,0,MATCH(T7,IDE_Mensal!$A$4:$R$4,0))),""))</f>
        <v>112.54659050807631</v>
      </c>
      <c r="K7" s="11" t="s">
        <v>327</v>
      </c>
      <c r="L7" s="11" t="s">
        <v>363</v>
      </c>
      <c r="M7" s="11" t="s">
        <v>364</v>
      </c>
      <c r="N7" s="11" t="s">
        <v>365</v>
      </c>
      <c r="O7" s="11" t="s">
        <v>366</v>
      </c>
      <c r="P7" s="11" t="s">
        <v>367</v>
      </c>
      <c r="Q7" s="11" t="s">
        <v>368</v>
      </c>
      <c r="R7" s="11" t="s">
        <v>369</v>
      </c>
      <c r="S7" s="11" t="s">
        <v>370</v>
      </c>
      <c r="T7" s="11" t="s">
        <v>157</v>
      </c>
      <c r="U7" s="21"/>
      <c r="V7" s="21"/>
      <c r="W7" s="21"/>
      <c r="X7" s="29">
        <f>IF(A7="","",IF(T7="—",W7,IFERROR(AVERAGE(INDEX(IDE_Mensal!$A$17:$R$26,0,MATCH(T7,IDE_Mensal!$A$4:$R$4,0))),"")))</f>
        <v>115.25236877805783</v>
      </c>
      <c r="Y7" s="18">
        <f t="shared" si="0"/>
        <v>2.4041405943677666E-2</v>
      </c>
      <c r="Z7" s="17" t="str">
        <f t="shared" si="1"/>
        <v>Sem meta / sem dado</v>
      </c>
      <c r="AA7" s="11" t="s">
        <v>336</v>
      </c>
      <c r="AB7" s="11" t="s">
        <v>371</v>
      </c>
    </row>
    <row r="8" spans="1:28" ht="42" customHeight="1" x14ac:dyDescent="0.3">
      <c r="A8" s="11" t="s">
        <v>372</v>
      </c>
      <c r="B8" s="11" t="s">
        <v>373</v>
      </c>
      <c r="C8" s="11" t="s">
        <v>374</v>
      </c>
      <c r="D8" s="11" t="s">
        <v>342</v>
      </c>
      <c r="E8" s="11" t="s">
        <v>343</v>
      </c>
      <c r="F8" s="11" t="s">
        <v>360</v>
      </c>
      <c r="G8" s="11" t="s">
        <v>324</v>
      </c>
      <c r="H8" s="11" t="s">
        <v>375</v>
      </c>
      <c r="I8" s="11" t="s">
        <v>362</v>
      </c>
      <c r="J8" s="29">
        <f>IF(OR(A8="",T8="—"),V8,IFERROR(AVERAGE(INDEX(IDE_Mensal!$A$5:$R$16,0,MATCH(T8,IDE_Mensal!$A$4:$R$4,0))),""))</f>
        <v>48.814601831113663</v>
      </c>
      <c r="K8" s="11" t="s">
        <v>327</v>
      </c>
      <c r="L8" s="11" t="s">
        <v>363</v>
      </c>
      <c r="M8" s="11" t="s">
        <v>376</v>
      </c>
      <c r="N8" s="11" t="s">
        <v>377</v>
      </c>
      <c r="O8" s="11" t="s">
        <v>378</v>
      </c>
      <c r="P8" s="11" t="s">
        <v>379</v>
      </c>
      <c r="Q8" s="11" t="s">
        <v>368</v>
      </c>
      <c r="R8" s="11" t="s">
        <v>380</v>
      </c>
      <c r="S8" s="11" t="s">
        <v>370</v>
      </c>
      <c r="T8" s="11" t="s">
        <v>158</v>
      </c>
      <c r="U8" s="21"/>
      <c r="V8" s="21"/>
      <c r="W8" s="21"/>
      <c r="X8" s="29">
        <f>IF(A8="","",IF(T8="—",W8,IFERROR(AVERAGE(INDEX(IDE_Mensal!$A$17:$R$26,0,MATCH(T8,IDE_Mensal!$A$4:$R$4,0))),"")))</f>
        <v>47.68996103586219</v>
      </c>
      <c r="Y8" s="18">
        <f t="shared" si="0"/>
        <v>-2.3039024248163478E-2</v>
      </c>
      <c r="Z8" s="17" t="str">
        <f t="shared" si="1"/>
        <v>Sem meta / sem dado</v>
      </c>
      <c r="AA8" s="11" t="s">
        <v>336</v>
      </c>
      <c r="AB8" s="11" t="s">
        <v>371</v>
      </c>
    </row>
    <row r="9" spans="1:28" ht="42" customHeight="1" x14ac:dyDescent="0.3">
      <c r="A9" s="11" t="s">
        <v>381</v>
      </c>
      <c r="B9" s="11" t="s">
        <v>382</v>
      </c>
      <c r="C9" s="11" t="s">
        <v>383</v>
      </c>
      <c r="D9" s="11" t="s">
        <v>321</v>
      </c>
      <c r="E9" s="11" t="s">
        <v>343</v>
      </c>
      <c r="F9" s="11" t="s">
        <v>384</v>
      </c>
      <c r="G9" s="11" t="s">
        <v>324</v>
      </c>
      <c r="H9" s="11" t="s">
        <v>385</v>
      </c>
      <c r="I9" s="11" t="s">
        <v>326</v>
      </c>
      <c r="J9" s="29">
        <f>IF(OR(A9="",T9="—"),V9,IFERROR(AVERAGE(INDEX(IDE_Mensal!$A$5:$R$16,0,MATCH(T9,IDE_Mensal!$A$4:$R$4,0))),""))</f>
        <v>0.16719634037791611</v>
      </c>
      <c r="K9" s="11" t="s">
        <v>386</v>
      </c>
      <c r="L9" s="11" t="s">
        <v>387</v>
      </c>
      <c r="M9" s="11" t="s">
        <v>388</v>
      </c>
      <c r="N9" s="11" t="s">
        <v>330</v>
      </c>
      <c r="O9" s="11" t="s">
        <v>336</v>
      </c>
      <c r="P9" s="11" t="s">
        <v>350</v>
      </c>
      <c r="Q9" s="11" t="s">
        <v>389</v>
      </c>
      <c r="R9" s="11" t="s">
        <v>334</v>
      </c>
      <c r="S9" s="11" t="s">
        <v>390</v>
      </c>
      <c r="T9" s="11" t="s">
        <v>159</v>
      </c>
      <c r="U9" s="21">
        <v>0.14000000000000001</v>
      </c>
      <c r="V9" s="21"/>
      <c r="W9" s="21"/>
      <c r="X9" s="29">
        <f>IF(A9="","",IF(T9="—",W9,IFERROR(AVERAGE(INDEX(IDE_Mensal!$A$17:$R$26,0,MATCH(T9,IDE_Mensal!$A$4:$R$4,0))),"")))</f>
        <v>0.16615393252087546</v>
      </c>
      <c r="Y9" s="18">
        <f t="shared" si="0"/>
        <v>-6.2346332143663405E-3</v>
      </c>
      <c r="Z9" s="17" t="str">
        <f t="shared" si="1"/>
        <v>Não cumpre</v>
      </c>
      <c r="AA9" s="11" t="s">
        <v>336</v>
      </c>
      <c r="AB9" s="11" t="s">
        <v>391</v>
      </c>
    </row>
    <row r="10" spans="1:28" ht="42" customHeight="1" x14ac:dyDescent="0.3">
      <c r="A10" s="11" t="s">
        <v>392</v>
      </c>
      <c r="B10" s="11" t="s">
        <v>393</v>
      </c>
      <c r="C10" s="11" t="s">
        <v>394</v>
      </c>
      <c r="D10" s="11" t="s">
        <v>395</v>
      </c>
      <c r="E10" s="11" t="s">
        <v>343</v>
      </c>
      <c r="F10" s="11" t="s">
        <v>396</v>
      </c>
      <c r="G10" s="11" t="s">
        <v>324</v>
      </c>
      <c r="H10" s="11" t="s">
        <v>397</v>
      </c>
      <c r="I10" s="11" t="s">
        <v>398</v>
      </c>
      <c r="J10" s="29">
        <f>IF(OR(A10="",T10="—"),V10,IFERROR(AVERAGE(INDEX(IDE_Mensal!$A$5:$R$16,0,MATCH(T10,IDE_Mensal!$A$4:$R$4,0))),""))</f>
        <v>0.10679345745352008</v>
      </c>
      <c r="K10" s="11" t="s">
        <v>399</v>
      </c>
      <c r="L10" s="11" t="s">
        <v>400</v>
      </c>
      <c r="M10" s="11" t="s">
        <v>401</v>
      </c>
      <c r="N10" s="11" t="s">
        <v>402</v>
      </c>
      <c r="O10" s="11" t="s">
        <v>403</v>
      </c>
      <c r="P10" s="11" t="s">
        <v>404</v>
      </c>
      <c r="Q10" s="11" t="s">
        <v>405</v>
      </c>
      <c r="R10" s="11" t="s">
        <v>406</v>
      </c>
      <c r="S10" s="11" t="s">
        <v>407</v>
      </c>
      <c r="T10" s="11" t="s">
        <v>160</v>
      </c>
      <c r="U10" s="21">
        <v>9.5000000000000001E-2</v>
      </c>
      <c r="V10" s="21"/>
      <c r="W10" s="21"/>
      <c r="X10" s="29">
        <f>IF(A10="","",IF(T10="—",W10,IFERROR(AVERAGE(INDEX(IDE_Mensal!$A$17:$R$26,0,MATCH(T10,IDE_Mensal!$A$4:$R$4,0))),"")))</f>
        <v>0.11425927990021401</v>
      </c>
      <c r="Y10" s="18">
        <f t="shared" si="0"/>
        <v>6.9908987167526554E-2</v>
      </c>
      <c r="Z10" s="17" t="str">
        <f t="shared" si="1"/>
        <v>Não cumpre</v>
      </c>
      <c r="AA10" s="11" t="s">
        <v>336</v>
      </c>
      <c r="AB10" s="11" t="s">
        <v>408</v>
      </c>
    </row>
    <row r="11" spans="1:28" ht="42" customHeight="1" x14ac:dyDescent="0.3">
      <c r="A11" s="11" t="s">
        <v>409</v>
      </c>
      <c r="B11" s="11" t="s">
        <v>410</v>
      </c>
      <c r="C11" s="11" t="s">
        <v>411</v>
      </c>
      <c r="D11" s="11" t="s">
        <v>395</v>
      </c>
      <c r="E11" s="11" t="s">
        <v>343</v>
      </c>
      <c r="F11" s="11" t="s">
        <v>412</v>
      </c>
      <c r="G11" s="11" t="s">
        <v>324</v>
      </c>
      <c r="H11" s="11" t="s">
        <v>413</v>
      </c>
      <c r="I11" s="11" t="s">
        <v>398</v>
      </c>
      <c r="J11" s="29">
        <f>IF(OR(A11="",T11="—"),V11,IFERROR(AVERAGE(INDEX(IDE_Mensal!$A$5:$R$16,0,MATCH(T11,IDE_Mensal!$A$4:$R$4,0))),""))</f>
        <v>0.18975637633013129</v>
      </c>
      <c r="K11" s="11" t="s">
        <v>414</v>
      </c>
      <c r="L11" s="11" t="s">
        <v>415</v>
      </c>
      <c r="M11" s="11" t="s">
        <v>416</v>
      </c>
      <c r="N11" s="11" t="s">
        <v>417</v>
      </c>
      <c r="O11" s="11" t="s">
        <v>336</v>
      </c>
      <c r="P11" s="11" t="s">
        <v>336</v>
      </c>
      <c r="Q11" s="11" t="s">
        <v>418</v>
      </c>
      <c r="R11" s="11" t="s">
        <v>336</v>
      </c>
      <c r="S11" s="11" t="s">
        <v>419</v>
      </c>
      <c r="T11" s="11" t="s">
        <v>161</v>
      </c>
      <c r="U11" s="21"/>
      <c r="V11" s="21"/>
      <c r="W11" s="21"/>
      <c r="X11" s="29">
        <f>IF(A11="","",IF(T11="—",W11,IFERROR(AVERAGE(INDEX(IDE_Mensal!$A$17:$R$26,0,MATCH(T11,IDE_Mensal!$A$4:$R$4,0))),"")))</f>
        <v>0.1842175160230744</v>
      </c>
      <c r="Y11" s="18">
        <f t="shared" si="0"/>
        <v>-2.9189323774925894E-2</v>
      </c>
      <c r="Z11" s="17" t="str">
        <f t="shared" si="1"/>
        <v>Sem meta / sem dado</v>
      </c>
      <c r="AA11" s="11" t="s">
        <v>336</v>
      </c>
      <c r="AB11" s="11" t="s">
        <v>420</v>
      </c>
    </row>
    <row r="12" spans="1:28" ht="42" customHeight="1" x14ac:dyDescent="0.3">
      <c r="A12" s="11" t="s">
        <v>421</v>
      </c>
      <c r="B12" s="11" t="s">
        <v>422</v>
      </c>
      <c r="C12" s="11" t="s">
        <v>423</v>
      </c>
      <c r="D12" s="11" t="s">
        <v>424</v>
      </c>
      <c r="E12" s="11" t="s">
        <v>343</v>
      </c>
      <c r="F12" s="11" t="s">
        <v>425</v>
      </c>
      <c r="G12" s="11" t="s">
        <v>426</v>
      </c>
      <c r="H12" s="11" t="s">
        <v>427</v>
      </c>
      <c r="I12" s="11" t="s">
        <v>398</v>
      </c>
      <c r="J12" s="29">
        <f>IF(OR(A12="",T12="—"),V12,IFERROR(AVERAGE(INDEX(IDE_Mensal!$A$5:$R$16,0,MATCH(T12,IDE_Mensal!$A$4:$R$4,0))),""))</f>
        <v>0.13370000000000001</v>
      </c>
      <c r="K12" s="11" t="s">
        <v>414</v>
      </c>
      <c r="L12" s="11" t="s">
        <v>415</v>
      </c>
      <c r="M12" s="11" t="s">
        <v>428</v>
      </c>
      <c r="N12" s="11" t="s">
        <v>417</v>
      </c>
      <c r="O12" s="11" t="s">
        <v>429</v>
      </c>
      <c r="P12" s="11" t="s">
        <v>430</v>
      </c>
      <c r="Q12" s="11" t="s">
        <v>431</v>
      </c>
      <c r="R12" s="11" t="s">
        <v>432</v>
      </c>
      <c r="S12" s="11" t="s">
        <v>433</v>
      </c>
      <c r="T12" s="11" t="s">
        <v>336</v>
      </c>
      <c r="U12" s="21">
        <v>0.105</v>
      </c>
      <c r="V12" s="21">
        <v>0.13370000000000001</v>
      </c>
      <c r="W12" s="21">
        <v>0.10639999999999999</v>
      </c>
      <c r="X12" s="29">
        <f>IF(A12="","",IF(T12="—",W12,IFERROR(AVERAGE(INDEX(IDE_Mensal!$A$17:$R$26,0,MATCH(T12,IDE_Mensal!$A$4:$R$4,0))),"")))</f>
        <v>0.10639999999999999</v>
      </c>
      <c r="Y12" s="18">
        <f t="shared" si="0"/>
        <v>-0.2041884816753928</v>
      </c>
      <c r="Z12" s="17" t="str">
        <f t="shared" si="1"/>
        <v>Não cumpre</v>
      </c>
      <c r="AA12" s="11" t="s">
        <v>434</v>
      </c>
      <c r="AB12" s="11" t="s">
        <v>435</v>
      </c>
    </row>
    <row r="13" spans="1:28" ht="42" customHeight="1" x14ac:dyDescent="0.3">
      <c r="A13" s="11" t="s">
        <v>436</v>
      </c>
      <c r="B13" s="11" t="s">
        <v>437</v>
      </c>
      <c r="C13" s="11" t="s">
        <v>438</v>
      </c>
      <c r="D13" s="11" t="s">
        <v>439</v>
      </c>
      <c r="E13" s="11" t="s">
        <v>343</v>
      </c>
      <c r="F13" s="11" t="s">
        <v>440</v>
      </c>
      <c r="G13" s="11" t="s">
        <v>324</v>
      </c>
      <c r="H13" s="11" t="s">
        <v>441</v>
      </c>
      <c r="I13" s="11" t="s">
        <v>326</v>
      </c>
      <c r="J13" s="29">
        <f>IF(OR(A13="",T13="—"),V13,IFERROR(AVERAGE(INDEX(IDE_Mensal!$A$5:$R$16,0,MATCH(T13,IDE_Mensal!$A$4:$R$4,0))),""))</f>
        <v>565.48991666666666</v>
      </c>
      <c r="K13" s="11" t="s">
        <v>442</v>
      </c>
      <c r="L13" s="11" t="s">
        <v>443</v>
      </c>
      <c r="M13" s="11" t="s">
        <v>444</v>
      </c>
      <c r="N13" s="11" t="s">
        <v>330</v>
      </c>
      <c r="O13" s="11" t="s">
        <v>336</v>
      </c>
      <c r="P13" s="11" t="s">
        <v>336</v>
      </c>
      <c r="Q13" s="11" t="s">
        <v>445</v>
      </c>
      <c r="R13" s="11" t="s">
        <v>446</v>
      </c>
      <c r="S13" s="11" t="s">
        <v>447</v>
      </c>
      <c r="T13" s="11" t="s">
        <v>139</v>
      </c>
      <c r="U13" s="21"/>
      <c r="V13" s="21"/>
      <c r="W13" s="21"/>
      <c r="X13" s="29">
        <f>IF(A13="","",IF(T13="—",W13,IFERROR(AVERAGE(INDEX(IDE_Mensal!$A$17:$R$26,0,MATCH(T13,IDE_Mensal!$A$4:$R$4,0))),"")))</f>
        <v>671.45600000000002</v>
      </c>
      <c r="Y13" s="18">
        <f t="shared" si="0"/>
        <v>0.18738810403191691</v>
      </c>
      <c r="Z13" s="17" t="str">
        <f t="shared" si="1"/>
        <v>Sem meta / sem dado</v>
      </c>
      <c r="AA13" s="11" t="s">
        <v>448</v>
      </c>
      <c r="AB13" s="11" t="s">
        <v>355</v>
      </c>
    </row>
    <row r="14" spans="1:28" ht="42" customHeight="1" x14ac:dyDescent="0.3">
      <c r="A14" s="11" t="s">
        <v>449</v>
      </c>
      <c r="B14" s="11" t="s">
        <v>450</v>
      </c>
      <c r="C14" s="11" t="s">
        <v>451</v>
      </c>
      <c r="D14" s="11" t="s">
        <v>321</v>
      </c>
      <c r="E14" s="11" t="s">
        <v>322</v>
      </c>
      <c r="F14" s="11" t="s">
        <v>344</v>
      </c>
      <c r="G14" s="11" t="s">
        <v>452</v>
      </c>
      <c r="H14" s="11" t="s">
        <v>453</v>
      </c>
      <c r="I14" s="11" t="s">
        <v>454</v>
      </c>
      <c r="J14" s="29">
        <f>IF(OR(A14="",T14="—"),V14,IFERROR(AVERAGE(INDEX(IDE_Mensal!$A$5:$R$16,0,MATCH(T14,IDE_Mensal!$A$4:$R$4,0))),""))</f>
        <v>0.55000000000000004</v>
      </c>
      <c r="K14" s="11" t="s">
        <v>442</v>
      </c>
      <c r="L14" s="11" t="s">
        <v>455</v>
      </c>
      <c r="M14" s="11" t="s">
        <v>388</v>
      </c>
      <c r="N14" s="11" t="s">
        <v>330</v>
      </c>
      <c r="O14" s="11" t="s">
        <v>336</v>
      </c>
      <c r="P14" s="11" t="s">
        <v>336</v>
      </c>
      <c r="Q14" s="11" t="s">
        <v>456</v>
      </c>
      <c r="R14" s="11" t="s">
        <v>457</v>
      </c>
      <c r="S14" s="11" t="s">
        <v>458</v>
      </c>
      <c r="T14" s="11" t="s">
        <v>336</v>
      </c>
      <c r="U14" s="21">
        <v>0.8</v>
      </c>
      <c r="V14" s="21">
        <v>0.55000000000000004</v>
      </c>
      <c r="W14" s="21">
        <v>0.55000000000000004</v>
      </c>
      <c r="X14" s="29">
        <f>IF(A14="","",IF(T14="—",W14,IFERROR(AVERAGE(INDEX(IDE_Mensal!$A$17:$R$26,0,MATCH(T14,IDE_Mensal!$A$4:$R$4,0))),"")))</f>
        <v>0.55000000000000004</v>
      </c>
      <c r="Y14" s="18">
        <f t="shared" si="0"/>
        <v>0</v>
      </c>
      <c r="Z14" s="17" t="str">
        <f t="shared" si="1"/>
        <v>Não cumpre</v>
      </c>
      <c r="AA14" s="11" t="s">
        <v>459</v>
      </c>
      <c r="AB14" s="11" t="s">
        <v>355</v>
      </c>
    </row>
    <row r="15" spans="1:28" ht="42" customHeight="1" x14ac:dyDescent="0.3">
      <c r="A15" s="11" t="s">
        <v>460</v>
      </c>
      <c r="B15" s="11" t="s">
        <v>461</v>
      </c>
      <c r="C15" s="11" t="s">
        <v>462</v>
      </c>
      <c r="D15" s="11" t="s">
        <v>321</v>
      </c>
      <c r="E15" s="11" t="s">
        <v>322</v>
      </c>
      <c r="F15" s="11" t="s">
        <v>463</v>
      </c>
      <c r="G15" s="11" t="s">
        <v>324</v>
      </c>
      <c r="H15" s="11" t="s">
        <v>464</v>
      </c>
      <c r="I15" s="11" t="s">
        <v>326</v>
      </c>
      <c r="J15" s="29">
        <f>IF(OR(A15="",T15="—"),V15,IFERROR(AVERAGE(INDEX(IDE_Mensal!$A$5:$R$16,0,MATCH(T15,IDE_Mensal!$A$4:$R$4,0))),""))</f>
        <v>0</v>
      </c>
      <c r="K15" s="11" t="s">
        <v>465</v>
      </c>
      <c r="L15" s="11" t="s">
        <v>387</v>
      </c>
      <c r="M15" s="11" t="s">
        <v>388</v>
      </c>
      <c r="N15" s="11" t="s">
        <v>336</v>
      </c>
      <c r="O15" s="11" t="s">
        <v>336</v>
      </c>
      <c r="P15" s="11" t="s">
        <v>336</v>
      </c>
      <c r="Q15" s="11" t="s">
        <v>336</v>
      </c>
      <c r="R15" s="11" t="s">
        <v>336</v>
      </c>
      <c r="S15" s="11" t="s">
        <v>466</v>
      </c>
      <c r="T15" s="11" t="s">
        <v>336</v>
      </c>
      <c r="U15" s="21">
        <v>0.9</v>
      </c>
      <c r="V15" s="21">
        <v>0</v>
      </c>
      <c r="W15" s="21">
        <v>0.95399999999999996</v>
      </c>
      <c r="X15" s="29">
        <f>IF(A15="","",IF(T15="—",W15,IFERROR(AVERAGE(INDEX(IDE_Mensal!$A$17:$R$26,0,MATCH(T15,IDE_Mensal!$A$4:$R$4,0))),"")))</f>
        <v>0.95399999999999996</v>
      </c>
      <c r="Y15" s="18" t="str">
        <f t="shared" si="0"/>
        <v/>
      </c>
      <c r="Z15" s="17" t="str">
        <f t="shared" si="1"/>
        <v>Cumpre</v>
      </c>
      <c r="AA15" s="11" t="s">
        <v>467</v>
      </c>
      <c r="AB15" s="11" t="s">
        <v>355</v>
      </c>
    </row>
    <row r="16" spans="1:28" ht="42" customHeight="1" x14ac:dyDescent="0.3">
      <c r="A16" s="11" t="s">
        <v>468</v>
      </c>
      <c r="B16" s="11" t="s">
        <v>469</v>
      </c>
      <c r="C16" s="11" t="s">
        <v>470</v>
      </c>
      <c r="D16" s="11" t="s">
        <v>321</v>
      </c>
      <c r="E16" s="11" t="s">
        <v>322</v>
      </c>
      <c r="F16" s="11" t="s">
        <v>463</v>
      </c>
      <c r="G16" s="11" t="s">
        <v>324</v>
      </c>
      <c r="H16" s="11" t="s">
        <v>471</v>
      </c>
      <c r="I16" s="11" t="s">
        <v>326</v>
      </c>
      <c r="J16" s="29">
        <f>IF(OR(A16="",T16="—"),V16,IFERROR(AVERAGE(INDEX(IDE_Mensal!$A$5:$R$16,0,MATCH(T16,IDE_Mensal!$A$4:$R$4,0))),""))</f>
        <v>0</v>
      </c>
      <c r="K16" s="11" t="s">
        <v>465</v>
      </c>
      <c r="L16" s="11" t="s">
        <v>336</v>
      </c>
      <c r="M16" s="11" t="s">
        <v>336</v>
      </c>
      <c r="N16" s="11" t="s">
        <v>336</v>
      </c>
      <c r="O16" s="11" t="s">
        <v>336</v>
      </c>
      <c r="P16" s="11" t="s">
        <v>336</v>
      </c>
      <c r="Q16" s="11" t="s">
        <v>336</v>
      </c>
      <c r="R16" s="11" t="s">
        <v>336</v>
      </c>
      <c r="S16" s="11" t="s">
        <v>466</v>
      </c>
      <c r="T16" s="11" t="s">
        <v>336</v>
      </c>
      <c r="U16" s="21">
        <v>1</v>
      </c>
      <c r="V16" s="21"/>
      <c r="W16" s="21">
        <v>1</v>
      </c>
      <c r="X16" s="29">
        <f>IF(A16="","",IF(T16="—",W16,IFERROR(AVERAGE(INDEX(IDE_Mensal!$A$17:$R$26,0,MATCH(T16,IDE_Mensal!$A$4:$R$4,0))),"")))</f>
        <v>1</v>
      </c>
      <c r="Y16" s="18" t="str">
        <f t="shared" si="0"/>
        <v/>
      </c>
      <c r="Z16" s="17" t="str">
        <f t="shared" si="1"/>
        <v>Cumpre</v>
      </c>
      <c r="AA16" s="11" t="s">
        <v>336</v>
      </c>
      <c r="AB16" s="11" t="s">
        <v>472</v>
      </c>
    </row>
    <row r="17" spans="1:28" ht="42" customHeight="1" x14ac:dyDescent="0.3">
      <c r="A17" s="11" t="s">
        <v>473</v>
      </c>
      <c r="B17" s="11" t="s">
        <v>474</v>
      </c>
      <c r="C17" s="11" t="s">
        <v>475</v>
      </c>
      <c r="D17" s="11" t="s">
        <v>321</v>
      </c>
      <c r="E17" s="11" t="s">
        <v>322</v>
      </c>
      <c r="F17" s="11" t="s">
        <v>463</v>
      </c>
      <c r="G17" s="11" t="s">
        <v>324</v>
      </c>
      <c r="H17" s="11" t="s">
        <v>476</v>
      </c>
      <c r="I17" s="11" t="s">
        <v>326</v>
      </c>
      <c r="J17" s="29">
        <f>IF(OR(A17="",T17="—"),V17,IFERROR(AVERAGE(INDEX(IDE_Mensal!$A$5:$R$16,0,MATCH(T17,IDE_Mensal!$A$4:$R$4,0))),""))</f>
        <v>0</v>
      </c>
      <c r="K17" s="11" t="s">
        <v>465</v>
      </c>
      <c r="L17" s="11" t="s">
        <v>336</v>
      </c>
      <c r="M17" s="11" t="s">
        <v>336</v>
      </c>
      <c r="N17" s="11" t="s">
        <v>336</v>
      </c>
      <c r="O17" s="11" t="s">
        <v>336</v>
      </c>
      <c r="P17" s="11" t="s">
        <v>336</v>
      </c>
      <c r="Q17" s="11" t="s">
        <v>336</v>
      </c>
      <c r="R17" s="11" t="s">
        <v>336</v>
      </c>
      <c r="S17" s="11" t="s">
        <v>477</v>
      </c>
      <c r="T17" s="11" t="s">
        <v>336</v>
      </c>
      <c r="U17" s="21">
        <v>0.85</v>
      </c>
      <c r="V17" s="21"/>
      <c r="W17" s="21">
        <v>0.86</v>
      </c>
      <c r="X17" s="29">
        <f>IF(A17="","",IF(T17="—",W17,IFERROR(AVERAGE(INDEX(IDE_Mensal!$A$17:$R$26,0,MATCH(T17,IDE_Mensal!$A$4:$R$4,0))),"")))</f>
        <v>0.86</v>
      </c>
      <c r="Y17" s="18" t="str">
        <f t="shared" si="0"/>
        <v/>
      </c>
      <c r="Z17" s="17" t="str">
        <f t="shared" si="1"/>
        <v>Cumpre</v>
      </c>
      <c r="AA17" s="11" t="s">
        <v>336</v>
      </c>
      <c r="AB17" s="11" t="s">
        <v>472</v>
      </c>
    </row>
  </sheetData>
  <conditionalFormatting sqref="Z5:Z217">
    <cfRule type="expression" dxfId="15" priority="1">
      <formula>ISNUMBER(SEARCH("Não cumpre",Z5))</formula>
    </cfRule>
    <cfRule type="expression" dxfId="14" priority="2">
      <formula>ISNUMBER(SEARCH("Cumpre",Z5))</formula>
    </cfRule>
    <cfRule type="expression" dxfId="13" priority="3">
      <formula>ISNUMBER(SEARCH("Sem meta",Z5))</formula>
    </cfRule>
  </conditionalFormatting>
  <conditionalFormatting sqref="AB5:AB217">
    <cfRule type="expression" dxfId="12" priority="4">
      <formula>ISNUMBER(SEARCH("Estimado",AB5))</formula>
    </cfRule>
  </conditionalFormatting>
  <dataValidations count="3">
    <dataValidation type="list" allowBlank="1" showErrorMessage="1" errorTitle="Valor inválido" error="Valor fora da lista controlada (ver folha Listas)." sqref="E5:E217" xr:uid="{00000000-0002-0000-0500-000000000000}">
      <formula1>lst_Polaridade</formula1>
    </dataValidation>
    <dataValidation type="list" allowBlank="1" showErrorMessage="1" errorTitle="Valor inválido" error="Valor fora da lista controlada (ver folha Listas)." sqref="F5:F217" xr:uid="{00000000-0002-0000-0500-000001000000}">
      <formula1>lst_TipoIDE</formula1>
    </dataValidation>
    <dataValidation type="list" allowBlank="1" showErrorMessage="1" errorTitle="Valor inválido" error="Valor fora da lista controlada (ver folha Listas)." sqref="I5:I217" xr:uid="{00000000-0002-0000-0500-000002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40" customWidth="1"/>
    <col min="4" max="5" width="11" customWidth="1"/>
    <col min="6" max="6" width="7" customWidth="1"/>
    <col min="7" max="7" width="34" customWidth="1"/>
    <col min="8" max="8" width="10" customWidth="1"/>
    <col min="9" max="9" width="7" customWidth="1"/>
    <col min="10" max="10" width="16" customWidth="1"/>
    <col min="11" max="11" width="10" customWidth="1"/>
    <col min="12" max="12" width="11" customWidth="1"/>
    <col min="13" max="13" width="44" customWidth="1"/>
    <col min="14" max="14" width="11" customWidth="1"/>
  </cols>
  <sheetData>
    <row r="1" spans="1:14" ht="17.399999999999999" x14ac:dyDescent="0.3">
      <c r="A1" s="1" t="s">
        <v>478</v>
      </c>
    </row>
    <row r="4" spans="1:14" ht="26.4" x14ac:dyDescent="0.3">
      <c r="A4" s="8" t="s">
        <v>308</v>
      </c>
      <c r="B4" s="8" t="s">
        <v>294</v>
      </c>
      <c r="C4" s="8" t="s">
        <v>479</v>
      </c>
      <c r="D4" s="8" t="s">
        <v>480</v>
      </c>
      <c r="E4" s="8" t="s">
        <v>481</v>
      </c>
      <c r="F4" s="9" t="s">
        <v>482</v>
      </c>
      <c r="G4" s="8" t="s">
        <v>483</v>
      </c>
      <c r="H4" s="9" t="s">
        <v>484</v>
      </c>
      <c r="I4" s="8" t="s">
        <v>485</v>
      </c>
      <c r="J4" s="8" t="s">
        <v>486</v>
      </c>
      <c r="K4" s="8" t="s">
        <v>14</v>
      </c>
      <c r="L4" s="8" t="s">
        <v>487</v>
      </c>
      <c r="M4" s="8" t="s">
        <v>488</v>
      </c>
      <c r="N4" s="8" t="s">
        <v>489</v>
      </c>
    </row>
    <row r="5" spans="1:14" ht="36" customHeight="1" x14ac:dyDescent="0.3">
      <c r="A5" s="11" t="s">
        <v>334</v>
      </c>
      <c r="B5" s="11" t="s">
        <v>318</v>
      </c>
      <c r="C5" s="11" t="s">
        <v>490</v>
      </c>
      <c r="D5" s="10">
        <v>45717</v>
      </c>
      <c r="E5" s="10">
        <v>46081</v>
      </c>
      <c r="F5" s="30">
        <f t="shared" ref="F5:F12" si="0">IF(A5="","",IF(ISNUMBER(E5),DATEDIF(D5,E5,"m")+1,""))</f>
        <v>12</v>
      </c>
      <c r="G5" s="11" t="s">
        <v>491</v>
      </c>
      <c r="H5" s="29">
        <f>IF(A5="","",IFERROR(INDEX(tbl_kpi[Baseline],MATCH(B5,tbl_kpi[ID_KPI],0)),""))</f>
        <v>0</v>
      </c>
      <c r="I5" s="31">
        <f>lbe_r2</f>
        <v>0.75328414653691766</v>
      </c>
      <c r="J5" s="11" t="str">
        <f>LBE_Modelo!B30</f>
        <v>Válido com reserva</v>
      </c>
      <c r="K5" s="11" t="s">
        <v>15</v>
      </c>
      <c r="L5" s="10">
        <v>46280</v>
      </c>
      <c r="M5" s="11" t="s">
        <v>492</v>
      </c>
      <c r="N5" s="10">
        <v>46599</v>
      </c>
    </row>
    <row r="6" spans="1:14" ht="36" customHeight="1" x14ac:dyDescent="0.3">
      <c r="A6" s="11" t="s">
        <v>352</v>
      </c>
      <c r="B6" s="11" t="s">
        <v>339</v>
      </c>
      <c r="C6" s="11" t="s">
        <v>493</v>
      </c>
      <c r="D6" s="10">
        <v>45717</v>
      </c>
      <c r="E6" s="10">
        <v>46081</v>
      </c>
      <c r="F6" s="30">
        <f t="shared" si="0"/>
        <v>12</v>
      </c>
      <c r="G6" s="11" t="s">
        <v>494</v>
      </c>
      <c r="H6" s="29">
        <f>IF(A6="","",IFERROR(INDEX(tbl_kpi[Baseline],MATCH(B6,tbl_kpi[ID_KPI],0)),""))</f>
        <v>111.09142160138352</v>
      </c>
      <c r="I6" s="31"/>
      <c r="J6" s="11"/>
      <c r="K6" s="11" t="s">
        <v>15</v>
      </c>
      <c r="L6" s="10">
        <v>46280</v>
      </c>
      <c r="M6" s="11" t="s">
        <v>492</v>
      </c>
      <c r="N6" s="10">
        <v>46599</v>
      </c>
    </row>
    <row r="7" spans="1:14" ht="36" customHeight="1" x14ac:dyDescent="0.3">
      <c r="A7" s="11" t="s">
        <v>369</v>
      </c>
      <c r="B7" s="11" t="s">
        <v>356</v>
      </c>
      <c r="C7" s="11" t="s">
        <v>495</v>
      </c>
      <c r="D7" s="10">
        <v>45717</v>
      </c>
      <c r="E7" s="10">
        <v>46081</v>
      </c>
      <c r="F7" s="30">
        <f t="shared" si="0"/>
        <v>12</v>
      </c>
      <c r="G7" s="11" t="s">
        <v>494</v>
      </c>
      <c r="H7" s="29">
        <f>IF(A7="","",IFERROR(INDEX(tbl_kpi[Baseline],MATCH(B7,tbl_kpi[ID_KPI],0)),""))</f>
        <v>112.54659050807631</v>
      </c>
      <c r="I7" s="31"/>
      <c r="J7" s="11"/>
      <c r="K7" s="11" t="s">
        <v>15</v>
      </c>
      <c r="L7" s="10">
        <v>46280</v>
      </c>
      <c r="M7" s="11" t="s">
        <v>492</v>
      </c>
      <c r="N7" s="10">
        <v>46752</v>
      </c>
    </row>
    <row r="8" spans="1:14" ht="36" customHeight="1" x14ac:dyDescent="0.3">
      <c r="A8" s="11" t="s">
        <v>380</v>
      </c>
      <c r="B8" s="11" t="s">
        <v>372</v>
      </c>
      <c r="C8" s="11" t="s">
        <v>496</v>
      </c>
      <c r="D8" s="10">
        <v>45717</v>
      </c>
      <c r="E8" s="10">
        <v>46081</v>
      </c>
      <c r="F8" s="30">
        <f t="shared" si="0"/>
        <v>12</v>
      </c>
      <c r="G8" s="11" t="s">
        <v>494</v>
      </c>
      <c r="H8" s="29">
        <f>IF(A8="","",IFERROR(INDEX(tbl_kpi[Baseline],MATCH(B8,tbl_kpi[ID_KPI],0)),""))</f>
        <v>48.814601831113663</v>
      </c>
      <c r="I8" s="31"/>
      <c r="J8" s="11"/>
      <c r="K8" s="11" t="s">
        <v>15</v>
      </c>
      <c r="L8" s="10">
        <v>46280</v>
      </c>
      <c r="M8" s="11" t="s">
        <v>492</v>
      </c>
      <c r="N8" s="10">
        <v>46752</v>
      </c>
    </row>
    <row r="9" spans="1:14" ht="36" customHeight="1" x14ac:dyDescent="0.3">
      <c r="A9" s="11" t="s">
        <v>406</v>
      </c>
      <c r="B9" s="11" t="s">
        <v>392</v>
      </c>
      <c r="C9" s="11" t="s">
        <v>497</v>
      </c>
      <c r="D9" s="10">
        <v>45717</v>
      </c>
      <c r="E9" s="10">
        <v>46081</v>
      </c>
      <c r="F9" s="30">
        <f t="shared" si="0"/>
        <v>12</v>
      </c>
      <c r="G9" s="11" t="s">
        <v>494</v>
      </c>
      <c r="H9" s="29">
        <f>IF(A9="","",IFERROR(INDEX(tbl_kpi[Baseline],MATCH(B9,tbl_kpi[ID_KPI],0)),""))</f>
        <v>0.10679345745352008</v>
      </c>
      <c r="I9" s="31"/>
      <c r="J9" s="11"/>
      <c r="K9" s="11" t="s">
        <v>15</v>
      </c>
      <c r="L9" s="10">
        <v>46280</v>
      </c>
      <c r="M9" s="11" t="s">
        <v>492</v>
      </c>
      <c r="N9" s="10">
        <v>46752</v>
      </c>
    </row>
    <row r="10" spans="1:14" ht="36" customHeight="1" x14ac:dyDescent="0.3">
      <c r="A10" s="11" t="s">
        <v>432</v>
      </c>
      <c r="B10" s="11" t="s">
        <v>421</v>
      </c>
      <c r="C10" s="11" t="s">
        <v>498</v>
      </c>
      <c r="D10" s="10">
        <v>46034</v>
      </c>
      <c r="E10" s="10">
        <v>46040</v>
      </c>
      <c r="F10" s="30">
        <f t="shared" si="0"/>
        <v>1</v>
      </c>
      <c r="G10" s="11" t="s">
        <v>499</v>
      </c>
      <c r="H10" s="29">
        <f>IF(A10="","",IFERROR(INDEX(tbl_kpi[Baseline],MATCH(B10,tbl_kpi[ID_KPI],0)),""))</f>
        <v>0.13370000000000001</v>
      </c>
      <c r="I10" s="31"/>
      <c r="J10" s="11"/>
      <c r="K10" s="11" t="s">
        <v>15</v>
      </c>
      <c r="L10" s="10">
        <v>46280</v>
      </c>
      <c r="M10" s="11" t="s">
        <v>492</v>
      </c>
      <c r="N10" s="10">
        <v>46568</v>
      </c>
    </row>
    <row r="11" spans="1:14" ht="36" customHeight="1" x14ac:dyDescent="0.3">
      <c r="A11" s="11" t="s">
        <v>446</v>
      </c>
      <c r="B11" s="11" t="s">
        <v>436</v>
      </c>
      <c r="C11" s="11" t="s">
        <v>500</v>
      </c>
      <c r="D11" s="10">
        <v>45717</v>
      </c>
      <c r="E11" s="10">
        <v>46081</v>
      </c>
      <c r="F11" s="30">
        <f t="shared" si="0"/>
        <v>12</v>
      </c>
      <c r="G11" s="11" t="s">
        <v>501</v>
      </c>
      <c r="H11" s="29">
        <f>IF(A11="","",IFERROR(INDEX(tbl_kpi[Baseline],MATCH(B11,tbl_kpi[ID_KPI],0)),""))</f>
        <v>565.48991666666666</v>
      </c>
      <c r="I11" s="31"/>
      <c r="J11" s="11"/>
      <c r="K11" s="11" t="s">
        <v>15</v>
      </c>
      <c r="L11" s="10">
        <v>46280</v>
      </c>
      <c r="M11" s="11" t="s">
        <v>492</v>
      </c>
      <c r="N11" s="10">
        <v>46599</v>
      </c>
    </row>
    <row r="12" spans="1:14" ht="36" customHeight="1" x14ac:dyDescent="0.3">
      <c r="A12" s="11" t="s">
        <v>457</v>
      </c>
      <c r="B12" s="11" t="s">
        <v>449</v>
      </c>
      <c r="C12" s="11" t="s">
        <v>502</v>
      </c>
      <c r="D12" s="10">
        <v>45658</v>
      </c>
      <c r="E12" s="10">
        <v>46022</v>
      </c>
      <c r="F12" s="30">
        <f t="shared" si="0"/>
        <v>12</v>
      </c>
      <c r="G12" s="11" t="s">
        <v>503</v>
      </c>
      <c r="H12" s="29">
        <f>IF(A12="","",IFERROR(INDEX(tbl_kpi[Baseline],MATCH(B12,tbl_kpi[ID_KPI],0)),""))</f>
        <v>0.55000000000000004</v>
      </c>
      <c r="I12" s="31"/>
      <c r="J12" s="11"/>
      <c r="K12" s="11" t="s">
        <v>15</v>
      </c>
      <c r="L12" s="10">
        <v>46280</v>
      </c>
      <c r="M12" s="11" t="s">
        <v>492</v>
      </c>
      <c r="N12" s="10">
        <v>46568</v>
      </c>
    </row>
  </sheetData>
  <dataValidations count="1">
    <dataValidation type="list" allowBlank="1" showErrorMessage="1" errorTitle="Valor inválido" error="Valor fora da lista controlada (ver folha Listas)." sqref="K5:K212" xr:uid="{00000000-0002-0000-0600-000000000000}">
      <formula1>lst_EstadoLBE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18" customWidth="1"/>
    <col min="4" max="4" width="44" customWidth="1"/>
    <col min="5" max="5" width="16" customWidth="1"/>
    <col min="6" max="6" width="56" customWidth="1"/>
    <col min="7" max="7" width="34" customWidth="1"/>
    <col min="8" max="8" width="10" customWidth="1"/>
    <col min="9" max="9" width="22" customWidth="1"/>
    <col min="10" max="10" width="11" customWidth="1"/>
  </cols>
  <sheetData>
    <row r="1" spans="1:10" ht="17.399999999999999" x14ac:dyDescent="0.3">
      <c r="A1" s="1" t="s">
        <v>504</v>
      </c>
    </row>
    <row r="4" spans="1:10" ht="26.4" x14ac:dyDescent="0.3">
      <c r="A4" s="8" t="s">
        <v>505</v>
      </c>
      <c r="B4" s="8" t="s">
        <v>506</v>
      </c>
      <c r="C4" s="8" t="s">
        <v>507</v>
      </c>
      <c r="D4" s="8" t="s">
        <v>479</v>
      </c>
      <c r="E4" s="8" t="s">
        <v>508</v>
      </c>
      <c r="F4" s="8" t="s">
        <v>509</v>
      </c>
      <c r="G4" s="8" t="s">
        <v>510</v>
      </c>
      <c r="H4" s="8" t="s">
        <v>14</v>
      </c>
      <c r="I4" s="8" t="s">
        <v>301</v>
      </c>
      <c r="J4" s="8" t="s">
        <v>487</v>
      </c>
    </row>
    <row r="5" spans="1:10" ht="60" customHeight="1" x14ac:dyDescent="0.3">
      <c r="A5" s="11" t="s">
        <v>511</v>
      </c>
      <c r="B5" s="10">
        <v>46204</v>
      </c>
      <c r="C5" s="11" t="s">
        <v>512</v>
      </c>
      <c r="D5" s="11" t="s">
        <v>513</v>
      </c>
      <c r="E5" s="11" t="s">
        <v>334</v>
      </c>
      <c r="F5" s="11" t="s">
        <v>514</v>
      </c>
      <c r="G5" s="11" t="s">
        <v>515</v>
      </c>
      <c r="H5" s="11" t="s">
        <v>516</v>
      </c>
      <c r="I5" s="11" t="s">
        <v>326</v>
      </c>
      <c r="J5" s="10">
        <v>46280</v>
      </c>
    </row>
    <row r="6" spans="1:10" ht="60" customHeight="1" x14ac:dyDescent="0.3">
      <c r="A6" s="11" t="s">
        <v>517</v>
      </c>
      <c r="B6" s="10">
        <v>46054</v>
      </c>
      <c r="C6" s="11" t="s">
        <v>518</v>
      </c>
      <c r="D6" s="11" t="s">
        <v>519</v>
      </c>
      <c r="E6" s="11" t="s">
        <v>520</v>
      </c>
      <c r="F6" s="11" t="s">
        <v>521</v>
      </c>
      <c r="G6" s="11" t="s">
        <v>336</v>
      </c>
      <c r="H6" s="11" t="s">
        <v>516</v>
      </c>
      <c r="I6" s="11" t="s">
        <v>326</v>
      </c>
      <c r="J6" s="10">
        <v>46280</v>
      </c>
    </row>
    <row r="7" spans="1:10" ht="60" customHeight="1" x14ac:dyDescent="0.3">
      <c r="A7" s="11" t="s">
        <v>522</v>
      </c>
      <c r="B7" s="10">
        <v>46371</v>
      </c>
      <c r="C7" s="11" t="s">
        <v>523</v>
      </c>
      <c r="D7" s="11" t="s">
        <v>524</v>
      </c>
      <c r="E7" s="11" t="s">
        <v>525</v>
      </c>
      <c r="F7" s="11" t="s">
        <v>526</v>
      </c>
      <c r="G7" s="11" t="s">
        <v>527</v>
      </c>
      <c r="H7" s="11" t="s">
        <v>516</v>
      </c>
      <c r="I7" s="11" t="s">
        <v>326</v>
      </c>
      <c r="J7" s="10">
        <v>46374</v>
      </c>
    </row>
    <row r="8" spans="1:10" ht="60" customHeight="1" x14ac:dyDescent="0.3">
      <c r="A8" s="11" t="s">
        <v>528</v>
      </c>
      <c r="B8" s="10">
        <v>46568</v>
      </c>
      <c r="C8" s="11" t="s">
        <v>529</v>
      </c>
      <c r="D8" s="11" t="s">
        <v>530</v>
      </c>
      <c r="E8" s="11" t="s">
        <v>531</v>
      </c>
      <c r="F8" s="11" t="s">
        <v>532</v>
      </c>
      <c r="G8" s="11" t="s">
        <v>336</v>
      </c>
      <c r="H8" s="11" t="s">
        <v>533</v>
      </c>
      <c r="I8" s="11" t="s">
        <v>454</v>
      </c>
      <c r="J8" s="10"/>
    </row>
  </sheetData>
  <dataValidations count="1">
    <dataValidation type="list" allowBlank="1" showErrorMessage="1" errorTitle="Valor inválido" error="Valor fora da lista controlada (ver folha Listas)." sqref="I5:I208" xr:uid="{00000000-0002-0000-07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8" customWidth="1"/>
    <col min="3" max="4" width="36" customWidth="1"/>
    <col min="5" max="5" width="18" customWidth="1"/>
    <col min="6" max="6" width="10" customWidth="1"/>
  </cols>
  <sheetData>
    <row r="1" spans="1:6" ht="17.399999999999999" x14ac:dyDescent="0.3">
      <c r="A1" s="1" t="s">
        <v>534</v>
      </c>
    </row>
    <row r="4" spans="1:6" ht="26.4" x14ac:dyDescent="0.3">
      <c r="A4" s="8" t="s">
        <v>535</v>
      </c>
      <c r="B4" s="8" t="s">
        <v>536</v>
      </c>
      <c r="C4" s="8" t="s">
        <v>537</v>
      </c>
      <c r="D4" s="8" t="s">
        <v>538</v>
      </c>
      <c r="E4" s="8" t="s">
        <v>539</v>
      </c>
      <c r="F4" s="8" t="s">
        <v>505</v>
      </c>
    </row>
    <row r="5" spans="1:6" ht="30" customHeight="1" x14ac:dyDescent="0.3">
      <c r="A5" s="11" t="s">
        <v>540</v>
      </c>
      <c r="B5" s="11" t="s">
        <v>541</v>
      </c>
      <c r="C5" s="11" t="s">
        <v>542</v>
      </c>
      <c r="D5" s="11" t="s">
        <v>543</v>
      </c>
      <c r="E5" s="11" t="s">
        <v>544</v>
      </c>
      <c r="F5" s="11" t="s">
        <v>511</v>
      </c>
    </row>
    <row r="6" spans="1:6" ht="30" customHeight="1" x14ac:dyDescent="0.3">
      <c r="A6" s="11" t="s">
        <v>545</v>
      </c>
      <c r="B6" s="11" t="s">
        <v>546</v>
      </c>
      <c r="C6" s="11" t="s">
        <v>547</v>
      </c>
      <c r="D6" s="11" t="s">
        <v>548</v>
      </c>
      <c r="E6" s="11" t="s">
        <v>549</v>
      </c>
      <c r="F6" s="11" t="s">
        <v>336</v>
      </c>
    </row>
    <row r="7" spans="1:6" ht="30" customHeight="1" x14ac:dyDescent="0.3">
      <c r="A7" s="11" t="s">
        <v>550</v>
      </c>
      <c r="B7" s="11" t="s">
        <v>551</v>
      </c>
      <c r="C7" s="11" t="s">
        <v>552</v>
      </c>
      <c r="D7" s="11" t="s">
        <v>553</v>
      </c>
      <c r="E7" s="11" t="s">
        <v>544</v>
      </c>
      <c r="F7" s="11" t="s">
        <v>511</v>
      </c>
    </row>
    <row r="8" spans="1:6" ht="30" customHeight="1" x14ac:dyDescent="0.3">
      <c r="A8" s="11" t="s">
        <v>554</v>
      </c>
      <c r="B8" s="11" t="s">
        <v>555</v>
      </c>
      <c r="C8" s="11" t="s">
        <v>556</v>
      </c>
      <c r="D8" s="11" t="s">
        <v>548</v>
      </c>
      <c r="E8" s="11" t="s">
        <v>549</v>
      </c>
      <c r="F8" s="11" t="s">
        <v>336</v>
      </c>
    </row>
    <row r="9" spans="1:6" ht="30" customHeight="1" x14ac:dyDescent="0.3">
      <c r="A9" s="11" t="s">
        <v>557</v>
      </c>
      <c r="B9" s="11" t="s">
        <v>558</v>
      </c>
      <c r="C9" s="11" t="s">
        <v>559</v>
      </c>
      <c r="D9" s="11" t="s">
        <v>560</v>
      </c>
      <c r="E9" s="11" t="s">
        <v>549</v>
      </c>
      <c r="F9" s="11" t="s">
        <v>528</v>
      </c>
    </row>
    <row r="10" spans="1:6" ht="30" customHeight="1" x14ac:dyDescent="0.3">
      <c r="A10" s="11" t="s">
        <v>561</v>
      </c>
      <c r="B10" s="11" t="s">
        <v>416</v>
      </c>
      <c r="C10" s="11" t="s">
        <v>562</v>
      </c>
      <c r="D10" s="11" t="s">
        <v>563</v>
      </c>
      <c r="E10" s="11" t="s">
        <v>564</v>
      </c>
      <c r="F10" s="11" t="s">
        <v>517</v>
      </c>
    </row>
    <row r="11" spans="1:6" ht="30" customHeight="1" x14ac:dyDescent="0.3">
      <c r="A11" s="11" t="s">
        <v>565</v>
      </c>
      <c r="B11" s="11" t="s">
        <v>566</v>
      </c>
      <c r="C11" s="11" t="s">
        <v>567</v>
      </c>
      <c r="D11" s="11" t="s">
        <v>548</v>
      </c>
      <c r="E11" s="11" t="s">
        <v>549</v>
      </c>
      <c r="F11" s="11" t="s">
        <v>336</v>
      </c>
    </row>
  </sheetData>
  <conditionalFormatting sqref="E5:E211">
    <cfRule type="expression" dxfId="11" priority="1">
      <formula>ISNUMBER(SEARCH("Alterado",E5))</formula>
    </cfRule>
    <cfRule type="expression" dxfId="10" priority="2">
      <formula>ISNUMBER(SEARCH("Sem alteração",E5))</formula>
    </cfRule>
    <cfRule type="expression" dxfId="9" priority="3">
      <formula>ISNUMBER(SEARCH("ação de melhoria",E5))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3" width="10" customWidth="1"/>
    <col min="4" max="4" width="60" customWidth="1"/>
    <col min="5" max="5" width="40" customWidth="1"/>
  </cols>
  <sheetData>
    <row r="1" spans="1:5" ht="17.399999999999999" x14ac:dyDescent="0.3">
      <c r="A1" s="1" t="s">
        <v>568</v>
      </c>
    </row>
    <row r="4" spans="1:5" x14ac:dyDescent="0.3">
      <c r="A4" s="8" t="s">
        <v>569</v>
      </c>
      <c r="B4" s="8" t="s">
        <v>178</v>
      </c>
      <c r="C4" s="8" t="s">
        <v>256</v>
      </c>
      <c r="D4" s="8" t="s">
        <v>479</v>
      </c>
      <c r="E4" s="8" t="s">
        <v>255</v>
      </c>
    </row>
    <row r="5" spans="1:5" ht="18" customHeight="1" x14ac:dyDescent="0.3">
      <c r="A5" s="11" t="s">
        <v>570</v>
      </c>
      <c r="B5" s="31">
        <v>0.13350000000000001</v>
      </c>
      <c r="C5" s="11" t="s">
        <v>571</v>
      </c>
      <c r="D5" s="11" t="s">
        <v>572</v>
      </c>
      <c r="E5" s="11" t="s">
        <v>573</v>
      </c>
    </row>
    <row r="6" spans="1:5" ht="18" customHeight="1" x14ac:dyDescent="0.3">
      <c r="A6" s="11" t="s">
        <v>574</v>
      </c>
      <c r="B6" s="31">
        <v>10</v>
      </c>
      <c r="C6" s="11" t="s">
        <v>575</v>
      </c>
      <c r="D6" s="11" t="s">
        <v>576</v>
      </c>
      <c r="E6" s="11" t="s">
        <v>577</v>
      </c>
    </row>
    <row r="7" spans="1:5" ht="18" customHeight="1" x14ac:dyDescent="0.3">
      <c r="A7" s="11" t="s">
        <v>578</v>
      </c>
      <c r="B7" s="31">
        <v>0.1</v>
      </c>
      <c r="C7" s="11" t="s">
        <v>395</v>
      </c>
      <c r="D7" s="11" t="s">
        <v>579</v>
      </c>
      <c r="E7" s="11" t="s">
        <v>580</v>
      </c>
    </row>
    <row r="8" spans="1:5" ht="18" customHeight="1" x14ac:dyDescent="0.3">
      <c r="A8" s="11" t="s">
        <v>581</v>
      </c>
      <c r="B8" s="31">
        <v>15</v>
      </c>
      <c r="C8" s="11" t="s">
        <v>290</v>
      </c>
      <c r="D8" s="11" t="s">
        <v>582</v>
      </c>
      <c r="E8" s="11" t="s">
        <v>583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6" customWidth="1"/>
    <col min="4" max="4" width="22" customWidth="1"/>
    <col min="5" max="5" width="36" customWidth="1"/>
    <col min="6" max="6" width="46" customWidth="1"/>
    <col min="7" max="7" width="9" customWidth="1"/>
    <col min="8" max="8" width="28" customWidth="1"/>
    <col min="9" max="10" width="9" customWidth="1"/>
    <col min="11" max="11" width="14" customWidth="1"/>
    <col min="12" max="12" width="9" customWidth="1"/>
    <col min="13" max="13" width="11" customWidth="1"/>
    <col min="14" max="15" width="26" customWidth="1"/>
    <col min="16" max="16" width="11" customWidth="1"/>
    <col min="17" max="17" width="22" customWidth="1"/>
    <col min="18" max="18" width="20" customWidth="1"/>
    <col min="19" max="19" width="11" customWidth="1"/>
    <col min="20" max="20" width="10" customWidth="1"/>
    <col min="21" max="21" width="9" customWidth="1"/>
    <col min="22" max="22" width="8" customWidth="1"/>
    <col min="23" max="27" width="7" customWidth="1"/>
    <col min="28" max="28" width="10" customWidth="1"/>
    <col min="29" max="29" width="11" customWidth="1"/>
    <col min="30" max="30" width="16" customWidth="1"/>
    <col min="31" max="31" width="18" customWidth="1"/>
    <col min="32" max="32" width="28" customWidth="1"/>
    <col min="33" max="34" width="22" customWidth="1"/>
    <col min="35" max="35" width="8" customWidth="1"/>
  </cols>
  <sheetData>
    <row r="1" spans="1:35" ht="17.399999999999999" x14ac:dyDescent="0.3">
      <c r="A1" s="1" t="s">
        <v>584</v>
      </c>
    </row>
    <row r="2" spans="1:35" x14ac:dyDescent="0.3">
      <c r="A2" s="2" t="s">
        <v>585</v>
      </c>
    </row>
    <row r="4" spans="1:35" ht="39.6" x14ac:dyDescent="0.3">
      <c r="A4" s="8" t="s">
        <v>303</v>
      </c>
      <c r="B4" s="8" t="s">
        <v>586</v>
      </c>
      <c r="C4" s="8" t="s">
        <v>587</v>
      </c>
      <c r="D4" s="8" t="s">
        <v>588</v>
      </c>
      <c r="E4" s="8" t="s">
        <v>589</v>
      </c>
      <c r="F4" s="8" t="s">
        <v>590</v>
      </c>
      <c r="G4" s="8" t="s">
        <v>294</v>
      </c>
      <c r="H4" s="9" t="s">
        <v>591</v>
      </c>
      <c r="I4" s="9" t="s">
        <v>302</v>
      </c>
      <c r="J4" s="8" t="s">
        <v>592</v>
      </c>
      <c r="K4" s="8" t="s">
        <v>593</v>
      </c>
      <c r="L4" s="8" t="s">
        <v>594</v>
      </c>
      <c r="M4" s="8" t="s">
        <v>595</v>
      </c>
      <c r="N4" s="8" t="s">
        <v>596</v>
      </c>
      <c r="O4" s="8" t="s">
        <v>597</v>
      </c>
      <c r="P4" s="8" t="s">
        <v>598</v>
      </c>
      <c r="Q4" s="8" t="s">
        <v>301</v>
      </c>
      <c r="R4" s="8" t="s">
        <v>599</v>
      </c>
      <c r="S4" s="9" t="s">
        <v>14</v>
      </c>
      <c r="T4" s="9" t="s">
        <v>600</v>
      </c>
      <c r="U4" s="9" t="s">
        <v>601</v>
      </c>
      <c r="V4" s="9" t="s">
        <v>602</v>
      </c>
      <c r="W4" s="9" t="s">
        <v>603</v>
      </c>
      <c r="X4" s="9" t="s">
        <v>604</v>
      </c>
      <c r="Y4" s="9" t="s">
        <v>605</v>
      </c>
      <c r="Z4" s="9" t="s">
        <v>606</v>
      </c>
      <c r="AA4" s="9" t="s">
        <v>607</v>
      </c>
      <c r="AB4" s="9" t="s">
        <v>608</v>
      </c>
      <c r="AC4" s="8" t="s">
        <v>487</v>
      </c>
      <c r="AD4" s="8" t="s">
        <v>609</v>
      </c>
      <c r="AE4" s="8" t="s">
        <v>610</v>
      </c>
      <c r="AF4" s="8" t="s">
        <v>611</v>
      </c>
      <c r="AG4" s="8" t="s">
        <v>612</v>
      </c>
      <c r="AH4" s="8" t="s">
        <v>613</v>
      </c>
      <c r="AI4" s="9" t="s">
        <v>297</v>
      </c>
    </row>
    <row r="5" spans="1:35" ht="60" customHeight="1" x14ac:dyDescent="0.3">
      <c r="A5" s="11" t="s">
        <v>327</v>
      </c>
      <c r="B5" s="11" t="s">
        <v>614</v>
      </c>
      <c r="C5" s="11" t="s">
        <v>615</v>
      </c>
      <c r="D5" s="11" t="s">
        <v>616</v>
      </c>
      <c r="E5" s="11" t="s">
        <v>617</v>
      </c>
      <c r="F5" s="11" t="s">
        <v>618</v>
      </c>
      <c r="G5" s="11" t="s">
        <v>318</v>
      </c>
      <c r="H5" s="17" t="str">
        <f>IFERROR(INDEX(tbl_kpi[Nome],MATCH(G5,tbl_kpi[ID_KPI],0))&amp;" ("&amp;INDEX(tbl_kpi[Unidade],MATCH(G5,tbl_kpi[ID_KPI],0))&amp;")","")</f>
        <v>Melhoria do desempenho energético da instalação (consumo normalizado) (%)</v>
      </c>
      <c r="I5" s="29">
        <f>IF(A5="","",IFERROR(INDEX(tbl_kpi[Baseline],MATCH(G5,tbl_kpi[ID_KPI],0)),""))</f>
        <v>0</v>
      </c>
      <c r="J5" s="11" t="s">
        <v>619</v>
      </c>
      <c r="K5" s="11" t="s">
        <v>620</v>
      </c>
      <c r="L5" s="21">
        <v>0.05</v>
      </c>
      <c r="M5" s="10">
        <v>46752</v>
      </c>
      <c r="N5" s="11" t="s">
        <v>621</v>
      </c>
      <c r="O5" s="11" t="s">
        <v>622</v>
      </c>
      <c r="P5" s="32">
        <v>185000</v>
      </c>
      <c r="Q5" s="11" t="s">
        <v>326</v>
      </c>
      <c r="R5" s="11" t="s">
        <v>623</v>
      </c>
      <c r="S5" s="17" t="str">
        <f t="shared" ref="S5:S10" si="0">IF(A5="","",IF(NOT(ISNUMBER(T5)),"Sem dado",IF(AI5="Maior",IF(T5&gt;=L5,"Atingido","Em curso"),IF(T5&lt;=L5,"Atingido","Em curso"))))</f>
        <v>Em curso</v>
      </c>
      <c r="T5" s="29">
        <f>IF(A5="","",IF(G5="IDE-01",IFERROR(LBE_Modelo!$B$43,""),IFERROR(INDEX(tbl_kpi[Valor_Reporte],MATCH(G5,tbl_kpi[ID_KPI],0)),"")))</f>
        <v>1.9359209796662002E-2</v>
      </c>
      <c r="U5" s="33">
        <f t="shared" ref="U5:U10" si="1">IF(A5="","",IF(OR(NOT(ISNUMBER(T5)),NOT(ISNUMBER(I5))),"",IF(L5=I5,"",MAX(-1,MIN(1,(T5-I5)/(L5-I5))))))</f>
        <v>0.38718419593324005</v>
      </c>
      <c r="V5" s="30">
        <f t="shared" ref="V5:V10" si="2">IF(A5="","",M5-DataRef)</f>
        <v>365</v>
      </c>
      <c r="W5" s="17" t="str">
        <f t="shared" ref="W5:W10" si="3">IF(A5="","",IF(AND(LEN(F5)&gt;40,G5&lt;&gt;""),"✔","✘"))</f>
        <v>✔</v>
      </c>
      <c r="X5" s="17" t="str">
        <f t="shared" ref="X5:X10" si="4">IF(A5="","",IF(ISNUMBER(L5),"✔","✘"))</f>
        <v>✔</v>
      </c>
      <c r="Y5" s="17" t="str">
        <f t="shared" ref="Y5:Y10" si="5">IF(A5="","",IF(AND(N5&lt;&gt;"",Q5&lt;&gt;"",R5&lt;&gt;""),"✔","✘"))</f>
        <v>✔</v>
      </c>
      <c r="Z5" s="17" t="str">
        <f t="shared" ref="Z5:Z10" si="6">IF(A5="","",IF(AND(B5&lt;&gt;"",D5&lt;&gt;""),"✔","✘"))</f>
        <v>✔</v>
      </c>
      <c r="AA5" s="17" t="str">
        <f t="shared" ref="AA5:AA10" si="7">IF(A5="","",IF(ISNUMBER(M5),"✔","✘"))</f>
        <v>✔</v>
      </c>
      <c r="AB5" s="17" t="str">
        <f t="shared" ref="AB5:AB10" si="8">IF(A5="","",IF((W5="✔")+(X5="✔")+(Y5="✔")+(Z5="✔")+(AA5="✔")=5,"SMART","Rever"))</f>
        <v>SMART</v>
      </c>
      <c r="AC5" s="10">
        <v>46294</v>
      </c>
      <c r="AD5" s="11" t="s">
        <v>624</v>
      </c>
      <c r="AE5" s="11" t="s">
        <v>625</v>
      </c>
      <c r="AF5" s="11" t="s">
        <v>626</v>
      </c>
      <c r="AG5" s="11" t="s">
        <v>627</v>
      </c>
      <c r="AH5" s="11" t="s">
        <v>628</v>
      </c>
      <c r="AI5" s="17" t="str">
        <f>IF(A5="","",IFERROR(INDEX(tbl_kpi[Polaridade],MATCH(G5,tbl_kpi[ID_KPI],0)),""))</f>
        <v>Maior</v>
      </c>
    </row>
    <row r="6" spans="1:35" ht="60" customHeight="1" x14ac:dyDescent="0.3">
      <c r="A6" s="11" t="s">
        <v>414</v>
      </c>
      <c r="B6" s="11" t="s">
        <v>629</v>
      </c>
      <c r="C6" s="11" t="s">
        <v>615</v>
      </c>
      <c r="D6" s="11" t="s">
        <v>630</v>
      </c>
      <c r="E6" s="11" t="s">
        <v>631</v>
      </c>
      <c r="F6" s="11" t="s">
        <v>632</v>
      </c>
      <c r="G6" s="11" t="s">
        <v>421</v>
      </c>
      <c r="H6" s="17" t="str">
        <f>IFERROR(INDEX(tbl_kpi[Nome],MATCH(G6,tbl_kpi[ID_KPI],0))&amp;" ("&amp;INDEX(tbl_kpi[Unidade],MATCH(G6,tbl_kpi[ID_KPI],0))&amp;")","")</f>
        <v>Potência específica da central de ar comprimido (kWh/Nm³)</v>
      </c>
      <c r="I6" s="29">
        <f>IF(A6="","",IFERROR(INDEX(tbl_kpi[Baseline],MATCH(G6,tbl_kpi[ID_KPI],0)),""))</f>
        <v>0.13370000000000001</v>
      </c>
      <c r="J6" s="11" t="s">
        <v>633</v>
      </c>
      <c r="K6" s="11" t="s">
        <v>634</v>
      </c>
      <c r="L6" s="21">
        <v>0.105</v>
      </c>
      <c r="M6" s="10">
        <v>46568</v>
      </c>
      <c r="N6" s="11" t="s">
        <v>635</v>
      </c>
      <c r="O6" s="11" t="s">
        <v>636</v>
      </c>
      <c r="P6" s="32">
        <v>18000</v>
      </c>
      <c r="Q6" s="11" t="s">
        <v>398</v>
      </c>
      <c r="R6" s="11" t="s">
        <v>637</v>
      </c>
      <c r="S6" s="17" t="str">
        <f t="shared" si="0"/>
        <v>Em curso</v>
      </c>
      <c r="T6" s="29">
        <f>IF(A6="","",IF(G6="IDE-01",IFERROR(LBE_Modelo!$B$43,""),IFERROR(INDEX(tbl_kpi[Valor_Reporte],MATCH(G6,tbl_kpi[ID_KPI],0)),"")))</f>
        <v>0.10639999999999999</v>
      </c>
      <c r="U6" s="33">
        <f t="shared" si="1"/>
        <v>0.95121951219512202</v>
      </c>
      <c r="V6" s="30">
        <f t="shared" si="2"/>
        <v>181</v>
      </c>
      <c r="W6" s="17" t="str">
        <f t="shared" si="3"/>
        <v>✔</v>
      </c>
      <c r="X6" s="17" t="str">
        <f t="shared" si="4"/>
        <v>✔</v>
      </c>
      <c r="Y6" s="17" t="str">
        <f t="shared" si="5"/>
        <v>✔</v>
      </c>
      <c r="Z6" s="17" t="str">
        <f t="shared" si="6"/>
        <v>✔</v>
      </c>
      <c r="AA6" s="17" t="str">
        <f t="shared" si="7"/>
        <v>✔</v>
      </c>
      <c r="AB6" s="17" t="str">
        <f t="shared" si="8"/>
        <v>SMART</v>
      </c>
      <c r="AC6" s="10">
        <v>46294</v>
      </c>
      <c r="AD6" s="11" t="s">
        <v>638</v>
      </c>
      <c r="AE6" s="11" t="s">
        <v>639</v>
      </c>
      <c r="AF6" s="11" t="s">
        <v>336</v>
      </c>
      <c r="AG6" s="11" t="s">
        <v>640</v>
      </c>
      <c r="AH6" s="11" t="s">
        <v>641</v>
      </c>
      <c r="AI6" s="17" t="str">
        <f>IF(A6="","",IFERROR(INDEX(tbl_kpi[Polaridade],MATCH(G6,tbl_kpi[ID_KPI],0)),""))</f>
        <v>Menor</v>
      </c>
    </row>
    <row r="7" spans="1:35" ht="60" customHeight="1" x14ac:dyDescent="0.3">
      <c r="A7" s="11" t="s">
        <v>386</v>
      </c>
      <c r="B7" s="11" t="s">
        <v>614</v>
      </c>
      <c r="C7" s="11" t="s">
        <v>615</v>
      </c>
      <c r="D7" s="11" t="s">
        <v>642</v>
      </c>
      <c r="E7" s="11" t="s">
        <v>643</v>
      </c>
      <c r="F7" s="11" t="s">
        <v>644</v>
      </c>
      <c r="G7" s="11" t="s">
        <v>381</v>
      </c>
      <c r="H7" s="17" t="str">
        <f>IFERROR(INDEX(tbl_kpi[Nome],MATCH(G7,tbl_kpi[ID_KPI],0))&amp;" ("&amp;INDEX(tbl_kpi[Unidade],MATCH(G7,tbl_kpi[ID_KPI],0))&amp;")","")</f>
        <v>Carga de base (energia não associada à produção) (%)</v>
      </c>
      <c r="I7" s="29">
        <f>IF(A7="","",IFERROR(INDEX(tbl_kpi[Baseline],MATCH(G7,tbl_kpi[ID_KPI],0)),""))</f>
        <v>0.16719634037791611</v>
      </c>
      <c r="J7" s="11" t="s">
        <v>633</v>
      </c>
      <c r="K7" s="11" t="s">
        <v>645</v>
      </c>
      <c r="L7" s="21">
        <v>0.14000000000000001</v>
      </c>
      <c r="M7" s="10">
        <v>46477</v>
      </c>
      <c r="N7" s="11" t="s">
        <v>646</v>
      </c>
      <c r="O7" s="11" t="s">
        <v>647</v>
      </c>
      <c r="P7" s="32">
        <v>0</v>
      </c>
      <c r="Q7" s="11" t="s">
        <v>362</v>
      </c>
      <c r="R7" s="11" t="s">
        <v>648</v>
      </c>
      <c r="S7" s="17" t="str">
        <f t="shared" si="0"/>
        <v>Em curso</v>
      </c>
      <c r="T7" s="29">
        <f>IF(A7="","",IF(G7="IDE-01",IFERROR(LBE_Modelo!$B$43,""),IFERROR(INDEX(tbl_kpi[Valor_Reporte],MATCH(G7,tbl_kpi[ID_KPI],0)),"")))</f>
        <v>0.16615393252087546</v>
      </c>
      <c r="U7" s="33">
        <f t="shared" si="1"/>
        <v>3.8328975242827489E-2</v>
      </c>
      <c r="V7" s="30">
        <f t="shared" si="2"/>
        <v>90</v>
      </c>
      <c r="W7" s="17" t="str">
        <f t="shared" si="3"/>
        <v>✔</v>
      </c>
      <c r="X7" s="17" t="str">
        <f t="shared" si="4"/>
        <v>✔</v>
      </c>
      <c r="Y7" s="17" t="str">
        <f t="shared" si="5"/>
        <v>✔</v>
      </c>
      <c r="Z7" s="17" t="str">
        <f t="shared" si="6"/>
        <v>✔</v>
      </c>
      <c r="AA7" s="17" t="str">
        <f t="shared" si="7"/>
        <v>✔</v>
      </c>
      <c r="AB7" s="17" t="str">
        <f t="shared" si="8"/>
        <v>SMART</v>
      </c>
      <c r="AC7" s="10">
        <v>46294</v>
      </c>
      <c r="AD7" s="11" t="s">
        <v>649</v>
      </c>
      <c r="AE7" s="11" t="s">
        <v>650</v>
      </c>
      <c r="AF7" s="11" t="s">
        <v>336</v>
      </c>
      <c r="AG7" s="11" t="s">
        <v>651</v>
      </c>
      <c r="AH7" s="11" t="s">
        <v>652</v>
      </c>
      <c r="AI7" s="17" t="str">
        <f>IF(A7="","",IFERROR(INDEX(tbl_kpi[Polaridade],MATCH(G7,tbl_kpi[ID_KPI],0)),""))</f>
        <v>Menor</v>
      </c>
    </row>
    <row r="8" spans="1:35" ht="60" customHeight="1" x14ac:dyDescent="0.3">
      <c r="A8" s="11" t="s">
        <v>399</v>
      </c>
      <c r="B8" s="11" t="s">
        <v>614</v>
      </c>
      <c r="C8" s="11" t="s">
        <v>615</v>
      </c>
      <c r="D8" s="11" t="s">
        <v>653</v>
      </c>
      <c r="E8" s="11" t="s">
        <v>654</v>
      </c>
      <c r="F8" s="11" t="s">
        <v>655</v>
      </c>
      <c r="G8" s="11" t="s">
        <v>392</v>
      </c>
      <c r="H8" s="17" t="str">
        <f>IFERROR(INDEX(tbl_kpi[Nome],MATCH(G8,tbl_kpi[ID_KPI],0))&amp;" ("&amp;INDEX(tbl_kpi[Unidade],MATCH(G8,tbl_kpi[ID_KPI],0))&amp;")","")</f>
        <v>Rácio de arrefecimento (frio ÷ energia de injeção + sopro) (fração)</v>
      </c>
      <c r="I8" s="29">
        <f>IF(A8="","",IFERROR(INDEX(tbl_kpi[Baseline],MATCH(G8,tbl_kpi[ID_KPI],0)),""))</f>
        <v>0.10679345745352008</v>
      </c>
      <c r="J8" s="11" t="s">
        <v>633</v>
      </c>
      <c r="K8" s="11" t="s">
        <v>656</v>
      </c>
      <c r="L8" s="21">
        <v>9.5000000000000001E-2</v>
      </c>
      <c r="M8" s="10">
        <v>46752</v>
      </c>
      <c r="N8" s="11" t="s">
        <v>657</v>
      </c>
      <c r="O8" s="11" t="s">
        <v>658</v>
      </c>
      <c r="P8" s="32">
        <v>42000</v>
      </c>
      <c r="Q8" s="11" t="s">
        <v>398</v>
      </c>
      <c r="R8" s="11" t="s">
        <v>659</v>
      </c>
      <c r="S8" s="17" t="str">
        <f t="shared" si="0"/>
        <v>Em curso</v>
      </c>
      <c r="T8" s="29">
        <f>IF(A8="","",IF(G8="IDE-01",IFERROR(LBE_Modelo!$B$43,""),IFERROR(INDEX(tbl_kpi[Valor_Reporte],MATCH(G8,tbl_kpi[ID_KPI],0)),"")))</f>
        <v>0.11425927990021401</v>
      </c>
      <c r="U8" s="33">
        <f t="shared" si="1"/>
        <v>-0.63304781283333944</v>
      </c>
      <c r="V8" s="30">
        <f t="shared" si="2"/>
        <v>365</v>
      </c>
      <c r="W8" s="17" t="str">
        <f t="shared" si="3"/>
        <v>✔</v>
      </c>
      <c r="X8" s="17" t="str">
        <f t="shared" si="4"/>
        <v>✔</v>
      </c>
      <c r="Y8" s="17" t="str">
        <f t="shared" si="5"/>
        <v>✔</v>
      </c>
      <c r="Z8" s="17" t="str">
        <f t="shared" si="6"/>
        <v>✔</v>
      </c>
      <c r="AA8" s="17" t="str">
        <f t="shared" si="7"/>
        <v>✔</v>
      </c>
      <c r="AB8" s="17" t="str">
        <f t="shared" si="8"/>
        <v>SMART</v>
      </c>
      <c r="AC8" s="10">
        <v>46294</v>
      </c>
      <c r="AD8" s="11" t="s">
        <v>660</v>
      </c>
      <c r="AE8" s="11" t="s">
        <v>661</v>
      </c>
      <c r="AF8" s="11" t="s">
        <v>662</v>
      </c>
      <c r="AG8" s="11" t="s">
        <v>663</v>
      </c>
      <c r="AH8" s="11" t="s">
        <v>664</v>
      </c>
      <c r="AI8" s="17" t="str">
        <f>IF(A8="","",IFERROR(INDEX(tbl_kpi[Polaridade],MATCH(G8,tbl_kpi[ID_KPI],0)),""))</f>
        <v>Menor</v>
      </c>
    </row>
    <row r="9" spans="1:35" ht="60" customHeight="1" x14ac:dyDescent="0.3">
      <c r="A9" s="11" t="s">
        <v>442</v>
      </c>
      <c r="B9" s="11" t="s">
        <v>665</v>
      </c>
      <c r="C9" s="11" t="s">
        <v>666</v>
      </c>
      <c r="D9" s="11" t="s">
        <v>667</v>
      </c>
      <c r="E9" s="11" t="s">
        <v>668</v>
      </c>
      <c r="F9" s="11" t="s">
        <v>669</v>
      </c>
      <c r="G9" s="11" t="s">
        <v>449</v>
      </c>
      <c r="H9" s="17" t="str">
        <f>IFERROR(INDEX(tbl_kpi[Nome],MATCH(G9,tbl_kpi[ID_KPI],0))&amp;" ("&amp;INDEX(tbl_kpi[Unidade],MATCH(G9,tbl_kpi[ID_KPI],0))&amp;")","")</f>
        <v>Quota de eletricidade renovável (garantias de origem + autoconsumo) (%)</v>
      </c>
      <c r="I9" s="29">
        <f>IF(A9="","",IFERROR(INDEX(tbl_kpi[Baseline],MATCH(G9,tbl_kpi[ID_KPI],0)),""))</f>
        <v>0.55000000000000004</v>
      </c>
      <c r="J9" s="11" t="s">
        <v>633</v>
      </c>
      <c r="K9" s="11" t="s">
        <v>670</v>
      </c>
      <c r="L9" s="21">
        <v>0.8</v>
      </c>
      <c r="M9" s="10">
        <v>47118</v>
      </c>
      <c r="N9" s="11" t="s">
        <v>671</v>
      </c>
      <c r="O9" s="11" t="s">
        <v>672</v>
      </c>
      <c r="P9" s="32">
        <v>850000</v>
      </c>
      <c r="Q9" s="11" t="s">
        <v>454</v>
      </c>
      <c r="R9" s="11" t="s">
        <v>673</v>
      </c>
      <c r="S9" s="17" t="str">
        <f t="shared" si="0"/>
        <v>Em curso</v>
      </c>
      <c r="T9" s="29">
        <f>IF(A9="","",IF(G9="IDE-01",IFERROR(LBE_Modelo!$B$43,""),IFERROR(INDEX(tbl_kpi[Valor_Reporte],MATCH(G9,tbl_kpi[ID_KPI],0)),"")))</f>
        <v>0.55000000000000004</v>
      </c>
      <c r="U9" s="33">
        <f t="shared" si="1"/>
        <v>0</v>
      </c>
      <c r="V9" s="30">
        <f t="shared" si="2"/>
        <v>731</v>
      </c>
      <c r="W9" s="17" t="str">
        <f t="shared" si="3"/>
        <v>✔</v>
      </c>
      <c r="X9" s="17" t="str">
        <f t="shared" si="4"/>
        <v>✔</v>
      </c>
      <c r="Y9" s="17" t="str">
        <f t="shared" si="5"/>
        <v>✔</v>
      </c>
      <c r="Z9" s="17" t="str">
        <f t="shared" si="6"/>
        <v>✔</v>
      </c>
      <c r="AA9" s="17" t="str">
        <f t="shared" si="7"/>
        <v>✔</v>
      </c>
      <c r="AB9" s="17" t="str">
        <f t="shared" si="8"/>
        <v>SMART</v>
      </c>
      <c r="AC9" s="10">
        <v>46294</v>
      </c>
      <c r="AD9" s="11" t="s">
        <v>336</v>
      </c>
      <c r="AE9" s="11" t="s">
        <v>674</v>
      </c>
      <c r="AF9" s="11" t="s">
        <v>675</v>
      </c>
      <c r="AG9" s="11" t="s">
        <v>676</v>
      </c>
      <c r="AH9" s="11" t="s">
        <v>677</v>
      </c>
      <c r="AI9" s="17" t="str">
        <f>IF(A9="","",IFERROR(INDEX(tbl_kpi[Polaridade],MATCH(G9,tbl_kpi[ID_KPI],0)),""))</f>
        <v>Maior</v>
      </c>
    </row>
    <row r="10" spans="1:35" ht="60" customHeight="1" x14ac:dyDescent="0.3">
      <c r="A10" s="11" t="s">
        <v>465</v>
      </c>
      <c r="B10" s="11" t="s">
        <v>678</v>
      </c>
      <c r="C10" s="11" t="s">
        <v>679</v>
      </c>
      <c r="D10" s="11" t="s">
        <v>680</v>
      </c>
      <c r="E10" s="11" t="s">
        <v>681</v>
      </c>
      <c r="F10" s="11" t="s">
        <v>682</v>
      </c>
      <c r="G10" s="11" t="s">
        <v>460</v>
      </c>
      <c r="H10" s="17" t="str">
        <f>IFERROR(INDEX(tbl_kpi[Nome],MATCH(G10,tbl_kpi[ID_KPI],0))&amp;" ("&amp;INDEX(tbl_kpi[Unidade],MATCH(G10,tbl_kpi[ID_KPI],0))&amp;")","")</f>
        <v>Consumo de eletricidade medido por submedição (não estimado) (%)</v>
      </c>
      <c r="I10" s="29">
        <f>IF(A10="","",IFERROR(INDEX(tbl_kpi[Baseline],MATCH(G10,tbl_kpi[ID_KPI],0)),""))</f>
        <v>0</v>
      </c>
      <c r="J10" s="11" t="s">
        <v>633</v>
      </c>
      <c r="K10" s="11" t="s">
        <v>683</v>
      </c>
      <c r="L10" s="21">
        <v>0.9</v>
      </c>
      <c r="M10" s="10">
        <v>46477</v>
      </c>
      <c r="N10" s="11" t="s">
        <v>684</v>
      </c>
      <c r="O10" s="11" t="s">
        <v>685</v>
      </c>
      <c r="P10" s="32">
        <v>38000</v>
      </c>
      <c r="Q10" s="11" t="s">
        <v>686</v>
      </c>
      <c r="R10" s="11" t="s">
        <v>687</v>
      </c>
      <c r="S10" s="17" t="str">
        <f t="shared" si="0"/>
        <v>Atingido</v>
      </c>
      <c r="T10" s="29">
        <f>IF(A10="","",IF(G10="IDE-01",IFERROR(LBE_Modelo!$B$43,""),IFERROR(INDEX(tbl_kpi[Valor_Reporte],MATCH(G10,tbl_kpi[ID_KPI],0)),"")))</f>
        <v>0.95399999999999996</v>
      </c>
      <c r="U10" s="33">
        <f t="shared" si="1"/>
        <v>1</v>
      </c>
      <c r="V10" s="30">
        <f t="shared" si="2"/>
        <v>90</v>
      </c>
      <c r="W10" s="17" t="str">
        <f t="shared" si="3"/>
        <v>✔</v>
      </c>
      <c r="X10" s="17" t="str">
        <f t="shared" si="4"/>
        <v>✔</v>
      </c>
      <c r="Y10" s="17" t="str">
        <f t="shared" si="5"/>
        <v>✔</v>
      </c>
      <c r="Z10" s="17" t="str">
        <f t="shared" si="6"/>
        <v>✔</v>
      </c>
      <c r="AA10" s="17" t="str">
        <f t="shared" si="7"/>
        <v>✔</v>
      </c>
      <c r="AB10" s="17" t="str">
        <f t="shared" si="8"/>
        <v>SMART</v>
      </c>
      <c r="AC10" s="10">
        <v>46294</v>
      </c>
      <c r="AD10" s="11" t="s">
        <v>330</v>
      </c>
      <c r="AE10" s="11" t="s">
        <v>336</v>
      </c>
      <c r="AF10" s="11" t="s">
        <v>688</v>
      </c>
      <c r="AG10" s="11" t="s">
        <v>689</v>
      </c>
      <c r="AH10" s="11" t="s">
        <v>690</v>
      </c>
      <c r="AI10" s="17" t="str">
        <f>IF(A10="","",IFERROR(INDEX(tbl_kpi[Polaridade],MATCH(G10,tbl_kpi[ID_KPI],0)),""))</f>
        <v>Maior</v>
      </c>
    </row>
  </sheetData>
  <conditionalFormatting sqref="S5:S210">
    <cfRule type="expression" dxfId="8" priority="1">
      <formula>ISNUMBER(SEARCH("Atingido",S5))</formula>
    </cfRule>
    <cfRule type="expression" dxfId="7" priority="2">
      <formula>ISNUMBER(SEARCH("Em curso",S5))</formula>
    </cfRule>
    <cfRule type="expression" dxfId="6" priority="3">
      <formula>ISNUMBER(SEARCH("Sem dado",S5))</formula>
    </cfRule>
  </conditionalFormatting>
  <conditionalFormatting sqref="AB5:AB210">
    <cfRule type="expression" dxfId="5" priority="4">
      <formula>ISNUMBER(SEARCH("SMART",AB5))</formula>
    </cfRule>
    <cfRule type="expression" dxfId="4" priority="5">
      <formula>ISNUMBER(SEARCH("Rever",AB5))</formula>
    </cfRule>
  </conditionalFormatting>
  <dataValidations count="1">
    <dataValidation type="list" allowBlank="1" showErrorMessage="1" errorTitle="Valor inválido" error="Valor fora da lista controlada (ver folha Listas)." sqref="Q5:Q210" xr:uid="{00000000-0002-0000-0A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9" customWidth="1"/>
    <col min="4" max="4" width="40" customWidth="1"/>
    <col min="5" max="5" width="9" customWidth="1"/>
    <col min="6" max="6" width="11" customWidth="1"/>
    <col min="7" max="8" width="9" customWidth="1"/>
    <col min="9" max="9" width="11" customWidth="1"/>
  </cols>
  <sheetData>
    <row r="1" spans="1:9" ht="17.399999999999999" x14ac:dyDescent="0.3">
      <c r="A1" s="1" t="s">
        <v>691</v>
      </c>
    </row>
    <row r="4" spans="1:9" ht="26.4" x14ac:dyDescent="0.3">
      <c r="A4" s="8" t="s">
        <v>692</v>
      </c>
      <c r="B4" s="8" t="s">
        <v>303</v>
      </c>
      <c r="C4" s="8" t="s">
        <v>294</v>
      </c>
      <c r="D4" s="8" t="s">
        <v>479</v>
      </c>
      <c r="E4" s="8" t="s">
        <v>594</v>
      </c>
      <c r="F4" s="8" t="s">
        <v>595</v>
      </c>
      <c r="G4" s="9" t="s">
        <v>484</v>
      </c>
      <c r="H4" s="9" t="s">
        <v>600</v>
      </c>
      <c r="I4" s="9" t="s">
        <v>256</v>
      </c>
    </row>
    <row r="5" spans="1:9" ht="18" customHeight="1" x14ac:dyDescent="0.3">
      <c r="A5" s="11" t="s">
        <v>693</v>
      </c>
      <c r="B5" s="11" t="s">
        <v>327</v>
      </c>
      <c r="C5" s="11" t="s">
        <v>318</v>
      </c>
      <c r="D5" s="11" t="s">
        <v>694</v>
      </c>
      <c r="E5" s="21">
        <v>0.02</v>
      </c>
      <c r="F5" s="10">
        <v>46387</v>
      </c>
      <c r="G5" s="29">
        <f>IF(A5="","",IFERROR(INDEX(tbl_kpi[Baseline],MATCH(C5,tbl_kpi[ID_KPI],0)),""))</f>
        <v>0</v>
      </c>
      <c r="H5" s="29">
        <f>IF(A5="","",IFERROR(INDEX(tbl_objetivos[Valor_Atual],MATCH(B5,tbl_objetivos[ID_OBJ],0)),""))</f>
        <v>1.9359209796662002E-2</v>
      </c>
      <c r="I5" s="17" t="str">
        <f>IF(A5="","",IFERROR(INDEX(tbl_kpi[Unidade],MATCH(C5,tbl_kpi[ID_KPI],0)),""))</f>
        <v>%</v>
      </c>
    </row>
    <row r="6" spans="1:9" ht="18" customHeight="1" x14ac:dyDescent="0.3">
      <c r="A6" s="11" t="s">
        <v>695</v>
      </c>
      <c r="B6" s="11" t="s">
        <v>327</v>
      </c>
      <c r="C6" s="11" t="s">
        <v>318</v>
      </c>
      <c r="D6" s="11" t="s">
        <v>696</v>
      </c>
      <c r="E6" s="21">
        <v>0.05</v>
      </c>
      <c r="F6" s="10">
        <v>46752</v>
      </c>
      <c r="G6" s="29">
        <f>IF(A6="","",IFERROR(INDEX(tbl_kpi[Baseline],MATCH(C6,tbl_kpi[ID_KPI],0)),""))</f>
        <v>0</v>
      </c>
      <c r="H6" s="29">
        <f>IF(A6="","",IFERROR(INDEX(tbl_objetivos[Valor_Atual],MATCH(B6,tbl_objetivos[ID_OBJ],0)),""))</f>
        <v>1.9359209796662002E-2</v>
      </c>
      <c r="I6" s="17" t="str">
        <f>IF(A6="","",IFERROR(INDEX(tbl_kpi[Unidade],MATCH(C6,tbl_kpi[ID_KPI],0)),""))</f>
        <v>%</v>
      </c>
    </row>
    <row r="7" spans="1:9" ht="18" customHeight="1" x14ac:dyDescent="0.3">
      <c r="A7" s="11" t="s">
        <v>697</v>
      </c>
      <c r="B7" s="11" t="s">
        <v>327</v>
      </c>
      <c r="C7" s="11" t="s">
        <v>339</v>
      </c>
      <c r="D7" s="11" t="s">
        <v>698</v>
      </c>
      <c r="E7" s="21">
        <v>101</v>
      </c>
      <c r="F7" s="10">
        <v>46752</v>
      </c>
      <c r="G7" s="29">
        <f>IF(A7="","",IFERROR(INDEX(tbl_kpi[Baseline],MATCH(C7,tbl_kpi[ID_KPI],0)),""))</f>
        <v>111.09142160138352</v>
      </c>
      <c r="H7" s="29">
        <f>IF(A7="","",IFERROR(INDEX(tbl_objetivos[Valor_Atual],MATCH(B7,tbl_objetivos[ID_OBJ],0)),""))</f>
        <v>1.9359209796662002E-2</v>
      </c>
      <c r="I7" s="17" t="str">
        <f>IF(A7="","",IFERROR(INDEX(tbl_kpi[Unidade],MATCH(C7,tbl_kpi[ID_KPI],0)),""))</f>
        <v>kWh/1.000 un</v>
      </c>
    </row>
    <row r="8" spans="1:9" ht="18" customHeight="1" x14ac:dyDescent="0.3">
      <c r="A8" s="11" t="s">
        <v>699</v>
      </c>
      <c r="B8" s="11" t="s">
        <v>414</v>
      </c>
      <c r="C8" s="11" t="s">
        <v>421</v>
      </c>
      <c r="D8" s="11" t="s">
        <v>700</v>
      </c>
      <c r="E8" s="21">
        <v>0.105</v>
      </c>
      <c r="F8" s="10">
        <v>46568</v>
      </c>
      <c r="G8" s="29">
        <f>IF(A8="","",IFERROR(INDEX(tbl_kpi[Baseline],MATCH(C8,tbl_kpi[ID_KPI],0)),""))</f>
        <v>0.13370000000000001</v>
      </c>
      <c r="H8" s="29">
        <f>IF(A8="","",IFERROR(INDEX(tbl_objetivos[Valor_Atual],MATCH(B8,tbl_objetivos[ID_OBJ],0)),""))</f>
        <v>0.10639999999999999</v>
      </c>
      <c r="I8" s="17" t="str">
        <f>IF(A8="","",IFERROR(INDEX(tbl_kpi[Unidade],MATCH(C8,tbl_kpi[ID_KPI],0)),""))</f>
        <v>kWh/Nm³</v>
      </c>
    </row>
    <row r="9" spans="1:9" ht="18" customHeight="1" x14ac:dyDescent="0.3">
      <c r="A9" s="11" t="s">
        <v>701</v>
      </c>
      <c r="B9" s="11" t="s">
        <v>386</v>
      </c>
      <c r="C9" s="11" t="s">
        <v>381</v>
      </c>
      <c r="D9" s="11" t="s">
        <v>702</v>
      </c>
      <c r="E9" s="21">
        <v>0.14000000000000001</v>
      </c>
      <c r="F9" s="10">
        <v>46477</v>
      </c>
      <c r="G9" s="29">
        <f>IF(A9="","",IFERROR(INDEX(tbl_kpi[Baseline],MATCH(C9,tbl_kpi[ID_KPI],0)),""))</f>
        <v>0.16719634037791611</v>
      </c>
      <c r="H9" s="29">
        <f>IF(A9="","",IFERROR(INDEX(tbl_objetivos[Valor_Atual],MATCH(B9,tbl_objetivos[ID_OBJ],0)),""))</f>
        <v>0.16615393252087546</v>
      </c>
      <c r="I9" s="17" t="str">
        <f>IF(A9="","",IFERROR(INDEX(tbl_kpi[Unidade],MATCH(C9,tbl_kpi[ID_KPI],0)),""))</f>
        <v>%</v>
      </c>
    </row>
    <row r="10" spans="1:9" ht="18" customHeight="1" x14ac:dyDescent="0.3">
      <c r="A10" s="11" t="s">
        <v>703</v>
      </c>
      <c r="B10" s="11" t="s">
        <v>399</v>
      </c>
      <c r="C10" s="11" t="s">
        <v>392</v>
      </c>
      <c r="D10" s="11" t="s">
        <v>704</v>
      </c>
      <c r="E10" s="21">
        <v>9.5000000000000001E-2</v>
      </c>
      <c r="F10" s="10">
        <v>46752</v>
      </c>
      <c r="G10" s="29">
        <f>IF(A10="","",IFERROR(INDEX(tbl_kpi[Baseline],MATCH(C10,tbl_kpi[ID_KPI],0)),""))</f>
        <v>0.10679345745352008</v>
      </c>
      <c r="H10" s="29">
        <f>IF(A10="","",IFERROR(INDEX(tbl_objetivos[Valor_Atual],MATCH(B10,tbl_objetivos[ID_OBJ],0)),""))</f>
        <v>0.11425927990021401</v>
      </c>
      <c r="I10" s="17" t="str">
        <f>IF(A10="","",IFERROR(INDEX(tbl_kpi[Unidade],MATCH(C10,tbl_kpi[ID_KPI],0)),""))</f>
        <v>fração</v>
      </c>
    </row>
    <row r="11" spans="1:9" ht="18" customHeight="1" x14ac:dyDescent="0.3">
      <c r="A11" s="11" t="s">
        <v>705</v>
      </c>
      <c r="B11" s="11" t="s">
        <v>442</v>
      </c>
      <c r="C11" s="11" t="s">
        <v>449</v>
      </c>
      <c r="D11" s="11" t="s">
        <v>706</v>
      </c>
      <c r="E11" s="21">
        <v>0.8</v>
      </c>
      <c r="F11" s="10">
        <v>47118</v>
      </c>
      <c r="G11" s="29">
        <f>IF(A11="","",IFERROR(INDEX(tbl_kpi[Baseline],MATCH(C11,tbl_kpi[ID_KPI],0)),""))</f>
        <v>0.55000000000000004</v>
      </c>
      <c r="H11" s="29">
        <f>IF(A11="","",IFERROR(INDEX(tbl_objetivos[Valor_Atual],MATCH(B11,tbl_objetivos[ID_OBJ],0)),""))</f>
        <v>0.55000000000000004</v>
      </c>
      <c r="I11" s="17" t="str">
        <f>IF(A11="","",IFERROR(INDEX(tbl_kpi[Unidade],MATCH(C11,tbl_kpi[ID_KPI],0)),""))</f>
        <v>%</v>
      </c>
    </row>
    <row r="12" spans="1:9" ht="18" customHeight="1" x14ac:dyDescent="0.3">
      <c r="A12" s="11" t="s">
        <v>707</v>
      </c>
      <c r="B12" s="11" t="s">
        <v>465</v>
      </c>
      <c r="C12" s="11" t="s">
        <v>460</v>
      </c>
      <c r="D12" s="11" t="s">
        <v>708</v>
      </c>
      <c r="E12" s="21">
        <v>0.9</v>
      </c>
      <c r="F12" s="10">
        <v>46477</v>
      </c>
      <c r="G12" s="29">
        <f>IF(A12="","",IFERROR(INDEX(tbl_kpi[Baseline],MATCH(C12,tbl_kpi[ID_KPI],0)),""))</f>
        <v>0</v>
      </c>
      <c r="H12" s="29">
        <f>IF(A12="","",IFERROR(INDEX(tbl_objetivos[Valor_Atual],MATCH(B12,tbl_objetivos[ID_OBJ],0)),""))</f>
        <v>0.95399999999999996</v>
      </c>
      <c r="I12" s="17" t="str">
        <f>IF(A12="","",IFERROR(INDEX(tbl_kpi[Unidade],MATCH(C12,tbl_kpi[ID_KPI],0)),""))</f>
        <v>%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50" customWidth="1"/>
    <col min="4" max="4" width="28" customWidth="1"/>
    <col min="5" max="5" width="10" customWidth="1"/>
    <col min="6" max="6" width="22" customWidth="1"/>
    <col min="7" max="8" width="11" customWidth="1"/>
    <col min="9" max="10" width="36" customWidth="1"/>
    <col min="11" max="11" width="10" customWidth="1"/>
    <col min="12" max="12" width="11" customWidth="1"/>
    <col min="13" max="13" width="26" customWidth="1"/>
    <col min="14" max="14" width="10" customWidth="1"/>
    <col min="15" max="15" width="12" customWidth="1"/>
    <col min="16" max="16" width="8" customWidth="1"/>
    <col min="17" max="17" width="10" customWidth="1"/>
    <col min="18" max="18" width="8" customWidth="1"/>
  </cols>
  <sheetData>
    <row r="1" spans="1:18" ht="17.399999999999999" x14ac:dyDescent="0.3">
      <c r="A1" s="1" t="s">
        <v>709</v>
      </c>
    </row>
    <row r="2" spans="1:18" x14ac:dyDescent="0.3">
      <c r="A2" s="2" t="s">
        <v>710</v>
      </c>
    </row>
    <row r="4" spans="1:18" ht="39.6" x14ac:dyDescent="0.3">
      <c r="A4" s="8" t="s">
        <v>711</v>
      </c>
      <c r="B4" s="8" t="s">
        <v>303</v>
      </c>
      <c r="C4" s="8" t="s">
        <v>712</v>
      </c>
      <c r="D4" s="8" t="s">
        <v>713</v>
      </c>
      <c r="E4" s="8" t="s">
        <v>714</v>
      </c>
      <c r="F4" s="8" t="s">
        <v>301</v>
      </c>
      <c r="G4" s="8" t="s">
        <v>715</v>
      </c>
      <c r="H4" s="8" t="s">
        <v>595</v>
      </c>
      <c r="I4" s="8" t="s">
        <v>716</v>
      </c>
      <c r="J4" s="8" t="s">
        <v>717</v>
      </c>
      <c r="K4" s="8" t="s">
        <v>718</v>
      </c>
      <c r="L4" s="8" t="s">
        <v>14</v>
      </c>
      <c r="M4" s="8" t="s">
        <v>719</v>
      </c>
      <c r="N4" s="8" t="s">
        <v>720</v>
      </c>
      <c r="O4" s="8" t="s">
        <v>721</v>
      </c>
      <c r="P4" s="9" t="s">
        <v>602</v>
      </c>
      <c r="Q4" s="9" t="s">
        <v>722</v>
      </c>
      <c r="R4" s="9" t="s">
        <v>723</v>
      </c>
    </row>
    <row r="5" spans="1:18" ht="60" customHeight="1" x14ac:dyDescent="0.3">
      <c r="A5" s="11" t="s">
        <v>687</v>
      </c>
      <c r="B5" s="11" t="s">
        <v>465</v>
      </c>
      <c r="C5" s="11" t="s">
        <v>724</v>
      </c>
      <c r="D5" s="11" t="s">
        <v>725</v>
      </c>
      <c r="E5" s="32">
        <v>38000</v>
      </c>
      <c r="F5" s="11" t="s">
        <v>686</v>
      </c>
      <c r="G5" s="10">
        <v>46296</v>
      </c>
      <c r="H5" s="10">
        <v>46371</v>
      </c>
      <c r="I5" s="11" t="s">
        <v>726</v>
      </c>
      <c r="J5" s="11" t="s">
        <v>727</v>
      </c>
      <c r="K5" s="14">
        <v>0</v>
      </c>
      <c r="L5" s="11" t="s">
        <v>728</v>
      </c>
      <c r="M5" s="11" t="s">
        <v>729</v>
      </c>
      <c r="N5" s="11" t="s">
        <v>730</v>
      </c>
      <c r="O5" s="11" t="s">
        <v>336</v>
      </c>
      <c r="P5" s="30">
        <f t="shared" ref="P5:P11" si="0">IF(A5="","",H5-DataRef)</f>
        <v>-16</v>
      </c>
      <c r="Q5" s="34">
        <f t="shared" ref="Q5:Q11" si="1">IF(A5="","",K5*1000*preco_medio)</f>
        <v>0</v>
      </c>
      <c r="R5" s="16" t="str">
        <f t="shared" ref="R5:R11" si="2">IF(OR(A5="",Q5=0),"",E5/Q5)</f>
        <v/>
      </c>
    </row>
    <row r="6" spans="1:18" ht="60" customHeight="1" x14ac:dyDescent="0.3">
      <c r="A6" s="11" t="s">
        <v>731</v>
      </c>
      <c r="B6" s="11" t="s">
        <v>414</v>
      </c>
      <c r="C6" s="11" t="s">
        <v>732</v>
      </c>
      <c r="D6" s="11" t="s">
        <v>733</v>
      </c>
      <c r="E6" s="32">
        <v>6000</v>
      </c>
      <c r="F6" s="11" t="s">
        <v>398</v>
      </c>
      <c r="G6" s="10">
        <v>46296</v>
      </c>
      <c r="H6" s="10">
        <v>46568</v>
      </c>
      <c r="I6" s="11" t="s">
        <v>734</v>
      </c>
      <c r="J6" s="11" t="s">
        <v>735</v>
      </c>
      <c r="K6" s="14">
        <v>145</v>
      </c>
      <c r="L6" s="11" t="s">
        <v>736</v>
      </c>
      <c r="M6" s="11" t="s">
        <v>737</v>
      </c>
      <c r="N6" s="11" t="s">
        <v>336</v>
      </c>
      <c r="O6" s="11" t="s">
        <v>738</v>
      </c>
      <c r="P6" s="30">
        <f t="shared" si="0"/>
        <v>181</v>
      </c>
      <c r="Q6" s="34">
        <f t="shared" si="1"/>
        <v>19357.5</v>
      </c>
      <c r="R6" s="16">
        <f t="shared" si="2"/>
        <v>0.30995738086013175</v>
      </c>
    </row>
    <row r="7" spans="1:18" ht="60" customHeight="1" x14ac:dyDescent="0.3">
      <c r="A7" s="11" t="s">
        <v>648</v>
      </c>
      <c r="B7" s="11" t="s">
        <v>386</v>
      </c>
      <c r="C7" s="11" t="s">
        <v>739</v>
      </c>
      <c r="D7" s="11" t="s">
        <v>740</v>
      </c>
      <c r="E7" s="32">
        <v>0</v>
      </c>
      <c r="F7" s="11" t="s">
        <v>362</v>
      </c>
      <c r="G7" s="10">
        <v>46300</v>
      </c>
      <c r="H7" s="10">
        <v>46387</v>
      </c>
      <c r="I7" s="11" t="s">
        <v>741</v>
      </c>
      <c r="J7" s="11" t="s">
        <v>742</v>
      </c>
      <c r="K7" s="14">
        <v>190</v>
      </c>
      <c r="L7" s="11" t="s">
        <v>728</v>
      </c>
      <c r="M7" s="11" t="s">
        <v>743</v>
      </c>
      <c r="N7" s="11" t="s">
        <v>744</v>
      </c>
      <c r="O7" s="11" t="s">
        <v>650</v>
      </c>
      <c r="P7" s="30">
        <f t="shared" si="0"/>
        <v>0</v>
      </c>
      <c r="Q7" s="34">
        <f t="shared" si="1"/>
        <v>25365</v>
      </c>
      <c r="R7" s="16">
        <f t="shared" si="2"/>
        <v>0</v>
      </c>
    </row>
    <row r="8" spans="1:18" ht="60" customHeight="1" x14ac:dyDescent="0.3">
      <c r="A8" s="11" t="s">
        <v>745</v>
      </c>
      <c r="B8" s="11" t="s">
        <v>327</v>
      </c>
      <c r="C8" s="11" t="s">
        <v>746</v>
      </c>
      <c r="D8" s="11" t="s">
        <v>747</v>
      </c>
      <c r="E8" s="32">
        <v>63200</v>
      </c>
      <c r="F8" s="11" t="s">
        <v>346</v>
      </c>
      <c r="G8" s="10">
        <v>46402</v>
      </c>
      <c r="H8" s="10">
        <v>46568</v>
      </c>
      <c r="I8" s="11" t="s">
        <v>748</v>
      </c>
      <c r="J8" s="11" t="s">
        <v>749</v>
      </c>
      <c r="K8" s="14">
        <v>210</v>
      </c>
      <c r="L8" s="11" t="s">
        <v>533</v>
      </c>
      <c r="M8" s="11" t="s">
        <v>750</v>
      </c>
      <c r="N8" s="11" t="s">
        <v>336</v>
      </c>
      <c r="O8" s="11" t="s">
        <v>751</v>
      </c>
      <c r="P8" s="30">
        <f t="shared" si="0"/>
        <v>181</v>
      </c>
      <c r="Q8" s="34">
        <f t="shared" si="1"/>
        <v>28035</v>
      </c>
      <c r="R8" s="16">
        <f t="shared" si="2"/>
        <v>2.2543249509541643</v>
      </c>
    </row>
    <row r="9" spans="1:18" ht="60" customHeight="1" x14ac:dyDescent="0.3">
      <c r="A9" s="11" t="s">
        <v>752</v>
      </c>
      <c r="B9" s="11" t="s">
        <v>414</v>
      </c>
      <c r="C9" s="11" t="s">
        <v>753</v>
      </c>
      <c r="D9" s="11" t="s">
        <v>754</v>
      </c>
      <c r="E9" s="32">
        <v>14000</v>
      </c>
      <c r="F9" s="11" t="s">
        <v>398</v>
      </c>
      <c r="G9" s="10">
        <v>46447</v>
      </c>
      <c r="H9" s="10">
        <v>46660</v>
      </c>
      <c r="I9" s="11" t="s">
        <v>755</v>
      </c>
      <c r="J9" s="11" t="s">
        <v>756</v>
      </c>
      <c r="K9" s="14">
        <v>60</v>
      </c>
      <c r="L9" s="11" t="s">
        <v>533</v>
      </c>
      <c r="M9" s="11" t="s">
        <v>750</v>
      </c>
      <c r="N9" s="11" t="s">
        <v>336</v>
      </c>
      <c r="O9" s="11" t="s">
        <v>757</v>
      </c>
      <c r="P9" s="30">
        <f t="shared" si="0"/>
        <v>273</v>
      </c>
      <c r="Q9" s="34">
        <f t="shared" si="1"/>
        <v>8010</v>
      </c>
      <c r="R9" s="16">
        <f t="shared" si="2"/>
        <v>1.7478152309612984</v>
      </c>
    </row>
    <row r="10" spans="1:18" ht="60" customHeight="1" x14ac:dyDescent="0.3">
      <c r="A10" s="11" t="s">
        <v>659</v>
      </c>
      <c r="B10" s="11" t="s">
        <v>399</v>
      </c>
      <c r="C10" s="11" t="s">
        <v>758</v>
      </c>
      <c r="D10" s="11" t="s">
        <v>759</v>
      </c>
      <c r="E10" s="32">
        <v>42000</v>
      </c>
      <c r="F10" s="11" t="s">
        <v>398</v>
      </c>
      <c r="G10" s="10">
        <v>46327</v>
      </c>
      <c r="H10" s="10">
        <v>46691</v>
      </c>
      <c r="I10" s="11" t="s">
        <v>760</v>
      </c>
      <c r="J10" s="11" t="s">
        <v>761</v>
      </c>
      <c r="K10" s="14">
        <v>120</v>
      </c>
      <c r="L10" s="11" t="s">
        <v>736</v>
      </c>
      <c r="M10" s="11" t="s">
        <v>762</v>
      </c>
      <c r="N10" s="11" t="s">
        <v>336</v>
      </c>
      <c r="O10" s="11" t="s">
        <v>661</v>
      </c>
      <c r="P10" s="30">
        <f t="shared" si="0"/>
        <v>304</v>
      </c>
      <c r="Q10" s="34">
        <f t="shared" si="1"/>
        <v>16020</v>
      </c>
      <c r="R10" s="16">
        <f t="shared" si="2"/>
        <v>2.6217228464419478</v>
      </c>
    </row>
    <row r="11" spans="1:18" ht="60" customHeight="1" x14ac:dyDescent="0.3">
      <c r="A11" s="11" t="s">
        <v>673</v>
      </c>
      <c r="B11" s="11" t="s">
        <v>442</v>
      </c>
      <c r="C11" s="11" t="s">
        <v>763</v>
      </c>
      <c r="D11" s="11" t="s">
        <v>764</v>
      </c>
      <c r="E11" s="32">
        <v>850000</v>
      </c>
      <c r="F11" s="11" t="s">
        <v>454</v>
      </c>
      <c r="G11" s="10">
        <v>46388</v>
      </c>
      <c r="H11" s="10">
        <v>46752</v>
      </c>
      <c r="I11" s="11" t="s">
        <v>765</v>
      </c>
      <c r="J11" s="11" t="s">
        <v>766</v>
      </c>
      <c r="K11" s="14">
        <v>0</v>
      </c>
      <c r="L11" s="11" t="s">
        <v>767</v>
      </c>
      <c r="M11" s="11" t="s">
        <v>768</v>
      </c>
      <c r="N11" s="11" t="s">
        <v>336</v>
      </c>
      <c r="O11" s="11" t="s">
        <v>674</v>
      </c>
      <c r="P11" s="30">
        <f t="shared" si="0"/>
        <v>365</v>
      </c>
      <c r="Q11" s="34">
        <f t="shared" si="1"/>
        <v>0</v>
      </c>
      <c r="R11" s="16" t="str">
        <f t="shared" si="2"/>
        <v/>
      </c>
    </row>
  </sheetData>
  <conditionalFormatting sqref="L5:L211">
    <cfRule type="expression" dxfId="3" priority="1">
      <formula>ISNUMBER(SEARCH("Concluído",L5))</formula>
    </cfRule>
    <cfRule type="expression" dxfId="2" priority="2">
      <formula>ISNUMBER(SEARCH("Em curso",L5))</formula>
    </cfRule>
    <cfRule type="expression" dxfId="1" priority="3">
      <formula>ISNUMBER(SEARCH("Planeado",L5))</formula>
    </cfRule>
    <cfRule type="expression" dxfId="0" priority="4">
      <formula>ISNUMBER(SEARCH("Em estudo",L5))</formula>
    </cfRule>
  </conditionalFormatting>
  <dataValidations count="2">
    <dataValidation type="list" allowBlank="1" showErrorMessage="1" errorTitle="Valor inválido" error="Valor fora da lista controlada (ver folha Listas)." sqref="F5:F211" xr:uid="{00000000-0002-0000-0C00-000000000000}">
      <formula1>lst_Funcao</formula1>
    </dataValidation>
    <dataValidation type="list" allowBlank="1" showErrorMessage="1" errorTitle="Valor inválido" error="Valor fora da lista controlada (ver folha Listas)." sqref="L5:L211" xr:uid="{00000000-0002-0000-0C00-000001000000}">
      <formula1>lst_EstadoPlano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2"/>
  <sheetViews>
    <sheetView showGridLines="0" workbookViewId="0"/>
  </sheetViews>
  <sheetFormatPr defaultRowHeight="14.4" x14ac:dyDescent="0.3"/>
  <cols>
    <col min="1" max="1" width="26" customWidth="1"/>
  </cols>
  <sheetData>
    <row r="1" spans="1:10" ht="17.399999999999999" x14ac:dyDescent="0.3">
      <c r="A1" s="1" t="s">
        <v>769</v>
      </c>
    </row>
    <row r="3" spans="1:10" ht="30" customHeight="1" x14ac:dyDescent="0.3">
      <c r="A3" s="5" t="s">
        <v>770</v>
      </c>
      <c r="B3" s="41" t="s">
        <v>771</v>
      </c>
      <c r="C3" s="42"/>
      <c r="D3" s="42"/>
      <c r="E3" s="42"/>
      <c r="F3" s="42"/>
      <c r="G3" s="42"/>
      <c r="H3" s="42"/>
      <c r="I3" s="42"/>
      <c r="J3" s="42"/>
    </row>
    <row r="4" spans="1:10" ht="30" customHeight="1" x14ac:dyDescent="0.3">
      <c r="A4" s="5" t="s">
        <v>772</v>
      </c>
      <c r="B4" s="41" t="s">
        <v>773</v>
      </c>
      <c r="C4" s="42"/>
      <c r="D4" s="42"/>
      <c r="E4" s="42"/>
      <c r="F4" s="42"/>
      <c r="G4" s="42"/>
      <c r="H4" s="42"/>
      <c r="I4" s="42"/>
      <c r="J4" s="42"/>
    </row>
    <row r="5" spans="1:10" ht="30" customHeight="1" x14ac:dyDescent="0.3">
      <c r="A5" s="5" t="s">
        <v>774</v>
      </c>
      <c r="B5" s="41" t="s">
        <v>775</v>
      </c>
      <c r="C5" s="42"/>
      <c r="D5" s="42"/>
      <c r="E5" s="42"/>
      <c r="F5" s="42"/>
      <c r="G5" s="42"/>
      <c r="H5" s="42"/>
      <c r="I5" s="42"/>
      <c r="J5" s="42"/>
    </row>
    <row r="6" spans="1:10" ht="30" customHeight="1" x14ac:dyDescent="0.3">
      <c r="A6" s="5" t="s">
        <v>776</v>
      </c>
      <c r="B6" s="41" t="s">
        <v>777</v>
      </c>
      <c r="C6" s="42"/>
      <c r="D6" s="42"/>
      <c r="E6" s="42"/>
      <c r="F6" s="42"/>
      <c r="G6" s="42"/>
      <c r="H6" s="42"/>
      <c r="I6" s="42"/>
      <c r="J6" s="42"/>
    </row>
    <row r="7" spans="1:10" ht="30" customHeight="1" x14ac:dyDescent="0.3">
      <c r="A7" s="5" t="s">
        <v>778</v>
      </c>
      <c r="B7" s="41" t="s">
        <v>779</v>
      </c>
      <c r="C7" s="42"/>
      <c r="D7" s="42"/>
      <c r="E7" s="42"/>
      <c r="F7" s="42"/>
      <c r="G7" s="42"/>
      <c r="H7" s="42"/>
      <c r="I7" s="42"/>
      <c r="J7" s="42"/>
    </row>
    <row r="8" spans="1:10" ht="15" customHeight="1" x14ac:dyDescent="0.3">
      <c r="A8" s="5" t="s">
        <v>780</v>
      </c>
      <c r="B8" s="41" t="s">
        <v>781</v>
      </c>
      <c r="C8" s="42"/>
      <c r="D8" s="42"/>
      <c r="E8" s="42"/>
      <c r="F8" s="42"/>
      <c r="G8" s="42"/>
      <c r="H8" s="42"/>
      <c r="I8" s="42"/>
      <c r="J8" s="42"/>
    </row>
    <row r="9" spans="1:10" ht="15" customHeight="1" x14ac:dyDescent="0.3">
      <c r="A9" s="5" t="s">
        <v>782</v>
      </c>
      <c r="B9" s="41" t="s">
        <v>783</v>
      </c>
      <c r="C9" s="42"/>
      <c r="D9" s="42"/>
      <c r="E9" s="42"/>
      <c r="F9" s="42"/>
      <c r="G9" s="42"/>
      <c r="H9" s="42"/>
      <c r="I9" s="42"/>
      <c r="J9" s="42"/>
    </row>
    <row r="10" spans="1:10" ht="30" customHeight="1" x14ac:dyDescent="0.3">
      <c r="A10" s="5" t="s">
        <v>784</v>
      </c>
      <c r="B10" s="41" t="s">
        <v>785</v>
      </c>
      <c r="C10" s="42"/>
      <c r="D10" s="42"/>
      <c r="E10" s="42"/>
      <c r="F10" s="42"/>
      <c r="G10" s="42"/>
      <c r="H10" s="42"/>
      <c r="I10" s="42"/>
      <c r="J10" s="42"/>
    </row>
    <row r="11" spans="1:10" ht="30" customHeight="1" x14ac:dyDescent="0.3">
      <c r="A11" s="5" t="s">
        <v>786</v>
      </c>
      <c r="B11" s="41" t="s">
        <v>787</v>
      </c>
      <c r="C11" s="42"/>
      <c r="D11" s="42"/>
      <c r="E11" s="42"/>
      <c r="F11" s="42"/>
      <c r="G11" s="42"/>
      <c r="H11" s="42"/>
      <c r="I11" s="42"/>
      <c r="J11" s="42"/>
    </row>
    <row r="12" spans="1:10" ht="30" customHeight="1" x14ac:dyDescent="0.3">
      <c r="A12" s="5" t="s">
        <v>788</v>
      </c>
      <c r="B12" s="41" t="s">
        <v>789</v>
      </c>
      <c r="C12" s="42"/>
      <c r="D12" s="42"/>
      <c r="E12" s="42"/>
      <c r="F12" s="42"/>
      <c r="G12" s="42"/>
      <c r="H12" s="42"/>
      <c r="I12" s="42"/>
      <c r="J12" s="42"/>
    </row>
  </sheetData>
  <mergeCells count="10">
    <mergeCell ref="B12:J12"/>
    <mergeCell ref="B6:J6"/>
    <mergeCell ref="B7:J7"/>
    <mergeCell ref="B11:J11"/>
    <mergeCell ref="B3:J3"/>
    <mergeCell ref="B5:J5"/>
    <mergeCell ref="B10:J10"/>
    <mergeCell ref="B9:J9"/>
    <mergeCell ref="B8:J8"/>
    <mergeCell ref="B4:J4"/>
  </mergeCells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  <col min="4" max="4" width="18" customWidth="1"/>
    <col min="5" max="6" width="16" customWidth="1"/>
    <col min="7" max="7" width="48" customWidth="1"/>
  </cols>
  <sheetData>
    <row r="1" spans="1:7" x14ac:dyDescent="0.3">
      <c r="A1" s="35" t="s">
        <v>790</v>
      </c>
    </row>
    <row r="2" spans="1:7" x14ac:dyDescent="0.3">
      <c r="A2" s="36" t="s">
        <v>791</v>
      </c>
      <c r="B2" s="36" t="s">
        <v>792</v>
      </c>
      <c r="C2" s="36" t="s">
        <v>297</v>
      </c>
      <c r="D2" s="36" t="s">
        <v>111</v>
      </c>
      <c r="E2" s="36" t="s">
        <v>793</v>
      </c>
      <c r="F2" s="36" t="s">
        <v>794</v>
      </c>
      <c r="G2" s="36" t="s">
        <v>795</v>
      </c>
    </row>
    <row r="3" spans="1:7" x14ac:dyDescent="0.3">
      <c r="A3" s="37">
        <v>46387</v>
      </c>
      <c r="B3" s="6" t="s">
        <v>796</v>
      </c>
      <c r="C3" s="6" t="s">
        <v>322</v>
      </c>
      <c r="D3" s="6" t="s">
        <v>140</v>
      </c>
      <c r="E3" s="6" t="s">
        <v>767</v>
      </c>
      <c r="F3" s="6" t="s">
        <v>15</v>
      </c>
      <c r="G3" s="6" t="s">
        <v>440</v>
      </c>
    </row>
    <row r="4" spans="1:7" x14ac:dyDescent="0.3">
      <c r="B4" s="6" t="s">
        <v>797</v>
      </c>
      <c r="C4" s="6" t="s">
        <v>343</v>
      </c>
      <c r="D4" s="6" t="s">
        <v>144</v>
      </c>
      <c r="E4" s="6" t="s">
        <v>533</v>
      </c>
      <c r="F4" s="6" t="s">
        <v>533</v>
      </c>
      <c r="G4" s="6" t="s">
        <v>344</v>
      </c>
    </row>
    <row r="5" spans="1:7" ht="26.4" x14ac:dyDescent="0.3">
      <c r="B5" s="6" t="s">
        <v>326</v>
      </c>
      <c r="E5" s="6" t="s">
        <v>736</v>
      </c>
      <c r="F5" s="6" t="s">
        <v>798</v>
      </c>
      <c r="G5" s="6" t="s">
        <v>360</v>
      </c>
    </row>
    <row r="6" spans="1:7" x14ac:dyDescent="0.3">
      <c r="B6" s="6" t="s">
        <v>346</v>
      </c>
      <c r="E6" s="6" t="s">
        <v>728</v>
      </c>
      <c r="G6" s="6" t="s">
        <v>396</v>
      </c>
    </row>
    <row r="7" spans="1:7" x14ac:dyDescent="0.3">
      <c r="B7" s="6" t="s">
        <v>362</v>
      </c>
      <c r="E7" s="6" t="s">
        <v>799</v>
      </c>
      <c r="G7" s="6" t="s">
        <v>412</v>
      </c>
    </row>
    <row r="8" spans="1:7" x14ac:dyDescent="0.3">
      <c r="B8" s="6" t="s">
        <v>398</v>
      </c>
      <c r="G8" s="6" t="s">
        <v>425</v>
      </c>
    </row>
    <row r="9" spans="1:7" x14ac:dyDescent="0.3">
      <c r="B9" s="6" t="s">
        <v>800</v>
      </c>
      <c r="G9" s="6" t="s">
        <v>323</v>
      </c>
    </row>
    <row r="10" spans="1:7" x14ac:dyDescent="0.3">
      <c r="B10" s="6" t="s">
        <v>801</v>
      </c>
      <c r="G10" s="6" t="s">
        <v>384</v>
      </c>
    </row>
    <row r="11" spans="1:7" x14ac:dyDescent="0.3">
      <c r="B11" s="6" t="s">
        <v>454</v>
      </c>
      <c r="G11" s="6" t="s">
        <v>802</v>
      </c>
    </row>
    <row r="12" spans="1:7" x14ac:dyDescent="0.3">
      <c r="B12" s="6" t="s">
        <v>803</v>
      </c>
      <c r="G12" s="6" t="s">
        <v>463</v>
      </c>
    </row>
    <row r="13" spans="1:7" x14ac:dyDescent="0.3">
      <c r="B13" s="6" t="s">
        <v>804</v>
      </c>
    </row>
    <row r="14" spans="1:7" x14ac:dyDescent="0.3">
      <c r="B14" s="6" t="s">
        <v>805</v>
      </c>
    </row>
    <row r="15" spans="1:7" x14ac:dyDescent="0.3">
      <c r="B15" s="6" t="s">
        <v>686</v>
      </c>
    </row>
    <row r="16" spans="1:7" x14ac:dyDescent="0.3">
      <c r="B16" s="6" t="s">
        <v>806</v>
      </c>
    </row>
    <row r="17" spans="2:2" x14ac:dyDescent="0.3">
      <c r="B17" s="6" t="s">
        <v>807</v>
      </c>
    </row>
    <row r="18" spans="2:2" x14ac:dyDescent="0.3">
      <c r="B18" s="6" t="s">
        <v>808</v>
      </c>
    </row>
    <row r="19" spans="2:2" x14ac:dyDescent="0.3">
      <c r="B19" s="6" t="s">
        <v>809</v>
      </c>
    </row>
    <row r="20" spans="2:2" x14ac:dyDescent="0.3">
      <c r="B20" s="6" t="s">
        <v>810</v>
      </c>
    </row>
    <row r="21" spans="2:2" x14ac:dyDescent="0.3">
      <c r="B21" s="6" t="s">
        <v>811</v>
      </c>
    </row>
    <row r="22" spans="2:2" x14ac:dyDescent="0.3">
      <c r="B22" s="6" t="s">
        <v>812</v>
      </c>
    </row>
    <row r="23" spans="2:2" x14ac:dyDescent="0.3">
      <c r="B23" s="6" t="s">
        <v>813</v>
      </c>
    </row>
    <row r="24" spans="2:2" x14ac:dyDescent="0.3">
      <c r="B24" s="6" t="s">
        <v>814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815</v>
      </c>
      <c r="B1" s="8" t="s">
        <v>816</v>
      </c>
      <c r="C1" s="8" t="s">
        <v>817</v>
      </c>
      <c r="D1" s="8" t="s">
        <v>507</v>
      </c>
      <c r="E1" s="8" t="s">
        <v>818</v>
      </c>
      <c r="F1" s="8" t="s">
        <v>479</v>
      </c>
      <c r="G1" s="8" t="s">
        <v>819</v>
      </c>
      <c r="H1" s="8" t="s">
        <v>820</v>
      </c>
      <c r="I1" s="8" t="s">
        <v>821</v>
      </c>
    </row>
    <row r="2" spans="1:9" ht="26.4" x14ac:dyDescent="0.3">
      <c r="A2" s="24" t="s">
        <v>52</v>
      </c>
      <c r="B2" s="24" t="s">
        <v>822</v>
      </c>
      <c r="C2" s="24" t="s">
        <v>110</v>
      </c>
      <c r="D2" s="24" t="s">
        <v>823</v>
      </c>
      <c r="E2" s="24" t="s">
        <v>824</v>
      </c>
      <c r="F2" s="24" t="s">
        <v>825</v>
      </c>
      <c r="G2" s="24"/>
      <c r="H2" s="24" t="s">
        <v>826</v>
      </c>
      <c r="I2" s="24" t="s">
        <v>827</v>
      </c>
    </row>
    <row r="3" spans="1:9" x14ac:dyDescent="0.3">
      <c r="A3" s="24" t="s">
        <v>52</v>
      </c>
      <c r="B3" s="24" t="s">
        <v>822</v>
      </c>
      <c r="C3" s="24" t="s">
        <v>111</v>
      </c>
      <c r="D3" s="24" t="s">
        <v>828</v>
      </c>
      <c r="E3" s="24" t="s">
        <v>824</v>
      </c>
      <c r="F3" s="24" t="s">
        <v>829</v>
      </c>
      <c r="G3" s="24"/>
      <c r="H3" s="24" t="s">
        <v>826</v>
      </c>
      <c r="I3" s="24"/>
    </row>
    <row r="4" spans="1:9" ht="26.4" x14ac:dyDescent="0.3">
      <c r="A4" s="24" t="s">
        <v>52</v>
      </c>
      <c r="B4" s="24" t="s">
        <v>822</v>
      </c>
      <c r="C4" s="24" t="s">
        <v>112</v>
      </c>
      <c r="D4" s="24" t="s">
        <v>828</v>
      </c>
      <c r="E4" s="24" t="s">
        <v>824</v>
      </c>
      <c r="F4" s="24" t="s">
        <v>830</v>
      </c>
      <c r="G4" s="24"/>
      <c r="H4" s="24" t="s">
        <v>826</v>
      </c>
      <c r="I4" s="24"/>
    </row>
    <row r="5" spans="1:9" ht="26.4" x14ac:dyDescent="0.3">
      <c r="A5" s="24" t="s">
        <v>52</v>
      </c>
      <c r="B5" s="24" t="s">
        <v>822</v>
      </c>
      <c r="C5" s="24" t="s">
        <v>113</v>
      </c>
      <c r="D5" s="24" t="s">
        <v>828</v>
      </c>
      <c r="E5" s="24" t="s">
        <v>824</v>
      </c>
      <c r="F5" s="24" t="s">
        <v>831</v>
      </c>
      <c r="G5" s="24"/>
      <c r="H5" s="24" t="s">
        <v>826</v>
      </c>
      <c r="I5" s="24"/>
    </row>
    <row r="6" spans="1:9" x14ac:dyDescent="0.3">
      <c r="A6" s="24" t="s">
        <v>52</v>
      </c>
      <c r="B6" s="24" t="s">
        <v>822</v>
      </c>
      <c r="C6" s="24" t="s">
        <v>114</v>
      </c>
      <c r="D6" s="24" t="s">
        <v>832</v>
      </c>
      <c r="E6" s="24" t="s">
        <v>824</v>
      </c>
      <c r="F6" s="24" t="s">
        <v>833</v>
      </c>
      <c r="G6" s="24"/>
      <c r="H6" s="24" t="s">
        <v>826</v>
      </c>
      <c r="I6" s="24"/>
    </row>
    <row r="7" spans="1:9" x14ac:dyDescent="0.3">
      <c r="A7" s="24" t="s">
        <v>52</v>
      </c>
      <c r="B7" s="24" t="s">
        <v>822</v>
      </c>
      <c r="C7" s="24" t="s">
        <v>115</v>
      </c>
      <c r="D7" s="24" t="s">
        <v>832</v>
      </c>
      <c r="E7" s="24" t="s">
        <v>824</v>
      </c>
      <c r="F7" s="24" t="s">
        <v>834</v>
      </c>
      <c r="G7" s="24"/>
      <c r="H7" s="24" t="s">
        <v>826</v>
      </c>
      <c r="I7" s="24"/>
    </row>
    <row r="8" spans="1:9" x14ac:dyDescent="0.3">
      <c r="A8" s="24" t="s">
        <v>52</v>
      </c>
      <c r="B8" s="24" t="s">
        <v>822</v>
      </c>
      <c r="C8" s="24" t="s">
        <v>116</v>
      </c>
      <c r="D8" s="24" t="s">
        <v>835</v>
      </c>
      <c r="E8" s="24" t="s">
        <v>824</v>
      </c>
      <c r="F8" s="24" t="s">
        <v>836</v>
      </c>
      <c r="G8" s="24"/>
      <c r="H8" s="24" t="s">
        <v>826</v>
      </c>
      <c r="I8" s="24"/>
    </row>
    <row r="9" spans="1:9" x14ac:dyDescent="0.3">
      <c r="A9" s="24" t="s">
        <v>52</v>
      </c>
      <c r="B9" s="24" t="s">
        <v>822</v>
      </c>
      <c r="C9" s="24" t="s">
        <v>117</v>
      </c>
      <c r="D9" s="24" t="s">
        <v>835</v>
      </c>
      <c r="E9" s="24" t="s">
        <v>824</v>
      </c>
      <c r="F9" s="24" t="s">
        <v>837</v>
      </c>
      <c r="G9" s="24"/>
      <c r="H9" s="24" t="s">
        <v>826</v>
      </c>
      <c r="I9" s="24"/>
    </row>
    <row r="10" spans="1:9" x14ac:dyDescent="0.3">
      <c r="A10" s="24" t="s">
        <v>52</v>
      </c>
      <c r="B10" s="24" t="s">
        <v>822</v>
      </c>
      <c r="C10" s="24" t="s">
        <v>118</v>
      </c>
      <c r="D10" s="24" t="s">
        <v>838</v>
      </c>
      <c r="E10" s="24" t="s">
        <v>824</v>
      </c>
      <c r="F10" s="24" t="s">
        <v>839</v>
      </c>
      <c r="G10" s="24"/>
      <c r="H10" s="24" t="s">
        <v>826</v>
      </c>
      <c r="I10" s="24"/>
    </row>
    <row r="11" spans="1:9" x14ac:dyDescent="0.3">
      <c r="A11" s="24" t="s">
        <v>52</v>
      </c>
      <c r="B11" s="24" t="s">
        <v>822</v>
      </c>
      <c r="C11" s="24" t="s">
        <v>119</v>
      </c>
      <c r="D11" s="24" t="s">
        <v>838</v>
      </c>
      <c r="E11" s="24" t="s">
        <v>824</v>
      </c>
      <c r="F11" s="24" t="s">
        <v>840</v>
      </c>
      <c r="G11" s="24"/>
      <c r="H11" s="24" t="s">
        <v>826</v>
      </c>
      <c r="I11" s="24"/>
    </row>
    <row r="12" spans="1:9" x14ac:dyDescent="0.3">
      <c r="A12" s="24" t="s">
        <v>52</v>
      </c>
      <c r="B12" s="24" t="s">
        <v>822</v>
      </c>
      <c r="C12" s="24" t="s">
        <v>120</v>
      </c>
      <c r="D12" s="24" t="s">
        <v>838</v>
      </c>
      <c r="E12" s="24" t="s">
        <v>824</v>
      </c>
      <c r="F12" s="24" t="s">
        <v>841</v>
      </c>
      <c r="G12" s="24"/>
      <c r="H12" s="24" t="s">
        <v>826</v>
      </c>
      <c r="I12" s="24"/>
    </row>
    <row r="13" spans="1:9" x14ac:dyDescent="0.3">
      <c r="A13" s="24" t="s">
        <v>52</v>
      </c>
      <c r="B13" s="24" t="s">
        <v>822</v>
      </c>
      <c r="C13" s="24" t="s">
        <v>121</v>
      </c>
      <c r="D13" s="24" t="s">
        <v>838</v>
      </c>
      <c r="E13" s="24" t="s">
        <v>824</v>
      </c>
      <c r="F13" s="24" t="s">
        <v>842</v>
      </c>
      <c r="G13" s="24"/>
      <c r="H13" s="24" t="s">
        <v>826</v>
      </c>
      <c r="I13" s="24"/>
    </row>
    <row r="14" spans="1:9" x14ac:dyDescent="0.3">
      <c r="A14" s="24" t="s">
        <v>52</v>
      </c>
      <c r="B14" s="24" t="s">
        <v>822</v>
      </c>
      <c r="C14" s="24" t="s">
        <v>122</v>
      </c>
      <c r="D14" s="24" t="s">
        <v>838</v>
      </c>
      <c r="E14" s="24" t="s">
        <v>824</v>
      </c>
      <c r="F14" s="24" t="s">
        <v>843</v>
      </c>
      <c r="G14" s="24"/>
      <c r="H14" s="24" t="s">
        <v>826</v>
      </c>
      <c r="I14" s="24"/>
    </row>
    <row r="15" spans="1:9" x14ac:dyDescent="0.3">
      <c r="A15" s="24" t="s">
        <v>52</v>
      </c>
      <c r="B15" s="24" t="s">
        <v>822</v>
      </c>
      <c r="C15" s="24" t="s">
        <v>123</v>
      </c>
      <c r="D15" s="24" t="s">
        <v>838</v>
      </c>
      <c r="E15" s="24" t="s">
        <v>824</v>
      </c>
      <c r="F15" s="24" t="s">
        <v>844</v>
      </c>
      <c r="G15" s="24"/>
      <c r="H15" s="24" t="s">
        <v>826</v>
      </c>
      <c r="I15" s="24"/>
    </row>
    <row r="16" spans="1:9" x14ac:dyDescent="0.3">
      <c r="A16" s="24" t="s">
        <v>52</v>
      </c>
      <c r="B16" s="24" t="s">
        <v>822</v>
      </c>
      <c r="C16" s="24" t="s">
        <v>124</v>
      </c>
      <c r="D16" s="24" t="s">
        <v>838</v>
      </c>
      <c r="E16" s="24" t="s">
        <v>824</v>
      </c>
      <c r="F16" s="24" t="s">
        <v>845</v>
      </c>
      <c r="G16" s="24"/>
      <c r="H16" s="24" t="s">
        <v>826</v>
      </c>
      <c r="I16" s="24"/>
    </row>
    <row r="17" spans="1:9" x14ac:dyDescent="0.3">
      <c r="A17" s="24" t="s">
        <v>52</v>
      </c>
      <c r="B17" s="24" t="s">
        <v>822</v>
      </c>
      <c r="C17" s="24" t="s">
        <v>125</v>
      </c>
      <c r="D17" s="24" t="s">
        <v>838</v>
      </c>
      <c r="E17" s="24" t="s">
        <v>824</v>
      </c>
      <c r="F17" s="24" t="s">
        <v>846</v>
      </c>
      <c r="G17" s="24"/>
      <c r="H17" s="24" t="s">
        <v>826</v>
      </c>
      <c r="I17" s="24"/>
    </row>
    <row r="18" spans="1:9" x14ac:dyDescent="0.3">
      <c r="A18" s="24" t="s">
        <v>52</v>
      </c>
      <c r="B18" s="24" t="s">
        <v>822</v>
      </c>
      <c r="C18" s="24" t="s">
        <v>126</v>
      </c>
      <c r="D18" s="24" t="s">
        <v>835</v>
      </c>
      <c r="E18" s="24" t="s">
        <v>824</v>
      </c>
      <c r="F18" s="24" t="s">
        <v>847</v>
      </c>
      <c r="G18" s="24"/>
      <c r="H18" s="24" t="s">
        <v>826</v>
      </c>
      <c r="I18" s="24"/>
    </row>
    <row r="19" spans="1:9" x14ac:dyDescent="0.3">
      <c r="A19" s="24" t="s">
        <v>52</v>
      </c>
      <c r="B19" s="24" t="s">
        <v>822</v>
      </c>
      <c r="C19" s="24" t="s">
        <v>127</v>
      </c>
      <c r="D19" s="24" t="s">
        <v>835</v>
      </c>
      <c r="E19" s="24" t="s">
        <v>824</v>
      </c>
      <c r="F19" s="24" t="s">
        <v>848</v>
      </c>
      <c r="G19" s="24"/>
      <c r="H19" s="24" t="s">
        <v>826</v>
      </c>
      <c r="I19" s="24"/>
    </row>
    <row r="20" spans="1:9" x14ac:dyDescent="0.3">
      <c r="A20" s="24" t="s">
        <v>52</v>
      </c>
      <c r="B20" s="24" t="s">
        <v>822</v>
      </c>
      <c r="C20" s="24" t="s">
        <v>128</v>
      </c>
      <c r="D20" s="24" t="s">
        <v>835</v>
      </c>
      <c r="E20" s="24" t="s">
        <v>824</v>
      </c>
      <c r="F20" s="24" t="s">
        <v>849</v>
      </c>
      <c r="G20" s="24"/>
      <c r="H20" s="24" t="s">
        <v>826</v>
      </c>
      <c r="I20" s="24"/>
    </row>
    <row r="21" spans="1:9" x14ac:dyDescent="0.3">
      <c r="A21" s="24" t="s">
        <v>52</v>
      </c>
      <c r="B21" s="24" t="s">
        <v>822</v>
      </c>
      <c r="C21" s="24" t="s">
        <v>129</v>
      </c>
      <c r="D21" s="24" t="s">
        <v>835</v>
      </c>
      <c r="E21" s="24" t="s">
        <v>824</v>
      </c>
      <c r="F21" s="24" t="s">
        <v>850</v>
      </c>
      <c r="G21" s="24"/>
      <c r="H21" s="24" t="s">
        <v>826</v>
      </c>
      <c r="I21" s="24"/>
    </row>
    <row r="22" spans="1:9" x14ac:dyDescent="0.3">
      <c r="A22" s="24" t="s">
        <v>52</v>
      </c>
      <c r="B22" s="24" t="s">
        <v>822</v>
      </c>
      <c r="C22" s="24" t="s">
        <v>130</v>
      </c>
      <c r="D22" s="24" t="s">
        <v>835</v>
      </c>
      <c r="E22" s="24" t="s">
        <v>824</v>
      </c>
      <c r="F22" s="24" t="s">
        <v>851</v>
      </c>
      <c r="G22" s="24"/>
      <c r="H22" s="24" t="s">
        <v>826</v>
      </c>
      <c r="I22" s="24"/>
    </row>
    <row r="23" spans="1:9" x14ac:dyDescent="0.3">
      <c r="A23" s="24" t="s">
        <v>52</v>
      </c>
      <c r="B23" s="24" t="s">
        <v>822</v>
      </c>
      <c r="C23" s="24" t="s">
        <v>131</v>
      </c>
      <c r="D23" s="24" t="s">
        <v>835</v>
      </c>
      <c r="E23" s="24" t="s">
        <v>824</v>
      </c>
      <c r="F23" s="24" t="s">
        <v>852</v>
      </c>
      <c r="G23" s="24"/>
      <c r="H23" s="24" t="s">
        <v>826</v>
      </c>
      <c r="I23" s="24"/>
    </row>
    <row r="24" spans="1:9" x14ac:dyDescent="0.3">
      <c r="A24" s="24" t="s">
        <v>52</v>
      </c>
      <c r="B24" s="24" t="s">
        <v>822</v>
      </c>
      <c r="C24" s="24" t="s">
        <v>132</v>
      </c>
      <c r="D24" s="24" t="s">
        <v>835</v>
      </c>
      <c r="E24" s="24" t="s">
        <v>824</v>
      </c>
      <c r="F24" s="24" t="s">
        <v>853</v>
      </c>
      <c r="G24" s="24"/>
      <c r="H24" s="24" t="s">
        <v>826</v>
      </c>
      <c r="I24" s="24"/>
    </row>
    <row r="25" spans="1:9" x14ac:dyDescent="0.3">
      <c r="A25" s="24" t="s">
        <v>52</v>
      </c>
      <c r="B25" s="24" t="s">
        <v>822</v>
      </c>
      <c r="C25" s="24" t="s">
        <v>133</v>
      </c>
      <c r="D25" s="24" t="s">
        <v>835</v>
      </c>
      <c r="E25" s="24" t="s">
        <v>824</v>
      </c>
      <c r="F25" s="24" t="s">
        <v>854</v>
      </c>
      <c r="G25" s="24"/>
      <c r="H25" s="24" t="s">
        <v>826</v>
      </c>
      <c r="I25" s="24"/>
    </row>
    <row r="26" spans="1:9" x14ac:dyDescent="0.3">
      <c r="A26" s="24" t="s">
        <v>52</v>
      </c>
      <c r="B26" s="24" t="s">
        <v>822</v>
      </c>
      <c r="C26" s="24" t="s">
        <v>134</v>
      </c>
      <c r="D26" s="24" t="s">
        <v>835</v>
      </c>
      <c r="E26" s="24" t="s">
        <v>824</v>
      </c>
      <c r="F26" s="24" t="s">
        <v>855</v>
      </c>
      <c r="G26" s="24"/>
      <c r="H26" s="24" t="s">
        <v>826</v>
      </c>
      <c r="I26" s="24"/>
    </row>
    <row r="27" spans="1:9" ht="26.4" x14ac:dyDescent="0.3">
      <c r="A27" s="24" t="s">
        <v>52</v>
      </c>
      <c r="B27" s="24" t="s">
        <v>822</v>
      </c>
      <c r="C27" s="24" t="s">
        <v>135</v>
      </c>
      <c r="D27" s="24" t="s">
        <v>838</v>
      </c>
      <c r="E27" s="24" t="s">
        <v>824</v>
      </c>
      <c r="F27" s="24" t="s">
        <v>856</v>
      </c>
      <c r="G27" s="24"/>
      <c r="H27" s="24" t="s">
        <v>826</v>
      </c>
      <c r="I27" s="24"/>
    </row>
    <row r="28" spans="1:9" x14ac:dyDescent="0.3">
      <c r="A28" s="24" t="s">
        <v>52</v>
      </c>
      <c r="B28" s="24" t="s">
        <v>822</v>
      </c>
      <c r="C28" s="24" t="s">
        <v>136</v>
      </c>
      <c r="D28" s="24" t="s">
        <v>835</v>
      </c>
      <c r="E28" s="24" t="s">
        <v>824</v>
      </c>
      <c r="F28" s="24" t="s">
        <v>857</v>
      </c>
      <c r="G28" s="24"/>
      <c r="H28" s="24" t="s">
        <v>826</v>
      </c>
      <c r="I28" s="24"/>
    </row>
    <row r="29" spans="1:9" x14ac:dyDescent="0.3">
      <c r="A29" s="24" t="s">
        <v>52</v>
      </c>
      <c r="B29" s="24" t="s">
        <v>822</v>
      </c>
      <c r="C29" s="24" t="s">
        <v>137</v>
      </c>
      <c r="D29" s="24" t="s">
        <v>835</v>
      </c>
      <c r="E29" s="24" t="s">
        <v>824</v>
      </c>
      <c r="F29" s="24" t="s">
        <v>858</v>
      </c>
      <c r="G29" s="24"/>
      <c r="H29" s="24" t="s">
        <v>826</v>
      </c>
      <c r="I29" s="24"/>
    </row>
    <row r="30" spans="1:9" x14ac:dyDescent="0.3">
      <c r="A30" s="24" t="s">
        <v>52</v>
      </c>
      <c r="B30" s="24" t="s">
        <v>822</v>
      </c>
      <c r="C30" s="24" t="s">
        <v>138</v>
      </c>
      <c r="D30" s="24" t="s">
        <v>838</v>
      </c>
      <c r="E30" s="24" t="s">
        <v>859</v>
      </c>
      <c r="F30" s="24" t="s">
        <v>860</v>
      </c>
      <c r="G30" s="24"/>
      <c r="H30" s="24" t="s">
        <v>826</v>
      </c>
      <c r="I30" s="24"/>
    </row>
    <row r="31" spans="1:9" x14ac:dyDescent="0.3">
      <c r="A31" s="24" t="s">
        <v>52</v>
      </c>
      <c r="B31" s="24" t="s">
        <v>822</v>
      </c>
      <c r="C31" s="24" t="s">
        <v>139</v>
      </c>
      <c r="D31" s="24" t="s">
        <v>835</v>
      </c>
      <c r="E31" s="24" t="s">
        <v>859</v>
      </c>
      <c r="F31" s="24" t="s">
        <v>861</v>
      </c>
      <c r="G31" s="24"/>
      <c r="H31" s="24" t="s">
        <v>826</v>
      </c>
      <c r="I31" s="24"/>
    </row>
    <row r="32" spans="1:9" ht="39.6" x14ac:dyDescent="0.3">
      <c r="A32" s="24" t="s">
        <v>54</v>
      </c>
      <c r="B32" s="24" t="s">
        <v>862</v>
      </c>
      <c r="C32" s="24" t="s">
        <v>110</v>
      </c>
      <c r="D32" s="24" t="s">
        <v>823</v>
      </c>
      <c r="E32" s="24" t="s">
        <v>824</v>
      </c>
      <c r="F32" s="24" t="s">
        <v>863</v>
      </c>
      <c r="G32" s="24"/>
      <c r="H32" s="24" t="s">
        <v>826</v>
      </c>
      <c r="I32" s="24" t="s">
        <v>864</v>
      </c>
    </row>
    <row r="33" spans="1:9" x14ac:dyDescent="0.3">
      <c r="A33" s="24" t="s">
        <v>54</v>
      </c>
      <c r="B33" s="24" t="s">
        <v>862</v>
      </c>
      <c r="C33" s="24" t="s">
        <v>111</v>
      </c>
      <c r="D33" s="24" t="s">
        <v>828</v>
      </c>
      <c r="E33" s="24" t="s">
        <v>859</v>
      </c>
      <c r="F33" s="24" t="s">
        <v>865</v>
      </c>
      <c r="G33" s="24"/>
      <c r="H33" s="24" t="s">
        <v>826</v>
      </c>
      <c r="I33" s="24"/>
    </row>
    <row r="34" spans="1:9" x14ac:dyDescent="0.3">
      <c r="A34" s="24" t="s">
        <v>54</v>
      </c>
      <c r="B34" s="24" t="s">
        <v>862</v>
      </c>
      <c r="C34" s="24" t="s">
        <v>147</v>
      </c>
      <c r="D34" s="24" t="s">
        <v>838</v>
      </c>
      <c r="E34" s="24" t="s">
        <v>859</v>
      </c>
      <c r="F34" s="24" t="s">
        <v>866</v>
      </c>
      <c r="G34" s="24"/>
      <c r="H34" s="24" t="s">
        <v>826</v>
      </c>
      <c r="I34" s="24"/>
    </row>
    <row r="35" spans="1:9" x14ac:dyDescent="0.3">
      <c r="A35" s="24" t="s">
        <v>54</v>
      </c>
      <c r="B35" s="24" t="s">
        <v>862</v>
      </c>
      <c r="C35" s="24" t="s">
        <v>148</v>
      </c>
      <c r="D35" s="24" t="s">
        <v>835</v>
      </c>
      <c r="E35" s="24" t="s">
        <v>859</v>
      </c>
      <c r="F35" s="24" t="s">
        <v>867</v>
      </c>
      <c r="G35" s="24"/>
      <c r="H35" s="24" t="s">
        <v>826</v>
      </c>
      <c r="I35" s="24"/>
    </row>
    <row r="36" spans="1:9" x14ac:dyDescent="0.3">
      <c r="A36" s="24" t="s">
        <v>54</v>
      </c>
      <c r="B36" s="24" t="s">
        <v>862</v>
      </c>
      <c r="C36" s="24" t="s">
        <v>149</v>
      </c>
      <c r="D36" s="24" t="s">
        <v>835</v>
      </c>
      <c r="E36" s="24" t="s">
        <v>859</v>
      </c>
      <c r="F36" s="24" t="s">
        <v>868</v>
      </c>
      <c r="G36" s="24"/>
      <c r="H36" s="24" t="s">
        <v>826</v>
      </c>
      <c r="I36" s="24"/>
    </row>
    <row r="37" spans="1:9" x14ac:dyDescent="0.3">
      <c r="A37" s="24" t="s">
        <v>54</v>
      </c>
      <c r="B37" s="24" t="s">
        <v>862</v>
      </c>
      <c r="C37" s="24" t="s">
        <v>150</v>
      </c>
      <c r="D37" s="24" t="s">
        <v>838</v>
      </c>
      <c r="E37" s="24" t="s">
        <v>859</v>
      </c>
      <c r="F37" s="24" t="s">
        <v>869</v>
      </c>
      <c r="G37" s="24"/>
      <c r="H37" s="24" t="s">
        <v>826</v>
      </c>
      <c r="I37" s="24"/>
    </row>
    <row r="38" spans="1:9" x14ac:dyDescent="0.3">
      <c r="A38" s="24" t="s">
        <v>54</v>
      </c>
      <c r="B38" s="24" t="s">
        <v>862</v>
      </c>
      <c r="C38" s="24" t="s">
        <v>151</v>
      </c>
      <c r="D38" s="24" t="s">
        <v>838</v>
      </c>
      <c r="E38" s="24" t="s">
        <v>859</v>
      </c>
      <c r="F38" s="24" t="s">
        <v>870</v>
      </c>
      <c r="G38" s="24"/>
      <c r="H38" s="24" t="s">
        <v>826</v>
      </c>
      <c r="I38" s="24"/>
    </row>
    <row r="39" spans="1:9" x14ac:dyDescent="0.3">
      <c r="A39" s="24" t="s">
        <v>54</v>
      </c>
      <c r="B39" s="24" t="s">
        <v>862</v>
      </c>
      <c r="C39" s="24" t="s">
        <v>152</v>
      </c>
      <c r="D39" s="24" t="s">
        <v>838</v>
      </c>
      <c r="E39" s="24" t="s">
        <v>859</v>
      </c>
      <c r="F39" s="24" t="s">
        <v>871</v>
      </c>
      <c r="G39" s="24"/>
      <c r="H39" s="24" t="s">
        <v>826</v>
      </c>
      <c r="I39" s="24"/>
    </row>
    <row r="40" spans="1:9" ht="26.4" x14ac:dyDescent="0.3">
      <c r="A40" s="24" t="s">
        <v>54</v>
      </c>
      <c r="B40" s="24" t="s">
        <v>862</v>
      </c>
      <c r="C40" s="24" t="s">
        <v>153</v>
      </c>
      <c r="D40" s="24" t="s">
        <v>872</v>
      </c>
      <c r="E40" s="24" t="s">
        <v>859</v>
      </c>
      <c r="F40" s="24" t="s">
        <v>873</v>
      </c>
      <c r="G40" s="24"/>
      <c r="H40" s="24" t="s">
        <v>826</v>
      </c>
      <c r="I40" s="24"/>
    </row>
    <row r="41" spans="1:9" ht="26.4" x14ac:dyDescent="0.3">
      <c r="A41" s="24" t="s">
        <v>54</v>
      </c>
      <c r="B41" s="24" t="s">
        <v>862</v>
      </c>
      <c r="C41" s="24" t="s">
        <v>154</v>
      </c>
      <c r="D41" s="24" t="s">
        <v>828</v>
      </c>
      <c r="E41" s="24" t="s">
        <v>859</v>
      </c>
      <c r="F41" s="24" t="s">
        <v>874</v>
      </c>
      <c r="G41" s="24"/>
      <c r="H41" s="24" t="s">
        <v>826</v>
      </c>
      <c r="I41" s="24"/>
    </row>
    <row r="42" spans="1:9" ht="26.4" x14ac:dyDescent="0.3">
      <c r="A42" s="24" t="s">
        <v>54</v>
      </c>
      <c r="B42" s="24" t="s">
        <v>862</v>
      </c>
      <c r="C42" s="24" t="s">
        <v>155</v>
      </c>
      <c r="D42" s="24" t="s">
        <v>828</v>
      </c>
      <c r="E42" s="24" t="s">
        <v>859</v>
      </c>
      <c r="F42" s="24" t="s">
        <v>875</v>
      </c>
      <c r="G42" s="24"/>
      <c r="H42" s="24" t="s">
        <v>826</v>
      </c>
      <c r="I42" s="24"/>
    </row>
    <row r="43" spans="1:9" x14ac:dyDescent="0.3">
      <c r="A43" s="24" t="s">
        <v>54</v>
      </c>
      <c r="B43" s="24" t="s">
        <v>862</v>
      </c>
      <c r="C43" s="24" t="s">
        <v>156</v>
      </c>
      <c r="D43" s="24" t="s">
        <v>835</v>
      </c>
      <c r="E43" s="24" t="s">
        <v>859</v>
      </c>
      <c r="F43" s="24" t="s">
        <v>876</v>
      </c>
      <c r="G43" s="24"/>
      <c r="H43" s="24" t="s">
        <v>826</v>
      </c>
      <c r="I43" s="24"/>
    </row>
    <row r="44" spans="1:9" x14ac:dyDescent="0.3">
      <c r="A44" s="24" t="s">
        <v>54</v>
      </c>
      <c r="B44" s="24" t="s">
        <v>862</v>
      </c>
      <c r="C44" s="24" t="s">
        <v>157</v>
      </c>
      <c r="D44" s="24" t="s">
        <v>835</v>
      </c>
      <c r="E44" s="24" t="s">
        <v>859</v>
      </c>
      <c r="F44" s="24" t="s">
        <v>877</v>
      </c>
      <c r="G44" s="24"/>
      <c r="H44" s="24" t="s">
        <v>826</v>
      </c>
      <c r="I44" s="24"/>
    </row>
    <row r="45" spans="1:9" x14ac:dyDescent="0.3">
      <c r="A45" s="24" t="s">
        <v>54</v>
      </c>
      <c r="B45" s="24" t="s">
        <v>862</v>
      </c>
      <c r="C45" s="24" t="s">
        <v>158</v>
      </c>
      <c r="D45" s="24" t="s">
        <v>835</v>
      </c>
      <c r="E45" s="24" t="s">
        <v>859</v>
      </c>
      <c r="F45" s="24" t="s">
        <v>878</v>
      </c>
      <c r="G45" s="24"/>
      <c r="H45" s="24" t="s">
        <v>826</v>
      </c>
      <c r="I45" s="24"/>
    </row>
    <row r="46" spans="1:9" ht="26.4" x14ac:dyDescent="0.3">
      <c r="A46" s="24" t="s">
        <v>54</v>
      </c>
      <c r="B46" s="24" t="s">
        <v>862</v>
      </c>
      <c r="C46" s="24" t="s">
        <v>159</v>
      </c>
      <c r="D46" s="24" t="s">
        <v>872</v>
      </c>
      <c r="E46" s="24" t="s">
        <v>859</v>
      </c>
      <c r="F46" s="24" t="s">
        <v>879</v>
      </c>
      <c r="G46" s="24"/>
      <c r="H46" s="24" t="s">
        <v>826</v>
      </c>
      <c r="I46" s="24"/>
    </row>
    <row r="47" spans="1:9" x14ac:dyDescent="0.3">
      <c r="A47" s="24" t="s">
        <v>54</v>
      </c>
      <c r="B47" s="24" t="s">
        <v>862</v>
      </c>
      <c r="C47" s="24" t="s">
        <v>160</v>
      </c>
      <c r="D47" s="24" t="s">
        <v>835</v>
      </c>
      <c r="E47" s="24" t="s">
        <v>859</v>
      </c>
      <c r="F47" s="24" t="s">
        <v>880</v>
      </c>
      <c r="G47" s="24"/>
      <c r="H47" s="24" t="s">
        <v>826</v>
      </c>
      <c r="I47" s="24"/>
    </row>
    <row r="48" spans="1:9" x14ac:dyDescent="0.3">
      <c r="A48" s="24" t="s">
        <v>54</v>
      </c>
      <c r="B48" s="24" t="s">
        <v>862</v>
      </c>
      <c r="C48" s="24" t="s">
        <v>161</v>
      </c>
      <c r="D48" s="24" t="s">
        <v>835</v>
      </c>
      <c r="E48" s="24" t="s">
        <v>859</v>
      </c>
      <c r="F48" s="24" t="s">
        <v>881</v>
      </c>
      <c r="G48" s="24"/>
      <c r="H48" s="24" t="s">
        <v>826</v>
      </c>
      <c r="I48" s="24"/>
    </row>
    <row r="49" spans="1:9" x14ac:dyDescent="0.3">
      <c r="A49" s="24" t="s">
        <v>54</v>
      </c>
      <c r="B49" s="24" t="s">
        <v>862</v>
      </c>
      <c r="C49" s="24" t="s">
        <v>139</v>
      </c>
      <c r="D49" s="24" t="s">
        <v>835</v>
      </c>
      <c r="E49" s="24" t="s">
        <v>859</v>
      </c>
      <c r="F49" s="24" t="s">
        <v>882</v>
      </c>
      <c r="G49" s="24"/>
      <c r="H49" s="24" t="s">
        <v>826</v>
      </c>
      <c r="I49" s="24"/>
    </row>
    <row r="50" spans="1:9" x14ac:dyDescent="0.3">
      <c r="A50" s="24" t="s">
        <v>58</v>
      </c>
      <c r="B50" s="24" t="s">
        <v>883</v>
      </c>
      <c r="C50" s="24" t="s">
        <v>252</v>
      </c>
      <c r="D50" s="24" t="s">
        <v>828</v>
      </c>
      <c r="E50" s="24" t="s">
        <v>824</v>
      </c>
      <c r="F50" s="24" t="s">
        <v>884</v>
      </c>
      <c r="G50" s="24"/>
      <c r="H50" s="24" t="s">
        <v>826</v>
      </c>
      <c r="I50" s="24" t="s">
        <v>827</v>
      </c>
    </row>
    <row r="51" spans="1:9" x14ac:dyDescent="0.3">
      <c r="A51" s="24" t="s">
        <v>58</v>
      </c>
      <c r="B51" s="24" t="s">
        <v>883</v>
      </c>
      <c r="C51" s="24" t="s">
        <v>253</v>
      </c>
      <c r="D51" s="24" t="s">
        <v>828</v>
      </c>
      <c r="E51" s="24" t="s">
        <v>824</v>
      </c>
      <c r="F51" s="24" t="s">
        <v>885</v>
      </c>
      <c r="G51" s="24"/>
      <c r="H51" s="24" t="s">
        <v>826</v>
      </c>
      <c r="I51" s="24"/>
    </row>
    <row r="52" spans="1:9" x14ac:dyDescent="0.3">
      <c r="A52" s="24" t="s">
        <v>58</v>
      </c>
      <c r="B52" s="24" t="s">
        <v>883</v>
      </c>
      <c r="C52" s="24" t="s">
        <v>254</v>
      </c>
      <c r="D52" s="24" t="s">
        <v>828</v>
      </c>
      <c r="E52" s="24" t="s">
        <v>824</v>
      </c>
      <c r="F52" s="24" t="s">
        <v>886</v>
      </c>
      <c r="G52" s="24"/>
      <c r="H52" s="24" t="s">
        <v>826</v>
      </c>
      <c r="I52" s="24"/>
    </row>
    <row r="53" spans="1:9" x14ac:dyDescent="0.3">
      <c r="A53" s="24" t="s">
        <v>58</v>
      </c>
      <c r="B53" s="24" t="s">
        <v>883</v>
      </c>
      <c r="C53" s="24" t="s">
        <v>255</v>
      </c>
      <c r="D53" s="24" t="s">
        <v>828</v>
      </c>
      <c r="E53" s="24" t="s">
        <v>824</v>
      </c>
      <c r="F53" s="24" t="s">
        <v>887</v>
      </c>
      <c r="G53" s="24"/>
      <c r="H53" s="24" t="s">
        <v>826</v>
      </c>
      <c r="I53" s="24"/>
    </row>
    <row r="54" spans="1:9" x14ac:dyDescent="0.3">
      <c r="A54" s="24" t="s">
        <v>58</v>
      </c>
      <c r="B54" s="24" t="s">
        <v>883</v>
      </c>
      <c r="C54" s="24" t="s">
        <v>256</v>
      </c>
      <c r="D54" s="24" t="s">
        <v>828</v>
      </c>
      <c r="E54" s="24" t="s">
        <v>824</v>
      </c>
      <c r="F54" s="24" t="s">
        <v>888</v>
      </c>
      <c r="G54" s="24"/>
      <c r="H54" s="24" t="s">
        <v>826</v>
      </c>
      <c r="I54" s="24"/>
    </row>
    <row r="55" spans="1:9" x14ac:dyDescent="0.3">
      <c r="A55" s="24" t="s">
        <v>58</v>
      </c>
      <c r="B55" s="24" t="s">
        <v>883</v>
      </c>
      <c r="C55" s="24" t="s">
        <v>257</v>
      </c>
      <c r="D55" s="24" t="s">
        <v>835</v>
      </c>
      <c r="E55" s="24" t="s">
        <v>859</v>
      </c>
      <c r="F55" s="24" t="s">
        <v>889</v>
      </c>
      <c r="G55" s="24"/>
      <c r="H55" s="24" t="s">
        <v>826</v>
      </c>
      <c r="I55" s="24"/>
    </row>
    <row r="56" spans="1:9" x14ac:dyDescent="0.3">
      <c r="A56" s="24" t="s">
        <v>58</v>
      </c>
      <c r="B56" s="24" t="s">
        <v>883</v>
      </c>
      <c r="C56" s="24" t="s">
        <v>258</v>
      </c>
      <c r="D56" s="24" t="s">
        <v>835</v>
      </c>
      <c r="E56" s="24" t="s">
        <v>859</v>
      </c>
      <c r="F56" s="24" t="s">
        <v>890</v>
      </c>
      <c r="G56" s="24"/>
      <c r="H56" s="24" t="s">
        <v>826</v>
      </c>
      <c r="I56" s="24"/>
    </row>
    <row r="57" spans="1:9" x14ac:dyDescent="0.3">
      <c r="A57" s="24" t="s">
        <v>58</v>
      </c>
      <c r="B57" s="24" t="s">
        <v>883</v>
      </c>
      <c r="C57" s="24" t="s">
        <v>259</v>
      </c>
      <c r="D57" s="24" t="s">
        <v>828</v>
      </c>
      <c r="E57" s="24" t="s">
        <v>824</v>
      </c>
      <c r="F57" s="24" t="s">
        <v>891</v>
      </c>
      <c r="G57" s="24"/>
      <c r="H57" s="24" t="s">
        <v>826</v>
      </c>
      <c r="I57" s="24"/>
    </row>
    <row r="58" spans="1:9" x14ac:dyDescent="0.3">
      <c r="A58" s="24" t="s">
        <v>58</v>
      </c>
      <c r="B58" s="24" t="s">
        <v>883</v>
      </c>
      <c r="C58" s="24" t="s">
        <v>260</v>
      </c>
      <c r="D58" s="24" t="s">
        <v>828</v>
      </c>
      <c r="E58" s="24" t="s">
        <v>824</v>
      </c>
      <c r="F58" s="24" t="s">
        <v>892</v>
      </c>
      <c r="G58" s="24"/>
      <c r="H58" s="24" t="s">
        <v>826</v>
      </c>
      <c r="I58" s="24"/>
    </row>
    <row r="59" spans="1:9" x14ac:dyDescent="0.3">
      <c r="A59" s="24" t="s">
        <v>60</v>
      </c>
      <c r="B59" s="24" t="s">
        <v>893</v>
      </c>
      <c r="C59" s="24" t="s">
        <v>294</v>
      </c>
      <c r="D59" s="24" t="s">
        <v>828</v>
      </c>
      <c r="E59" s="24" t="s">
        <v>824</v>
      </c>
      <c r="F59" s="24" t="s">
        <v>894</v>
      </c>
      <c r="G59" s="24"/>
      <c r="H59" s="24" t="s">
        <v>826</v>
      </c>
      <c r="I59" s="24" t="s">
        <v>827</v>
      </c>
    </row>
    <row r="60" spans="1:9" x14ac:dyDescent="0.3">
      <c r="A60" s="24" t="s">
        <v>60</v>
      </c>
      <c r="B60" s="24" t="s">
        <v>893</v>
      </c>
      <c r="C60" s="24" t="s">
        <v>295</v>
      </c>
      <c r="D60" s="24" t="s">
        <v>828</v>
      </c>
      <c r="E60" s="24" t="s">
        <v>824</v>
      </c>
      <c r="F60" s="24" t="s">
        <v>895</v>
      </c>
      <c r="G60" s="24"/>
      <c r="H60" s="24" t="s">
        <v>826</v>
      </c>
      <c r="I60" s="24"/>
    </row>
    <row r="61" spans="1:9" x14ac:dyDescent="0.3">
      <c r="A61" s="24" t="s">
        <v>60</v>
      </c>
      <c r="B61" s="24" t="s">
        <v>893</v>
      </c>
      <c r="C61" s="24" t="s">
        <v>296</v>
      </c>
      <c r="D61" s="24" t="s">
        <v>828</v>
      </c>
      <c r="E61" s="24" t="s">
        <v>824</v>
      </c>
      <c r="F61" s="24" t="s">
        <v>896</v>
      </c>
      <c r="G61" s="24"/>
      <c r="H61" s="24" t="s">
        <v>826</v>
      </c>
      <c r="I61" s="24"/>
    </row>
    <row r="62" spans="1:9" x14ac:dyDescent="0.3">
      <c r="A62" s="24" t="s">
        <v>60</v>
      </c>
      <c r="B62" s="24" t="s">
        <v>893</v>
      </c>
      <c r="C62" s="24" t="s">
        <v>256</v>
      </c>
      <c r="D62" s="24" t="s">
        <v>828</v>
      </c>
      <c r="E62" s="24" t="s">
        <v>824</v>
      </c>
      <c r="F62" s="24" t="s">
        <v>888</v>
      </c>
      <c r="G62" s="24"/>
      <c r="H62" s="24" t="s">
        <v>826</v>
      </c>
      <c r="I62" s="24"/>
    </row>
    <row r="63" spans="1:9" x14ac:dyDescent="0.3">
      <c r="A63" s="24" t="s">
        <v>60</v>
      </c>
      <c r="B63" s="24" t="s">
        <v>893</v>
      </c>
      <c r="C63" s="24" t="s">
        <v>297</v>
      </c>
      <c r="D63" s="24" t="s">
        <v>828</v>
      </c>
      <c r="E63" s="24" t="s">
        <v>824</v>
      </c>
      <c r="F63" s="24" t="s">
        <v>897</v>
      </c>
      <c r="G63" s="24" t="s">
        <v>898</v>
      </c>
      <c r="H63" s="24" t="s">
        <v>826</v>
      </c>
      <c r="I63" s="24"/>
    </row>
    <row r="64" spans="1:9" ht="26.4" x14ac:dyDescent="0.3">
      <c r="A64" s="24" t="s">
        <v>60</v>
      </c>
      <c r="B64" s="24" t="s">
        <v>893</v>
      </c>
      <c r="C64" s="24" t="s">
        <v>298</v>
      </c>
      <c r="D64" s="24" t="s">
        <v>828</v>
      </c>
      <c r="E64" s="24" t="s">
        <v>824</v>
      </c>
      <c r="F64" s="24" t="s">
        <v>899</v>
      </c>
      <c r="G64" s="24" t="s">
        <v>900</v>
      </c>
      <c r="H64" s="24" t="s">
        <v>826</v>
      </c>
      <c r="I64" s="24"/>
    </row>
    <row r="65" spans="1:9" x14ac:dyDescent="0.3">
      <c r="A65" s="24" t="s">
        <v>60</v>
      </c>
      <c r="B65" s="24" t="s">
        <v>893</v>
      </c>
      <c r="C65" s="24" t="s">
        <v>299</v>
      </c>
      <c r="D65" s="24" t="s">
        <v>828</v>
      </c>
      <c r="E65" s="24" t="s">
        <v>824</v>
      </c>
      <c r="F65" s="24" t="s">
        <v>901</v>
      </c>
      <c r="G65" s="24"/>
      <c r="H65" s="24" t="s">
        <v>826</v>
      </c>
      <c r="I65" s="24"/>
    </row>
    <row r="66" spans="1:9" x14ac:dyDescent="0.3">
      <c r="A66" s="24" t="s">
        <v>60</v>
      </c>
      <c r="B66" s="24" t="s">
        <v>893</v>
      </c>
      <c r="C66" s="24" t="s">
        <v>300</v>
      </c>
      <c r="D66" s="24" t="s">
        <v>828</v>
      </c>
      <c r="E66" s="24" t="s">
        <v>824</v>
      </c>
      <c r="F66" s="24" t="s">
        <v>902</v>
      </c>
      <c r="G66" s="24"/>
      <c r="H66" s="24" t="s">
        <v>826</v>
      </c>
      <c r="I66" s="24"/>
    </row>
    <row r="67" spans="1:9" x14ac:dyDescent="0.3">
      <c r="A67" s="24" t="s">
        <v>60</v>
      </c>
      <c r="B67" s="24" t="s">
        <v>893</v>
      </c>
      <c r="C67" s="24" t="s">
        <v>301</v>
      </c>
      <c r="D67" s="24" t="s">
        <v>828</v>
      </c>
      <c r="E67" s="24" t="s">
        <v>824</v>
      </c>
      <c r="F67" s="24" t="s">
        <v>903</v>
      </c>
      <c r="G67" s="24" t="s">
        <v>904</v>
      </c>
      <c r="H67" s="24" t="s">
        <v>826</v>
      </c>
      <c r="I67" s="24"/>
    </row>
    <row r="68" spans="1:9" ht="26.4" x14ac:dyDescent="0.3">
      <c r="A68" s="24" t="s">
        <v>60</v>
      </c>
      <c r="B68" s="24" t="s">
        <v>893</v>
      </c>
      <c r="C68" s="24" t="s">
        <v>302</v>
      </c>
      <c r="D68" s="24" t="s">
        <v>835</v>
      </c>
      <c r="E68" s="24" t="s">
        <v>859</v>
      </c>
      <c r="F68" s="24" t="s">
        <v>905</v>
      </c>
      <c r="G68" s="24"/>
      <c r="H68" s="24" t="s">
        <v>826</v>
      </c>
      <c r="I68" s="24"/>
    </row>
    <row r="69" spans="1:9" ht="26.4" x14ac:dyDescent="0.3">
      <c r="A69" s="24" t="s">
        <v>60</v>
      </c>
      <c r="B69" s="24" t="s">
        <v>893</v>
      </c>
      <c r="C69" s="24" t="s">
        <v>303</v>
      </c>
      <c r="D69" s="24" t="s">
        <v>828</v>
      </c>
      <c r="E69" s="24" t="s">
        <v>824</v>
      </c>
      <c r="F69" s="24" t="s">
        <v>906</v>
      </c>
      <c r="G69" s="24"/>
      <c r="H69" s="24" t="s">
        <v>826</v>
      </c>
      <c r="I69" s="24" t="s">
        <v>907</v>
      </c>
    </row>
    <row r="70" spans="1:9" ht="52.8" x14ac:dyDescent="0.3">
      <c r="A70" s="24" t="s">
        <v>60</v>
      </c>
      <c r="B70" s="24" t="s">
        <v>893</v>
      </c>
      <c r="C70" s="24" t="s">
        <v>304</v>
      </c>
      <c r="D70" s="24" t="s">
        <v>828</v>
      </c>
      <c r="E70" s="24" t="s">
        <v>824</v>
      </c>
      <c r="F70" s="24" t="s">
        <v>908</v>
      </c>
      <c r="G70" s="24"/>
      <c r="H70" s="24" t="s">
        <v>826</v>
      </c>
      <c r="I70" s="24" t="s">
        <v>909</v>
      </c>
    </row>
    <row r="71" spans="1:9" x14ac:dyDescent="0.3">
      <c r="A71" s="24" t="s">
        <v>60</v>
      </c>
      <c r="B71" s="24" t="s">
        <v>893</v>
      </c>
      <c r="C71" s="24" t="s">
        <v>305</v>
      </c>
      <c r="D71" s="24" t="s">
        <v>828</v>
      </c>
      <c r="E71" s="24" t="s">
        <v>824</v>
      </c>
      <c r="F71" s="24" t="s">
        <v>910</v>
      </c>
      <c r="G71" s="24"/>
      <c r="H71" s="24" t="s">
        <v>826</v>
      </c>
      <c r="I71" s="24"/>
    </row>
    <row r="72" spans="1:9" x14ac:dyDescent="0.3">
      <c r="A72" s="24" t="s">
        <v>60</v>
      </c>
      <c r="B72" s="24" t="s">
        <v>893</v>
      </c>
      <c r="C72" s="24" t="s">
        <v>306</v>
      </c>
      <c r="D72" s="24" t="s">
        <v>828</v>
      </c>
      <c r="E72" s="24" t="s">
        <v>824</v>
      </c>
      <c r="F72" s="24" t="s">
        <v>911</v>
      </c>
      <c r="G72" s="24"/>
      <c r="H72" s="24" t="s">
        <v>826</v>
      </c>
      <c r="I72" s="24"/>
    </row>
    <row r="73" spans="1:9" x14ac:dyDescent="0.3">
      <c r="A73" s="24" t="s">
        <v>60</v>
      </c>
      <c r="B73" s="24" t="s">
        <v>893</v>
      </c>
      <c r="C73" s="24" t="s">
        <v>58</v>
      </c>
      <c r="D73" s="24" t="s">
        <v>828</v>
      </c>
      <c r="E73" s="24" t="s">
        <v>824</v>
      </c>
      <c r="F73" s="24" t="s">
        <v>912</v>
      </c>
      <c r="G73" s="24"/>
      <c r="H73" s="24" t="s">
        <v>826</v>
      </c>
      <c r="I73" s="24"/>
    </row>
    <row r="74" spans="1:9" x14ac:dyDescent="0.3">
      <c r="A74" s="24" t="s">
        <v>60</v>
      </c>
      <c r="B74" s="24" t="s">
        <v>893</v>
      </c>
      <c r="C74" s="24" t="s">
        <v>66</v>
      </c>
      <c r="D74" s="24" t="s">
        <v>828</v>
      </c>
      <c r="E74" s="24" t="s">
        <v>824</v>
      </c>
      <c r="F74" s="24" t="s">
        <v>913</v>
      </c>
      <c r="G74" s="24"/>
      <c r="H74" s="24" t="s">
        <v>826</v>
      </c>
      <c r="I74" s="24"/>
    </row>
    <row r="75" spans="1:9" x14ac:dyDescent="0.3">
      <c r="A75" s="24" t="s">
        <v>60</v>
      </c>
      <c r="B75" s="24" t="s">
        <v>893</v>
      </c>
      <c r="C75" s="24" t="s">
        <v>307</v>
      </c>
      <c r="D75" s="24" t="s">
        <v>828</v>
      </c>
      <c r="E75" s="24" t="s">
        <v>824</v>
      </c>
      <c r="F75" s="24" t="s">
        <v>914</v>
      </c>
      <c r="G75" s="24"/>
      <c r="H75" s="24" t="s">
        <v>826</v>
      </c>
      <c r="I75" s="24"/>
    </row>
    <row r="76" spans="1:9" x14ac:dyDescent="0.3">
      <c r="A76" s="24" t="s">
        <v>60</v>
      </c>
      <c r="B76" s="24" t="s">
        <v>893</v>
      </c>
      <c r="C76" s="24" t="s">
        <v>308</v>
      </c>
      <c r="D76" s="24" t="s">
        <v>828</v>
      </c>
      <c r="E76" s="24" t="s">
        <v>824</v>
      </c>
      <c r="F76" s="24" t="s">
        <v>915</v>
      </c>
      <c r="G76" s="24"/>
      <c r="H76" s="24" t="s">
        <v>826</v>
      </c>
      <c r="I76" s="24" t="s">
        <v>916</v>
      </c>
    </row>
    <row r="77" spans="1:9" x14ac:dyDescent="0.3">
      <c r="A77" s="24" t="s">
        <v>60</v>
      </c>
      <c r="B77" s="24" t="s">
        <v>893</v>
      </c>
      <c r="C77" s="24" t="s">
        <v>309</v>
      </c>
      <c r="D77" s="24" t="s">
        <v>828</v>
      </c>
      <c r="E77" s="24" t="s">
        <v>824</v>
      </c>
      <c r="F77" s="24" t="s">
        <v>917</v>
      </c>
      <c r="G77" s="24"/>
      <c r="H77" s="24" t="s">
        <v>826</v>
      </c>
      <c r="I77" s="24"/>
    </row>
    <row r="78" spans="1:9" x14ac:dyDescent="0.3">
      <c r="A78" s="24" t="s">
        <v>60</v>
      </c>
      <c r="B78" s="24" t="s">
        <v>893</v>
      </c>
      <c r="C78" s="24" t="s">
        <v>310</v>
      </c>
      <c r="D78" s="24" t="s">
        <v>828</v>
      </c>
      <c r="E78" s="24" t="s">
        <v>824</v>
      </c>
      <c r="F78" s="24" t="s">
        <v>918</v>
      </c>
      <c r="G78" s="24"/>
      <c r="H78" s="24" t="s">
        <v>826</v>
      </c>
      <c r="I78" s="24"/>
    </row>
    <row r="79" spans="1:9" x14ac:dyDescent="0.3">
      <c r="A79" s="24" t="s">
        <v>60</v>
      </c>
      <c r="B79" s="24" t="s">
        <v>893</v>
      </c>
      <c r="C79" s="24" t="s">
        <v>311</v>
      </c>
      <c r="D79" s="24" t="s">
        <v>835</v>
      </c>
      <c r="E79" s="24" t="s">
        <v>824</v>
      </c>
      <c r="F79" s="24" t="s">
        <v>919</v>
      </c>
      <c r="G79" s="24"/>
      <c r="H79" s="24" t="s">
        <v>456</v>
      </c>
      <c r="I79" s="24"/>
    </row>
    <row r="80" spans="1:9" ht="26.4" x14ac:dyDescent="0.3">
      <c r="A80" s="24" t="s">
        <v>60</v>
      </c>
      <c r="B80" s="24" t="s">
        <v>893</v>
      </c>
      <c r="C80" s="24" t="s">
        <v>312</v>
      </c>
      <c r="D80" s="24" t="s">
        <v>835</v>
      </c>
      <c r="E80" s="24" t="s">
        <v>824</v>
      </c>
      <c r="F80" s="24" t="s">
        <v>920</v>
      </c>
      <c r="G80" s="24"/>
      <c r="H80" s="24" t="s">
        <v>456</v>
      </c>
      <c r="I80" s="24"/>
    </row>
    <row r="81" spans="1:9" x14ac:dyDescent="0.3">
      <c r="A81" s="24" t="s">
        <v>60</v>
      </c>
      <c r="B81" s="24" t="s">
        <v>893</v>
      </c>
      <c r="C81" s="24" t="s">
        <v>313</v>
      </c>
      <c r="D81" s="24" t="s">
        <v>835</v>
      </c>
      <c r="E81" s="24" t="s">
        <v>824</v>
      </c>
      <c r="F81" s="24" t="s">
        <v>921</v>
      </c>
      <c r="G81" s="24"/>
      <c r="H81" s="24" t="s">
        <v>456</v>
      </c>
      <c r="I81" s="24"/>
    </row>
    <row r="82" spans="1:9" ht="26.4" x14ac:dyDescent="0.3">
      <c r="A82" s="24" t="s">
        <v>60</v>
      </c>
      <c r="B82" s="24" t="s">
        <v>893</v>
      </c>
      <c r="C82" s="24" t="s">
        <v>314</v>
      </c>
      <c r="D82" s="24" t="s">
        <v>835</v>
      </c>
      <c r="E82" s="24" t="s">
        <v>859</v>
      </c>
      <c r="F82" s="24" t="s">
        <v>922</v>
      </c>
      <c r="G82" s="24"/>
      <c r="H82" s="24" t="s">
        <v>826</v>
      </c>
      <c r="I82" s="24"/>
    </row>
    <row r="83" spans="1:9" ht="26.4" x14ac:dyDescent="0.3">
      <c r="A83" s="24" t="s">
        <v>60</v>
      </c>
      <c r="B83" s="24" t="s">
        <v>893</v>
      </c>
      <c r="C83" s="24" t="s">
        <v>315</v>
      </c>
      <c r="D83" s="24" t="s">
        <v>872</v>
      </c>
      <c r="E83" s="24" t="s">
        <v>859</v>
      </c>
      <c r="F83" s="24" t="s">
        <v>923</v>
      </c>
      <c r="G83" s="24"/>
      <c r="H83" s="24" t="s">
        <v>826</v>
      </c>
      <c r="I83" s="24"/>
    </row>
    <row r="84" spans="1:9" x14ac:dyDescent="0.3">
      <c r="A84" s="24" t="s">
        <v>60</v>
      </c>
      <c r="B84" s="24" t="s">
        <v>893</v>
      </c>
      <c r="C84" s="24" t="s">
        <v>14</v>
      </c>
      <c r="D84" s="24" t="s">
        <v>828</v>
      </c>
      <c r="E84" s="24" t="s">
        <v>859</v>
      </c>
      <c r="F84" s="24" t="s">
        <v>924</v>
      </c>
      <c r="G84" s="24"/>
      <c r="H84" s="24" t="s">
        <v>826</v>
      </c>
      <c r="I84" s="24"/>
    </row>
    <row r="85" spans="1:9" x14ac:dyDescent="0.3">
      <c r="A85" s="24" t="s">
        <v>60</v>
      </c>
      <c r="B85" s="24" t="s">
        <v>893</v>
      </c>
      <c r="C85" s="24" t="s">
        <v>316</v>
      </c>
      <c r="D85" s="24" t="s">
        <v>828</v>
      </c>
      <c r="E85" s="24" t="s">
        <v>824</v>
      </c>
      <c r="F85" s="24" t="s">
        <v>925</v>
      </c>
      <c r="G85" s="24"/>
      <c r="H85" s="24" t="s">
        <v>456</v>
      </c>
      <c r="I85" s="24"/>
    </row>
    <row r="86" spans="1:9" x14ac:dyDescent="0.3">
      <c r="A86" s="24" t="s">
        <v>60</v>
      </c>
      <c r="B86" s="24" t="s">
        <v>893</v>
      </c>
      <c r="C86" s="24" t="s">
        <v>317</v>
      </c>
      <c r="D86" s="24" t="s">
        <v>828</v>
      </c>
      <c r="E86" s="24" t="s">
        <v>824</v>
      </c>
      <c r="F86" s="24" t="s">
        <v>926</v>
      </c>
      <c r="G86" s="24"/>
      <c r="H86" s="24" t="s">
        <v>826</v>
      </c>
      <c r="I86" s="24"/>
    </row>
    <row r="87" spans="1:9" x14ac:dyDescent="0.3">
      <c r="A87" s="24" t="s">
        <v>62</v>
      </c>
      <c r="B87" s="24" t="s">
        <v>927</v>
      </c>
      <c r="C87" s="24" t="s">
        <v>308</v>
      </c>
      <c r="D87" s="24" t="s">
        <v>828</v>
      </c>
      <c r="E87" s="24" t="s">
        <v>824</v>
      </c>
      <c r="F87" s="24" t="s">
        <v>928</v>
      </c>
      <c r="G87" s="24"/>
      <c r="H87" s="24" t="s">
        <v>826</v>
      </c>
      <c r="I87" s="24" t="s">
        <v>827</v>
      </c>
    </row>
    <row r="88" spans="1:9" x14ac:dyDescent="0.3">
      <c r="A88" s="24" t="s">
        <v>62</v>
      </c>
      <c r="B88" s="24" t="s">
        <v>927</v>
      </c>
      <c r="C88" s="24" t="s">
        <v>294</v>
      </c>
      <c r="D88" s="24" t="s">
        <v>828</v>
      </c>
      <c r="E88" s="24" t="s">
        <v>824</v>
      </c>
      <c r="F88" s="24" t="s">
        <v>929</v>
      </c>
      <c r="G88" s="24"/>
      <c r="H88" s="24" t="s">
        <v>826</v>
      </c>
      <c r="I88" s="24" t="s">
        <v>930</v>
      </c>
    </row>
    <row r="89" spans="1:9" x14ac:dyDescent="0.3">
      <c r="A89" s="24" t="s">
        <v>62</v>
      </c>
      <c r="B89" s="24" t="s">
        <v>927</v>
      </c>
      <c r="C89" s="24" t="s">
        <v>479</v>
      </c>
      <c r="D89" s="24" t="s">
        <v>828</v>
      </c>
      <c r="E89" s="24" t="s">
        <v>824</v>
      </c>
      <c r="F89" s="24" t="s">
        <v>931</v>
      </c>
      <c r="G89" s="24"/>
      <c r="H89" s="24" t="s">
        <v>826</v>
      </c>
      <c r="I89" s="24"/>
    </row>
    <row r="90" spans="1:9" ht="26.4" x14ac:dyDescent="0.3">
      <c r="A90" s="24" t="s">
        <v>62</v>
      </c>
      <c r="B90" s="24" t="s">
        <v>927</v>
      </c>
      <c r="C90" s="24" t="s">
        <v>480</v>
      </c>
      <c r="D90" s="24" t="s">
        <v>823</v>
      </c>
      <c r="E90" s="24" t="s">
        <v>824</v>
      </c>
      <c r="F90" s="24" t="s">
        <v>932</v>
      </c>
      <c r="G90" s="24"/>
      <c r="H90" s="24" t="s">
        <v>826</v>
      </c>
      <c r="I90" s="24"/>
    </row>
    <row r="91" spans="1:9" ht="26.4" x14ac:dyDescent="0.3">
      <c r="A91" s="24" t="s">
        <v>62</v>
      </c>
      <c r="B91" s="24" t="s">
        <v>927</v>
      </c>
      <c r="C91" s="24" t="s">
        <v>481</v>
      </c>
      <c r="D91" s="24" t="s">
        <v>823</v>
      </c>
      <c r="E91" s="24" t="s">
        <v>824</v>
      </c>
      <c r="F91" s="24" t="s">
        <v>933</v>
      </c>
      <c r="G91" s="24"/>
      <c r="H91" s="24" t="s">
        <v>826</v>
      </c>
      <c r="I91" s="24"/>
    </row>
    <row r="92" spans="1:9" x14ac:dyDescent="0.3">
      <c r="A92" s="24" t="s">
        <v>62</v>
      </c>
      <c r="B92" s="24" t="s">
        <v>927</v>
      </c>
      <c r="C92" s="24" t="s">
        <v>482</v>
      </c>
      <c r="D92" s="24" t="s">
        <v>832</v>
      </c>
      <c r="E92" s="24" t="s">
        <v>859</v>
      </c>
      <c r="F92" s="24" t="s">
        <v>934</v>
      </c>
      <c r="G92" s="24"/>
      <c r="H92" s="24" t="s">
        <v>826</v>
      </c>
      <c r="I92" s="24"/>
    </row>
    <row r="93" spans="1:9" x14ac:dyDescent="0.3">
      <c r="A93" s="24" t="s">
        <v>62</v>
      </c>
      <c r="B93" s="24" t="s">
        <v>927</v>
      </c>
      <c r="C93" s="24" t="s">
        <v>483</v>
      </c>
      <c r="D93" s="24" t="s">
        <v>828</v>
      </c>
      <c r="E93" s="24" t="s">
        <v>824</v>
      </c>
      <c r="F93" s="24" t="s">
        <v>935</v>
      </c>
      <c r="G93" s="24"/>
      <c r="H93" s="24" t="s">
        <v>826</v>
      </c>
      <c r="I93" s="24"/>
    </row>
    <row r="94" spans="1:9" x14ac:dyDescent="0.3">
      <c r="A94" s="24" t="s">
        <v>62</v>
      </c>
      <c r="B94" s="24" t="s">
        <v>927</v>
      </c>
      <c r="C94" s="24" t="s">
        <v>484</v>
      </c>
      <c r="D94" s="24" t="s">
        <v>835</v>
      </c>
      <c r="E94" s="24" t="s">
        <v>859</v>
      </c>
      <c r="F94" s="24" t="s">
        <v>936</v>
      </c>
      <c r="G94" s="24"/>
      <c r="H94" s="24" t="s">
        <v>826</v>
      </c>
      <c r="I94" s="24"/>
    </row>
    <row r="95" spans="1:9" x14ac:dyDescent="0.3">
      <c r="A95" s="24" t="s">
        <v>62</v>
      </c>
      <c r="B95" s="24" t="s">
        <v>927</v>
      </c>
      <c r="C95" s="24" t="s">
        <v>485</v>
      </c>
      <c r="D95" s="24" t="s">
        <v>835</v>
      </c>
      <c r="E95" s="24" t="s">
        <v>824</v>
      </c>
      <c r="F95" s="24" t="s">
        <v>937</v>
      </c>
      <c r="G95" s="24"/>
      <c r="H95" s="24" t="s">
        <v>456</v>
      </c>
      <c r="I95" s="24"/>
    </row>
    <row r="96" spans="1:9" x14ac:dyDescent="0.3">
      <c r="A96" s="24" t="s">
        <v>62</v>
      </c>
      <c r="B96" s="24" t="s">
        <v>927</v>
      </c>
      <c r="C96" s="24" t="s">
        <v>486</v>
      </c>
      <c r="D96" s="24" t="s">
        <v>828</v>
      </c>
      <c r="E96" s="24" t="s">
        <v>824</v>
      </c>
      <c r="F96" s="24" t="s">
        <v>938</v>
      </c>
      <c r="G96" s="24"/>
      <c r="H96" s="24" t="s">
        <v>456</v>
      </c>
      <c r="I96" s="24"/>
    </row>
    <row r="97" spans="1:9" x14ac:dyDescent="0.3">
      <c r="A97" s="24" t="s">
        <v>62</v>
      </c>
      <c r="B97" s="24" t="s">
        <v>927</v>
      </c>
      <c r="C97" s="24" t="s">
        <v>14</v>
      </c>
      <c r="D97" s="24" t="s">
        <v>828</v>
      </c>
      <c r="E97" s="24" t="s">
        <v>824</v>
      </c>
      <c r="F97" s="24" t="s">
        <v>939</v>
      </c>
      <c r="G97" s="24" t="s">
        <v>940</v>
      </c>
      <c r="H97" s="24" t="s">
        <v>826</v>
      </c>
      <c r="I97" s="24"/>
    </row>
    <row r="98" spans="1:9" ht="26.4" x14ac:dyDescent="0.3">
      <c r="A98" s="24" t="s">
        <v>62</v>
      </c>
      <c r="B98" s="24" t="s">
        <v>927</v>
      </c>
      <c r="C98" s="24" t="s">
        <v>487</v>
      </c>
      <c r="D98" s="24" t="s">
        <v>823</v>
      </c>
      <c r="E98" s="24" t="s">
        <v>824</v>
      </c>
      <c r="F98" s="24" t="s">
        <v>941</v>
      </c>
      <c r="G98" s="24"/>
      <c r="H98" s="24" t="s">
        <v>456</v>
      </c>
      <c r="I98" s="24"/>
    </row>
    <row r="99" spans="1:9" ht="26.4" x14ac:dyDescent="0.3">
      <c r="A99" s="24" t="s">
        <v>62</v>
      </c>
      <c r="B99" s="24" t="s">
        <v>927</v>
      </c>
      <c r="C99" s="24" t="s">
        <v>488</v>
      </c>
      <c r="D99" s="24" t="s">
        <v>828</v>
      </c>
      <c r="E99" s="24" t="s">
        <v>824</v>
      </c>
      <c r="F99" s="24" t="s">
        <v>942</v>
      </c>
      <c r="G99" s="24"/>
      <c r="H99" s="24" t="s">
        <v>826</v>
      </c>
      <c r="I99" s="24"/>
    </row>
    <row r="100" spans="1:9" ht="26.4" x14ac:dyDescent="0.3">
      <c r="A100" s="24" t="s">
        <v>62</v>
      </c>
      <c r="B100" s="24" t="s">
        <v>927</v>
      </c>
      <c r="C100" s="24" t="s">
        <v>489</v>
      </c>
      <c r="D100" s="24" t="s">
        <v>823</v>
      </c>
      <c r="E100" s="24" t="s">
        <v>824</v>
      </c>
      <c r="F100" s="24" t="s">
        <v>943</v>
      </c>
      <c r="G100" s="24"/>
      <c r="H100" s="24" t="s">
        <v>456</v>
      </c>
      <c r="I100" s="24"/>
    </row>
    <row r="101" spans="1:9" x14ac:dyDescent="0.3">
      <c r="A101" s="24" t="s">
        <v>64</v>
      </c>
      <c r="B101" s="24" t="s">
        <v>944</v>
      </c>
      <c r="C101" s="24" t="s">
        <v>505</v>
      </c>
      <c r="D101" s="24" t="s">
        <v>828</v>
      </c>
      <c r="E101" s="24" t="s">
        <v>824</v>
      </c>
      <c r="F101" s="24" t="s">
        <v>945</v>
      </c>
      <c r="G101" s="24"/>
      <c r="H101" s="24" t="s">
        <v>826</v>
      </c>
      <c r="I101" s="24" t="s">
        <v>827</v>
      </c>
    </row>
    <row r="102" spans="1:9" ht="26.4" x14ac:dyDescent="0.3">
      <c r="A102" s="24" t="s">
        <v>64</v>
      </c>
      <c r="B102" s="24" t="s">
        <v>944</v>
      </c>
      <c r="C102" s="24" t="s">
        <v>506</v>
      </c>
      <c r="D102" s="24" t="s">
        <v>823</v>
      </c>
      <c r="E102" s="24" t="s">
        <v>824</v>
      </c>
      <c r="F102" s="24" t="s">
        <v>946</v>
      </c>
      <c r="G102" s="24"/>
      <c r="H102" s="24" t="s">
        <v>826</v>
      </c>
      <c r="I102" s="24"/>
    </row>
    <row r="103" spans="1:9" x14ac:dyDescent="0.3">
      <c r="A103" s="24" t="s">
        <v>64</v>
      </c>
      <c r="B103" s="24" t="s">
        <v>944</v>
      </c>
      <c r="C103" s="24" t="s">
        <v>507</v>
      </c>
      <c r="D103" s="24" t="s">
        <v>828</v>
      </c>
      <c r="E103" s="24" t="s">
        <v>824</v>
      </c>
      <c r="F103" s="24" t="s">
        <v>947</v>
      </c>
      <c r="G103" s="24"/>
      <c r="H103" s="24" t="s">
        <v>826</v>
      </c>
      <c r="I103" s="24"/>
    </row>
    <row r="104" spans="1:9" x14ac:dyDescent="0.3">
      <c r="A104" s="24" t="s">
        <v>64</v>
      </c>
      <c r="B104" s="24" t="s">
        <v>944</v>
      </c>
      <c r="C104" s="24" t="s">
        <v>479</v>
      </c>
      <c r="D104" s="24" t="s">
        <v>828</v>
      </c>
      <c r="E104" s="24" t="s">
        <v>824</v>
      </c>
      <c r="F104" s="24" t="s">
        <v>948</v>
      </c>
      <c r="G104" s="24"/>
      <c r="H104" s="24" t="s">
        <v>826</v>
      </c>
      <c r="I104" s="24"/>
    </row>
    <row r="105" spans="1:9" x14ac:dyDescent="0.3">
      <c r="A105" s="24" t="s">
        <v>64</v>
      </c>
      <c r="B105" s="24" t="s">
        <v>944</v>
      </c>
      <c r="C105" s="24" t="s">
        <v>508</v>
      </c>
      <c r="D105" s="24" t="s">
        <v>828</v>
      </c>
      <c r="E105" s="24" t="s">
        <v>824</v>
      </c>
      <c r="F105" s="24" t="s">
        <v>949</v>
      </c>
      <c r="G105" s="24"/>
      <c r="H105" s="24" t="s">
        <v>826</v>
      </c>
      <c r="I105" s="24"/>
    </row>
    <row r="106" spans="1:9" x14ac:dyDescent="0.3">
      <c r="A106" s="24" t="s">
        <v>64</v>
      </c>
      <c r="B106" s="24" t="s">
        <v>944</v>
      </c>
      <c r="C106" s="24" t="s">
        <v>509</v>
      </c>
      <c r="D106" s="24" t="s">
        <v>828</v>
      </c>
      <c r="E106" s="24" t="s">
        <v>824</v>
      </c>
      <c r="F106" s="24" t="s">
        <v>950</v>
      </c>
      <c r="G106" s="24"/>
      <c r="H106" s="24" t="s">
        <v>826</v>
      </c>
      <c r="I106" s="24"/>
    </row>
    <row r="107" spans="1:9" x14ac:dyDescent="0.3">
      <c r="A107" s="24" t="s">
        <v>64</v>
      </c>
      <c r="B107" s="24" t="s">
        <v>944</v>
      </c>
      <c r="C107" s="24" t="s">
        <v>510</v>
      </c>
      <c r="D107" s="24" t="s">
        <v>828</v>
      </c>
      <c r="E107" s="24" t="s">
        <v>824</v>
      </c>
      <c r="F107" s="24" t="s">
        <v>951</v>
      </c>
      <c r="G107" s="24"/>
      <c r="H107" s="24" t="s">
        <v>456</v>
      </c>
      <c r="I107" s="24"/>
    </row>
    <row r="108" spans="1:9" x14ac:dyDescent="0.3">
      <c r="A108" s="24" t="s">
        <v>64</v>
      </c>
      <c r="B108" s="24" t="s">
        <v>944</v>
      </c>
      <c r="C108" s="24" t="s">
        <v>14</v>
      </c>
      <c r="D108" s="24" t="s">
        <v>828</v>
      </c>
      <c r="E108" s="24" t="s">
        <v>824</v>
      </c>
      <c r="F108" s="24" t="s">
        <v>952</v>
      </c>
      <c r="G108" s="24"/>
      <c r="H108" s="24" t="s">
        <v>826</v>
      </c>
      <c r="I108" s="24"/>
    </row>
    <row r="109" spans="1:9" x14ac:dyDescent="0.3">
      <c r="A109" s="24" t="s">
        <v>64</v>
      </c>
      <c r="B109" s="24" t="s">
        <v>944</v>
      </c>
      <c r="C109" s="24" t="s">
        <v>301</v>
      </c>
      <c r="D109" s="24" t="s">
        <v>828</v>
      </c>
      <c r="E109" s="24" t="s">
        <v>824</v>
      </c>
      <c r="F109" s="24" t="s">
        <v>953</v>
      </c>
      <c r="G109" s="24" t="s">
        <v>904</v>
      </c>
      <c r="H109" s="24" t="s">
        <v>826</v>
      </c>
      <c r="I109" s="24"/>
    </row>
    <row r="110" spans="1:9" ht="26.4" x14ac:dyDescent="0.3">
      <c r="A110" s="24" t="s">
        <v>64</v>
      </c>
      <c r="B110" s="24" t="s">
        <v>944</v>
      </c>
      <c r="C110" s="24" t="s">
        <v>487</v>
      </c>
      <c r="D110" s="24" t="s">
        <v>823</v>
      </c>
      <c r="E110" s="24" t="s">
        <v>824</v>
      </c>
      <c r="F110" s="24" t="s">
        <v>954</v>
      </c>
      <c r="G110" s="24"/>
      <c r="H110" s="24" t="s">
        <v>456</v>
      </c>
      <c r="I110" s="24"/>
    </row>
    <row r="111" spans="1:9" x14ac:dyDescent="0.3">
      <c r="A111" s="24" t="s">
        <v>66</v>
      </c>
      <c r="B111" s="24" t="s">
        <v>955</v>
      </c>
      <c r="C111" s="24" t="s">
        <v>535</v>
      </c>
      <c r="D111" s="24" t="s">
        <v>828</v>
      </c>
      <c r="E111" s="24" t="s">
        <v>824</v>
      </c>
      <c r="F111" s="24" t="s">
        <v>956</v>
      </c>
      <c r="G111" s="24"/>
      <c r="H111" s="24" t="s">
        <v>826</v>
      </c>
      <c r="I111" s="24" t="s">
        <v>827</v>
      </c>
    </row>
    <row r="112" spans="1:9" x14ac:dyDescent="0.3">
      <c r="A112" s="24" t="s">
        <v>66</v>
      </c>
      <c r="B112" s="24" t="s">
        <v>955</v>
      </c>
      <c r="C112" s="24" t="s">
        <v>536</v>
      </c>
      <c r="D112" s="24" t="s">
        <v>828</v>
      </c>
      <c r="E112" s="24" t="s">
        <v>824</v>
      </c>
      <c r="F112" s="24" t="s">
        <v>957</v>
      </c>
      <c r="G112" s="24"/>
      <c r="H112" s="24" t="s">
        <v>826</v>
      </c>
      <c r="I112" s="24"/>
    </row>
    <row r="113" spans="1:9" x14ac:dyDescent="0.3">
      <c r="A113" s="24" t="s">
        <v>66</v>
      </c>
      <c r="B113" s="24" t="s">
        <v>955</v>
      </c>
      <c r="C113" s="24" t="s">
        <v>537</v>
      </c>
      <c r="D113" s="24" t="s">
        <v>828</v>
      </c>
      <c r="E113" s="24" t="s">
        <v>824</v>
      </c>
      <c r="F113" s="24" t="s">
        <v>958</v>
      </c>
      <c r="G113" s="24"/>
      <c r="H113" s="24" t="s">
        <v>826</v>
      </c>
      <c r="I113" s="24"/>
    </row>
    <row r="114" spans="1:9" x14ac:dyDescent="0.3">
      <c r="A114" s="24" t="s">
        <v>66</v>
      </c>
      <c r="B114" s="24" t="s">
        <v>955</v>
      </c>
      <c r="C114" s="24" t="s">
        <v>538</v>
      </c>
      <c r="D114" s="24" t="s">
        <v>828</v>
      </c>
      <c r="E114" s="24" t="s">
        <v>824</v>
      </c>
      <c r="F114" s="24" t="s">
        <v>959</v>
      </c>
      <c r="G114" s="24"/>
      <c r="H114" s="24" t="s">
        <v>826</v>
      </c>
      <c r="I114" s="24"/>
    </row>
    <row r="115" spans="1:9" x14ac:dyDescent="0.3">
      <c r="A115" s="24" t="s">
        <v>66</v>
      </c>
      <c r="B115" s="24" t="s">
        <v>955</v>
      </c>
      <c r="C115" s="24" t="s">
        <v>539</v>
      </c>
      <c r="D115" s="24" t="s">
        <v>828</v>
      </c>
      <c r="E115" s="24" t="s">
        <v>824</v>
      </c>
      <c r="F115" s="24" t="s">
        <v>960</v>
      </c>
      <c r="G115" s="24"/>
      <c r="H115" s="24" t="s">
        <v>826</v>
      </c>
      <c r="I115" s="24"/>
    </row>
    <row r="116" spans="1:9" ht="39.6" x14ac:dyDescent="0.3">
      <c r="A116" s="24" t="s">
        <v>66</v>
      </c>
      <c r="B116" s="24" t="s">
        <v>955</v>
      </c>
      <c r="C116" s="24" t="s">
        <v>505</v>
      </c>
      <c r="D116" s="24" t="s">
        <v>828</v>
      </c>
      <c r="E116" s="24" t="s">
        <v>824</v>
      </c>
      <c r="F116" s="24" t="s">
        <v>961</v>
      </c>
      <c r="G116" s="24"/>
      <c r="H116" s="24" t="s">
        <v>456</v>
      </c>
      <c r="I116" s="24" t="s">
        <v>962</v>
      </c>
    </row>
    <row r="117" spans="1:9" x14ac:dyDescent="0.3">
      <c r="A117" s="24" t="s">
        <v>68</v>
      </c>
      <c r="B117" s="24" t="s">
        <v>963</v>
      </c>
      <c r="C117" s="24" t="s">
        <v>569</v>
      </c>
      <c r="D117" s="24" t="s">
        <v>828</v>
      </c>
      <c r="E117" s="24" t="s">
        <v>824</v>
      </c>
      <c r="F117" s="24" t="s">
        <v>964</v>
      </c>
      <c r="G117" s="24"/>
      <c r="H117" s="24" t="s">
        <v>826</v>
      </c>
      <c r="I117" s="24" t="s">
        <v>827</v>
      </c>
    </row>
    <row r="118" spans="1:9" x14ac:dyDescent="0.3">
      <c r="A118" s="24" t="s">
        <v>68</v>
      </c>
      <c r="B118" s="24" t="s">
        <v>963</v>
      </c>
      <c r="C118" s="24" t="s">
        <v>178</v>
      </c>
      <c r="D118" s="24" t="s">
        <v>835</v>
      </c>
      <c r="E118" s="24" t="s">
        <v>824</v>
      </c>
      <c r="F118" s="24" t="s">
        <v>965</v>
      </c>
      <c r="G118" s="24"/>
      <c r="H118" s="24" t="s">
        <v>826</v>
      </c>
      <c r="I118" s="24"/>
    </row>
    <row r="119" spans="1:9" x14ac:dyDescent="0.3">
      <c r="A119" s="24" t="s">
        <v>68</v>
      </c>
      <c r="B119" s="24" t="s">
        <v>963</v>
      </c>
      <c r="C119" s="24" t="s">
        <v>256</v>
      </c>
      <c r="D119" s="24" t="s">
        <v>828</v>
      </c>
      <c r="E119" s="24" t="s">
        <v>824</v>
      </c>
      <c r="F119" s="24" t="s">
        <v>888</v>
      </c>
      <c r="G119" s="24"/>
      <c r="H119" s="24" t="s">
        <v>826</v>
      </c>
      <c r="I119" s="24"/>
    </row>
    <row r="120" spans="1:9" x14ac:dyDescent="0.3">
      <c r="A120" s="24" t="s">
        <v>68</v>
      </c>
      <c r="B120" s="24" t="s">
        <v>963</v>
      </c>
      <c r="C120" s="24" t="s">
        <v>479</v>
      </c>
      <c r="D120" s="24" t="s">
        <v>828</v>
      </c>
      <c r="E120" s="24" t="s">
        <v>824</v>
      </c>
      <c r="F120" s="24" t="s">
        <v>885</v>
      </c>
      <c r="G120" s="24"/>
      <c r="H120" s="24" t="s">
        <v>826</v>
      </c>
      <c r="I120" s="24"/>
    </row>
    <row r="121" spans="1:9" x14ac:dyDescent="0.3">
      <c r="A121" s="24" t="s">
        <v>68</v>
      </c>
      <c r="B121" s="24" t="s">
        <v>963</v>
      </c>
      <c r="C121" s="24" t="s">
        <v>255</v>
      </c>
      <c r="D121" s="24" t="s">
        <v>828</v>
      </c>
      <c r="E121" s="24" t="s">
        <v>824</v>
      </c>
      <c r="F121" s="24" t="s">
        <v>966</v>
      </c>
      <c r="G121" s="24"/>
      <c r="H121" s="24" t="s">
        <v>826</v>
      </c>
      <c r="I121" s="24"/>
    </row>
    <row r="122" spans="1:9" x14ac:dyDescent="0.3">
      <c r="A122" s="24" t="s">
        <v>70</v>
      </c>
      <c r="B122" s="24" t="s">
        <v>967</v>
      </c>
      <c r="C122" s="24" t="s">
        <v>303</v>
      </c>
      <c r="D122" s="24" t="s">
        <v>828</v>
      </c>
      <c r="E122" s="24" t="s">
        <v>824</v>
      </c>
      <c r="F122" s="24" t="s">
        <v>968</v>
      </c>
      <c r="G122" s="24"/>
      <c r="H122" s="24" t="s">
        <v>826</v>
      </c>
      <c r="I122" s="24" t="s">
        <v>827</v>
      </c>
    </row>
    <row r="123" spans="1:9" ht="39.6" x14ac:dyDescent="0.3">
      <c r="A123" s="24" t="s">
        <v>70</v>
      </c>
      <c r="B123" s="24" t="s">
        <v>967</v>
      </c>
      <c r="C123" s="24" t="s">
        <v>586</v>
      </c>
      <c r="D123" s="24" t="s">
        <v>828</v>
      </c>
      <c r="E123" s="24" t="s">
        <v>824</v>
      </c>
      <c r="F123" s="24" t="s">
        <v>969</v>
      </c>
      <c r="G123" s="24"/>
      <c r="H123" s="24" t="s">
        <v>826</v>
      </c>
      <c r="I123" s="24" t="s">
        <v>970</v>
      </c>
    </row>
    <row r="124" spans="1:9" x14ac:dyDescent="0.3">
      <c r="A124" s="24" t="s">
        <v>70</v>
      </c>
      <c r="B124" s="24" t="s">
        <v>967</v>
      </c>
      <c r="C124" s="24" t="s">
        <v>587</v>
      </c>
      <c r="D124" s="24" t="s">
        <v>828</v>
      </c>
      <c r="E124" s="24" t="s">
        <v>824</v>
      </c>
      <c r="F124" s="24" t="s">
        <v>971</v>
      </c>
      <c r="G124" s="24"/>
      <c r="H124" s="24" t="s">
        <v>826</v>
      </c>
      <c r="I124" s="24"/>
    </row>
    <row r="125" spans="1:9" x14ac:dyDescent="0.3">
      <c r="A125" s="24" t="s">
        <v>70</v>
      </c>
      <c r="B125" s="24" t="s">
        <v>967</v>
      </c>
      <c r="C125" s="24" t="s">
        <v>588</v>
      </c>
      <c r="D125" s="24" t="s">
        <v>828</v>
      </c>
      <c r="E125" s="24" t="s">
        <v>824</v>
      </c>
      <c r="F125" s="24" t="s">
        <v>972</v>
      </c>
      <c r="G125" s="24"/>
      <c r="H125" s="24" t="s">
        <v>826</v>
      </c>
      <c r="I125" s="24"/>
    </row>
    <row r="126" spans="1:9" x14ac:dyDescent="0.3">
      <c r="A126" s="24" t="s">
        <v>70</v>
      </c>
      <c r="B126" s="24" t="s">
        <v>967</v>
      </c>
      <c r="C126" s="24" t="s">
        <v>589</v>
      </c>
      <c r="D126" s="24" t="s">
        <v>828</v>
      </c>
      <c r="E126" s="24" t="s">
        <v>824</v>
      </c>
      <c r="F126" s="24" t="s">
        <v>973</v>
      </c>
      <c r="G126" s="24"/>
      <c r="H126" s="24" t="s">
        <v>826</v>
      </c>
      <c r="I126" s="24"/>
    </row>
    <row r="127" spans="1:9" x14ac:dyDescent="0.3">
      <c r="A127" s="24" t="s">
        <v>70</v>
      </c>
      <c r="B127" s="24" t="s">
        <v>967</v>
      </c>
      <c r="C127" s="24" t="s">
        <v>590</v>
      </c>
      <c r="D127" s="24" t="s">
        <v>828</v>
      </c>
      <c r="E127" s="24" t="s">
        <v>824</v>
      </c>
      <c r="F127" s="24" t="s">
        <v>974</v>
      </c>
      <c r="G127" s="24"/>
      <c r="H127" s="24" t="s">
        <v>826</v>
      </c>
      <c r="I127" s="24"/>
    </row>
    <row r="128" spans="1:9" x14ac:dyDescent="0.3">
      <c r="A128" s="24" t="s">
        <v>70</v>
      </c>
      <c r="B128" s="24" t="s">
        <v>967</v>
      </c>
      <c r="C128" s="24" t="s">
        <v>294</v>
      </c>
      <c r="D128" s="24" t="s">
        <v>828</v>
      </c>
      <c r="E128" s="24" t="s">
        <v>824</v>
      </c>
      <c r="F128" s="24" t="s">
        <v>975</v>
      </c>
      <c r="G128" s="24"/>
      <c r="H128" s="24" t="s">
        <v>826</v>
      </c>
      <c r="I128" s="24" t="s">
        <v>930</v>
      </c>
    </row>
    <row r="129" spans="1:9" x14ac:dyDescent="0.3">
      <c r="A129" s="24" t="s">
        <v>70</v>
      </c>
      <c r="B129" s="24" t="s">
        <v>967</v>
      </c>
      <c r="C129" s="24" t="s">
        <v>591</v>
      </c>
      <c r="D129" s="24" t="s">
        <v>828</v>
      </c>
      <c r="E129" s="24" t="s">
        <v>859</v>
      </c>
      <c r="F129" s="24" t="s">
        <v>976</v>
      </c>
      <c r="G129" s="24"/>
      <c r="H129" s="24" t="s">
        <v>826</v>
      </c>
      <c r="I129" s="24"/>
    </row>
    <row r="130" spans="1:9" x14ac:dyDescent="0.3">
      <c r="A130" s="24" t="s">
        <v>70</v>
      </c>
      <c r="B130" s="24" t="s">
        <v>967</v>
      </c>
      <c r="C130" s="24" t="s">
        <v>302</v>
      </c>
      <c r="D130" s="24" t="s">
        <v>835</v>
      </c>
      <c r="E130" s="24" t="s">
        <v>859</v>
      </c>
      <c r="F130" s="24" t="s">
        <v>977</v>
      </c>
      <c r="G130" s="24"/>
      <c r="H130" s="24" t="s">
        <v>826</v>
      </c>
      <c r="I130" s="24"/>
    </row>
    <row r="131" spans="1:9" x14ac:dyDescent="0.3">
      <c r="A131" s="24" t="s">
        <v>70</v>
      </c>
      <c r="B131" s="24" t="s">
        <v>967</v>
      </c>
      <c r="C131" s="24" t="s">
        <v>592</v>
      </c>
      <c r="D131" s="24" t="s">
        <v>828</v>
      </c>
      <c r="E131" s="24" t="s">
        <v>824</v>
      </c>
      <c r="F131" s="24" t="s">
        <v>978</v>
      </c>
      <c r="G131" s="24"/>
      <c r="H131" s="24" t="s">
        <v>826</v>
      </c>
      <c r="I131" s="24"/>
    </row>
    <row r="132" spans="1:9" x14ac:dyDescent="0.3">
      <c r="A132" s="24" t="s">
        <v>70</v>
      </c>
      <c r="B132" s="24" t="s">
        <v>967</v>
      </c>
      <c r="C132" s="24" t="s">
        <v>593</v>
      </c>
      <c r="D132" s="24" t="s">
        <v>828</v>
      </c>
      <c r="E132" s="24" t="s">
        <v>824</v>
      </c>
      <c r="F132" s="24" t="s">
        <v>979</v>
      </c>
      <c r="G132" s="24"/>
      <c r="H132" s="24" t="s">
        <v>826</v>
      </c>
      <c r="I132" s="24"/>
    </row>
    <row r="133" spans="1:9" x14ac:dyDescent="0.3">
      <c r="A133" s="24" t="s">
        <v>70</v>
      </c>
      <c r="B133" s="24" t="s">
        <v>967</v>
      </c>
      <c r="C133" s="24" t="s">
        <v>594</v>
      </c>
      <c r="D133" s="24" t="s">
        <v>835</v>
      </c>
      <c r="E133" s="24" t="s">
        <v>824</v>
      </c>
      <c r="F133" s="24" t="s">
        <v>980</v>
      </c>
      <c r="G133" s="24"/>
      <c r="H133" s="24" t="s">
        <v>826</v>
      </c>
      <c r="I133" s="24"/>
    </row>
    <row r="134" spans="1:9" ht="26.4" x14ac:dyDescent="0.3">
      <c r="A134" s="24" t="s">
        <v>70</v>
      </c>
      <c r="B134" s="24" t="s">
        <v>967</v>
      </c>
      <c r="C134" s="24" t="s">
        <v>595</v>
      </c>
      <c r="D134" s="24" t="s">
        <v>823</v>
      </c>
      <c r="E134" s="24" t="s">
        <v>824</v>
      </c>
      <c r="F134" s="24" t="s">
        <v>981</v>
      </c>
      <c r="G134" s="24"/>
      <c r="H134" s="24" t="s">
        <v>826</v>
      </c>
      <c r="I134" s="24"/>
    </row>
    <row r="135" spans="1:9" x14ac:dyDescent="0.3">
      <c r="A135" s="24" t="s">
        <v>70</v>
      </c>
      <c r="B135" s="24" t="s">
        <v>967</v>
      </c>
      <c r="C135" s="24" t="s">
        <v>596</v>
      </c>
      <c r="D135" s="24" t="s">
        <v>828</v>
      </c>
      <c r="E135" s="24" t="s">
        <v>824</v>
      </c>
      <c r="F135" s="24" t="s">
        <v>982</v>
      </c>
      <c r="G135" s="24"/>
      <c r="H135" s="24" t="s">
        <v>826</v>
      </c>
      <c r="I135" s="24"/>
    </row>
    <row r="136" spans="1:9" x14ac:dyDescent="0.3">
      <c r="A136" s="24" t="s">
        <v>70</v>
      </c>
      <c r="B136" s="24" t="s">
        <v>967</v>
      </c>
      <c r="C136" s="24" t="s">
        <v>597</v>
      </c>
      <c r="D136" s="24" t="s">
        <v>828</v>
      </c>
      <c r="E136" s="24" t="s">
        <v>824</v>
      </c>
      <c r="F136" s="24" t="s">
        <v>983</v>
      </c>
      <c r="G136" s="24"/>
      <c r="H136" s="24" t="s">
        <v>826</v>
      </c>
      <c r="I136" s="24"/>
    </row>
    <row r="137" spans="1:9" x14ac:dyDescent="0.3">
      <c r="A137" s="24" t="s">
        <v>70</v>
      </c>
      <c r="B137" s="24" t="s">
        <v>967</v>
      </c>
      <c r="C137" s="24" t="s">
        <v>598</v>
      </c>
      <c r="D137" s="24" t="s">
        <v>984</v>
      </c>
      <c r="E137" s="24" t="s">
        <v>824</v>
      </c>
      <c r="F137" s="24" t="s">
        <v>985</v>
      </c>
      <c r="G137" s="24"/>
      <c r="H137" s="24" t="s">
        <v>826</v>
      </c>
      <c r="I137" s="24"/>
    </row>
    <row r="138" spans="1:9" x14ac:dyDescent="0.3">
      <c r="A138" s="24" t="s">
        <v>70</v>
      </c>
      <c r="B138" s="24" t="s">
        <v>967</v>
      </c>
      <c r="C138" s="24" t="s">
        <v>301</v>
      </c>
      <c r="D138" s="24" t="s">
        <v>828</v>
      </c>
      <c r="E138" s="24" t="s">
        <v>824</v>
      </c>
      <c r="F138" s="24" t="s">
        <v>986</v>
      </c>
      <c r="G138" s="24" t="s">
        <v>904</v>
      </c>
      <c r="H138" s="24" t="s">
        <v>826</v>
      </c>
      <c r="I138" s="24"/>
    </row>
    <row r="139" spans="1:9" ht="39.6" x14ac:dyDescent="0.3">
      <c r="A139" s="24" t="s">
        <v>70</v>
      </c>
      <c r="B139" s="24" t="s">
        <v>967</v>
      </c>
      <c r="C139" s="24" t="s">
        <v>599</v>
      </c>
      <c r="D139" s="24" t="s">
        <v>828</v>
      </c>
      <c r="E139" s="24" t="s">
        <v>824</v>
      </c>
      <c r="F139" s="24" t="s">
        <v>987</v>
      </c>
      <c r="G139" s="24"/>
      <c r="H139" s="24" t="s">
        <v>826</v>
      </c>
      <c r="I139" s="24" t="s">
        <v>988</v>
      </c>
    </row>
    <row r="140" spans="1:9" x14ac:dyDescent="0.3">
      <c r="A140" s="24" t="s">
        <v>70</v>
      </c>
      <c r="B140" s="24" t="s">
        <v>967</v>
      </c>
      <c r="C140" s="24" t="s">
        <v>14</v>
      </c>
      <c r="D140" s="24" t="s">
        <v>828</v>
      </c>
      <c r="E140" s="24" t="s">
        <v>859</v>
      </c>
      <c r="F140" s="24" t="s">
        <v>989</v>
      </c>
      <c r="G140" s="24"/>
      <c r="H140" s="24" t="s">
        <v>826</v>
      </c>
      <c r="I140" s="24"/>
    </row>
    <row r="141" spans="1:9" ht="26.4" x14ac:dyDescent="0.3">
      <c r="A141" s="24" t="s">
        <v>70</v>
      </c>
      <c r="B141" s="24" t="s">
        <v>967</v>
      </c>
      <c r="C141" s="24" t="s">
        <v>600</v>
      </c>
      <c r="D141" s="24" t="s">
        <v>835</v>
      </c>
      <c r="E141" s="24" t="s">
        <v>859</v>
      </c>
      <c r="F141" s="24" t="s">
        <v>990</v>
      </c>
      <c r="G141" s="24"/>
      <c r="H141" s="24" t="s">
        <v>826</v>
      </c>
      <c r="I141" s="24"/>
    </row>
    <row r="142" spans="1:9" ht="26.4" x14ac:dyDescent="0.3">
      <c r="A142" s="24" t="s">
        <v>70</v>
      </c>
      <c r="B142" s="24" t="s">
        <v>967</v>
      </c>
      <c r="C142" s="24" t="s">
        <v>601</v>
      </c>
      <c r="D142" s="24" t="s">
        <v>872</v>
      </c>
      <c r="E142" s="24" t="s">
        <v>859</v>
      </c>
      <c r="F142" s="24" t="s">
        <v>991</v>
      </c>
      <c r="G142" s="24"/>
      <c r="H142" s="24" t="s">
        <v>826</v>
      </c>
      <c r="I142" s="24"/>
    </row>
    <row r="143" spans="1:9" x14ac:dyDescent="0.3">
      <c r="A143" s="24" t="s">
        <v>70</v>
      </c>
      <c r="B143" s="24" t="s">
        <v>967</v>
      </c>
      <c r="C143" s="24" t="s">
        <v>602</v>
      </c>
      <c r="D143" s="24" t="s">
        <v>832</v>
      </c>
      <c r="E143" s="24" t="s">
        <v>859</v>
      </c>
      <c r="F143" s="24" t="s">
        <v>992</v>
      </c>
      <c r="G143" s="24"/>
      <c r="H143" s="24" t="s">
        <v>826</v>
      </c>
      <c r="I143" s="24"/>
    </row>
    <row r="144" spans="1:9" x14ac:dyDescent="0.3">
      <c r="A144" s="24" t="s">
        <v>70</v>
      </c>
      <c r="B144" s="24" t="s">
        <v>967</v>
      </c>
      <c r="C144" s="24" t="s">
        <v>603</v>
      </c>
      <c r="D144" s="24" t="s">
        <v>828</v>
      </c>
      <c r="E144" s="24" t="s">
        <v>859</v>
      </c>
      <c r="F144" s="24" t="s">
        <v>993</v>
      </c>
      <c r="G144" s="24"/>
      <c r="H144" s="24" t="s">
        <v>826</v>
      </c>
      <c r="I144" s="24"/>
    </row>
    <row r="145" spans="1:9" x14ac:dyDescent="0.3">
      <c r="A145" s="24" t="s">
        <v>70</v>
      </c>
      <c r="B145" s="24" t="s">
        <v>967</v>
      </c>
      <c r="C145" s="24" t="s">
        <v>604</v>
      </c>
      <c r="D145" s="24" t="s">
        <v>828</v>
      </c>
      <c r="E145" s="24" t="s">
        <v>859</v>
      </c>
      <c r="F145" s="24" t="s">
        <v>994</v>
      </c>
      <c r="G145" s="24"/>
      <c r="H145" s="24" t="s">
        <v>826</v>
      </c>
      <c r="I145" s="24"/>
    </row>
    <row r="146" spans="1:9" x14ac:dyDescent="0.3">
      <c r="A146" s="24" t="s">
        <v>70</v>
      </c>
      <c r="B146" s="24" t="s">
        <v>967</v>
      </c>
      <c r="C146" s="24" t="s">
        <v>605</v>
      </c>
      <c r="D146" s="24" t="s">
        <v>828</v>
      </c>
      <c r="E146" s="24" t="s">
        <v>859</v>
      </c>
      <c r="F146" s="24" t="s">
        <v>995</v>
      </c>
      <c r="G146" s="24"/>
      <c r="H146" s="24" t="s">
        <v>826</v>
      </c>
      <c r="I146" s="24"/>
    </row>
    <row r="147" spans="1:9" x14ac:dyDescent="0.3">
      <c r="A147" s="24" t="s">
        <v>70</v>
      </c>
      <c r="B147" s="24" t="s">
        <v>967</v>
      </c>
      <c r="C147" s="24" t="s">
        <v>606</v>
      </c>
      <c r="D147" s="24" t="s">
        <v>828</v>
      </c>
      <c r="E147" s="24" t="s">
        <v>859</v>
      </c>
      <c r="F147" s="24" t="s">
        <v>996</v>
      </c>
      <c r="G147" s="24"/>
      <c r="H147" s="24" t="s">
        <v>826</v>
      </c>
      <c r="I147" s="24"/>
    </row>
    <row r="148" spans="1:9" x14ac:dyDescent="0.3">
      <c r="A148" s="24" t="s">
        <v>70</v>
      </c>
      <c r="B148" s="24" t="s">
        <v>967</v>
      </c>
      <c r="C148" s="24" t="s">
        <v>607</v>
      </c>
      <c r="D148" s="24" t="s">
        <v>828</v>
      </c>
      <c r="E148" s="24" t="s">
        <v>859</v>
      </c>
      <c r="F148" s="24" t="s">
        <v>997</v>
      </c>
      <c r="G148" s="24"/>
      <c r="H148" s="24" t="s">
        <v>826</v>
      </c>
      <c r="I148" s="24"/>
    </row>
    <row r="149" spans="1:9" x14ac:dyDescent="0.3">
      <c r="A149" s="24" t="s">
        <v>70</v>
      </c>
      <c r="B149" s="24" t="s">
        <v>967</v>
      </c>
      <c r="C149" s="24" t="s">
        <v>608</v>
      </c>
      <c r="D149" s="24" t="s">
        <v>828</v>
      </c>
      <c r="E149" s="24" t="s">
        <v>859</v>
      </c>
      <c r="F149" s="24" t="s">
        <v>998</v>
      </c>
      <c r="G149" s="24"/>
      <c r="H149" s="24" t="s">
        <v>826</v>
      </c>
      <c r="I149" s="24"/>
    </row>
    <row r="150" spans="1:9" ht="26.4" x14ac:dyDescent="0.3">
      <c r="A150" s="24" t="s">
        <v>70</v>
      </c>
      <c r="B150" s="24" t="s">
        <v>967</v>
      </c>
      <c r="C150" s="24" t="s">
        <v>487</v>
      </c>
      <c r="D150" s="24" t="s">
        <v>823</v>
      </c>
      <c r="E150" s="24" t="s">
        <v>824</v>
      </c>
      <c r="F150" s="24" t="s">
        <v>999</v>
      </c>
      <c r="G150" s="24"/>
      <c r="H150" s="24" t="s">
        <v>826</v>
      </c>
      <c r="I150" s="24"/>
    </row>
    <row r="151" spans="1:9" x14ac:dyDescent="0.3">
      <c r="A151" s="24" t="s">
        <v>70</v>
      </c>
      <c r="B151" s="24" t="s">
        <v>967</v>
      </c>
      <c r="C151" s="24" t="s">
        <v>609</v>
      </c>
      <c r="D151" s="24" t="s">
        <v>828</v>
      </c>
      <c r="E151" s="24" t="s">
        <v>824</v>
      </c>
      <c r="F151" s="24" t="s">
        <v>1000</v>
      </c>
      <c r="G151" s="24"/>
      <c r="H151" s="24" t="s">
        <v>826</v>
      </c>
      <c r="I151" s="24"/>
    </row>
    <row r="152" spans="1:9" x14ac:dyDescent="0.3">
      <c r="A152" s="24" t="s">
        <v>70</v>
      </c>
      <c r="B152" s="24" t="s">
        <v>967</v>
      </c>
      <c r="C152" s="24" t="s">
        <v>610</v>
      </c>
      <c r="D152" s="24" t="s">
        <v>828</v>
      </c>
      <c r="E152" s="24" t="s">
        <v>824</v>
      </c>
      <c r="F152" s="24" t="s">
        <v>1001</v>
      </c>
      <c r="G152" s="24"/>
      <c r="H152" s="24" t="s">
        <v>826</v>
      </c>
      <c r="I152" s="24"/>
    </row>
    <row r="153" spans="1:9" x14ac:dyDescent="0.3">
      <c r="A153" s="24" t="s">
        <v>70</v>
      </c>
      <c r="B153" s="24" t="s">
        <v>967</v>
      </c>
      <c r="C153" s="24" t="s">
        <v>611</v>
      </c>
      <c r="D153" s="24" t="s">
        <v>828</v>
      </c>
      <c r="E153" s="24" t="s">
        <v>824</v>
      </c>
      <c r="F153" s="24" t="s">
        <v>1002</v>
      </c>
      <c r="G153" s="24"/>
      <c r="H153" s="24" t="s">
        <v>826</v>
      </c>
      <c r="I153" s="24"/>
    </row>
    <row r="154" spans="1:9" x14ac:dyDescent="0.3">
      <c r="A154" s="24" t="s">
        <v>70</v>
      </c>
      <c r="B154" s="24" t="s">
        <v>967</v>
      </c>
      <c r="C154" s="24" t="s">
        <v>612</v>
      </c>
      <c r="D154" s="24" t="s">
        <v>828</v>
      </c>
      <c r="E154" s="24" t="s">
        <v>824</v>
      </c>
      <c r="F154" s="24" t="s">
        <v>1003</v>
      </c>
      <c r="G154" s="24"/>
      <c r="H154" s="24" t="s">
        <v>826</v>
      </c>
      <c r="I154" s="24"/>
    </row>
    <row r="155" spans="1:9" x14ac:dyDescent="0.3">
      <c r="A155" s="24" t="s">
        <v>70</v>
      </c>
      <c r="B155" s="24" t="s">
        <v>967</v>
      </c>
      <c r="C155" s="24" t="s">
        <v>613</v>
      </c>
      <c r="D155" s="24" t="s">
        <v>828</v>
      </c>
      <c r="E155" s="24" t="s">
        <v>824</v>
      </c>
      <c r="F155" s="24" t="s">
        <v>1004</v>
      </c>
      <c r="G155" s="24"/>
      <c r="H155" s="24" t="s">
        <v>456</v>
      </c>
      <c r="I155" s="24"/>
    </row>
    <row r="156" spans="1:9" x14ac:dyDescent="0.3">
      <c r="A156" s="24" t="s">
        <v>70</v>
      </c>
      <c r="B156" s="24" t="s">
        <v>967</v>
      </c>
      <c r="C156" s="24" t="s">
        <v>297</v>
      </c>
      <c r="D156" s="24" t="s">
        <v>828</v>
      </c>
      <c r="E156" s="24" t="s">
        <v>859</v>
      </c>
      <c r="F156" s="24" t="s">
        <v>1005</v>
      </c>
      <c r="G156" s="24"/>
      <c r="H156" s="24" t="s">
        <v>826</v>
      </c>
      <c r="I156" s="24"/>
    </row>
    <row r="157" spans="1:9" x14ac:dyDescent="0.3">
      <c r="A157" s="24" t="s">
        <v>72</v>
      </c>
      <c r="B157" s="24" t="s">
        <v>1006</v>
      </c>
      <c r="C157" s="24" t="s">
        <v>692</v>
      </c>
      <c r="D157" s="24" t="s">
        <v>828</v>
      </c>
      <c r="E157" s="24" t="s">
        <v>824</v>
      </c>
      <c r="F157" s="24" t="s">
        <v>1007</v>
      </c>
      <c r="G157" s="24"/>
      <c r="H157" s="24" t="s">
        <v>826</v>
      </c>
      <c r="I157" s="24" t="s">
        <v>827</v>
      </c>
    </row>
    <row r="158" spans="1:9" ht="26.4" x14ac:dyDescent="0.3">
      <c r="A158" s="24" t="s">
        <v>72</v>
      </c>
      <c r="B158" s="24" t="s">
        <v>1006</v>
      </c>
      <c r="C158" s="24" t="s">
        <v>303</v>
      </c>
      <c r="D158" s="24" t="s">
        <v>828</v>
      </c>
      <c r="E158" s="24" t="s">
        <v>824</v>
      </c>
      <c r="F158" s="24" t="s">
        <v>1008</v>
      </c>
      <c r="G158" s="24"/>
      <c r="H158" s="24" t="s">
        <v>826</v>
      </c>
      <c r="I158" s="24" t="s">
        <v>907</v>
      </c>
    </row>
    <row r="159" spans="1:9" x14ac:dyDescent="0.3">
      <c r="A159" s="24" t="s">
        <v>72</v>
      </c>
      <c r="B159" s="24" t="s">
        <v>1006</v>
      </c>
      <c r="C159" s="24" t="s">
        <v>294</v>
      </c>
      <c r="D159" s="24" t="s">
        <v>828</v>
      </c>
      <c r="E159" s="24" t="s">
        <v>824</v>
      </c>
      <c r="F159" s="24" t="s">
        <v>1009</v>
      </c>
      <c r="G159" s="24"/>
      <c r="H159" s="24" t="s">
        <v>826</v>
      </c>
      <c r="I159" s="24" t="s">
        <v>930</v>
      </c>
    </row>
    <row r="160" spans="1:9" x14ac:dyDescent="0.3">
      <c r="A160" s="24" t="s">
        <v>72</v>
      </c>
      <c r="B160" s="24" t="s">
        <v>1006</v>
      </c>
      <c r="C160" s="24" t="s">
        <v>479</v>
      </c>
      <c r="D160" s="24" t="s">
        <v>828</v>
      </c>
      <c r="E160" s="24" t="s">
        <v>824</v>
      </c>
      <c r="F160" s="24" t="s">
        <v>1010</v>
      </c>
      <c r="G160" s="24"/>
      <c r="H160" s="24" t="s">
        <v>826</v>
      </c>
      <c r="I160" s="24"/>
    </row>
    <row r="161" spans="1:9" x14ac:dyDescent="0.3">
      <c r="A161" s="24" t="s">
        <v>72</v>
      </c>
      <c r="B161" s="24" t="s">
        <v>1006</v>
      </c>
      <c r="C161" s="24" t="s">
        <v>594</v>
      </c>
      <c r="D161" s="24" t="s">
        <v>835</v>
      </c>
      <c r="E161" s="24" t="s">
        <v>824</v>
      </c>
      <c r="F161" s="24" t="s">
        <v>1011</v>
      </c>
      <c r="G161" s="24"/>
      <c r="H161" s="24" t="s">
        <v>826</v>
      </c>
      <c r="I161" s="24"/>
    </row>
    <row r="162" spans="1:9" ht="26.4" x14ac:dyDescent="0.3">
      <c r="A162" s="24" t="s">
        <v>72</v>
      </c>
      <c r="B162" s="24" t="s">
        <v>1006</v>
      </c>
      <c r="C162" s="24" t="s">
        <v>595</v>
      </c>
      <c r="D162" s="24" t="s">
        <v>823</v>
      </c>
      <c r="E162" s="24" t="s">
        <v>824</v>
      </c>
      <c r="F162" s="24" t="s">
        <v>981</v>
      </c>
      <c r="G162" s="24"/>
      <c r="H162" s="24" t="s">
        <v>826</v>
      </c>
      <c r="I162" s="24"/>
    </row>
    <row r="163" spans="1:9" x14ac:dyDescent="0.3">
      <c r="A163" s="24" t="s">
        <v>72</v>
      </c>
      <c r="B163" s="24" t="s">
        <v>1006</v>
      </c>
      <c r="C163" s="24" t="s">
        <v>484</v>
      </c>
      <c r="D163" s="24" t="s">
        <v>835</v>
      </c>
      <c r="E163" s="24" t="s">
        <v>859</v>
      </c>
      <c r="F163" s="24" t="s">
        <v>1012</v>
      </c>
      <c r="G163" s="24"/>
      <c r="H163" s="24" t="s">
        <v>826</v>
      </c>
      <c r="I163" s="24"/>
    </row>
    <row r="164" spans="1:9" x14ac:dyDescent="0.3">
      <c r="A164" s="24" t="s">
        <v>72</v>
      </c>
      <c r="B164" s="24" t="s">
        <v>1006</v>
      </c>
      <c r="C164" s="24" t="s">
        <v>600</v>
      </c>
      <c r="D164" s="24" t="s">
        <v>835</v>
      </c>
      <c r="E164" s="24" t="s">
        <v>859</v>
      </c>
      <c r="F164" s="24" t="s">
        <v>1013</v>
      </c>
      <c r="G164" s="24"/>
      <c r="H164" s="24" t="s">
        <v>826</v>
      </c>
      <c r="I164" s="24"/>
    </row>
    <row r="165" spans="1:9" x14ac:dyDescent="0.3">
      <c r="A165" s="24" t="s">
        <v>72</v>
      </c>
      <c r="B165" s="24" t="s">
        <v>1006</v>
      </c>
      <c r="C165" s="24" t="s">
        <v>256</v>
      </c>
      <c r="D165" s="24" t="s">
        <v>828</v>
      </c>
      <c r="E165" s="24" t="s">
        <v>859</v>
      </c>
      <c r="F165" s="24" t="s">
        <v>888</v>
      </c>
      <c r="G165" s="24"/>
      <c r="H165" s="24" t="s">
        <v>826</v>
      </c>
      <c r="I165" s="24"/>
    </row>
    <row r="166" spans="1:9" x14ac:dyDescent="0.3">
      <c r="A166" s="24" t="s">
        <v>74</v>
      </c>
      <c r="B166" s="24" t="s">
        <v>1014</v>
      </c>
      <c r="C166" s="24" t="s">
        <v>711</v>
      </c>
      <c r="D166" s="24" t="s">
        <v>828</v>
      </c>
      <c r="E166" s="24" t="s">
        <v>824</v>
      </c>
      <c r="F166" s="24" t="s">
        <v>1015</v>
      </c>
      <c r="G166" s="24"/>
      <c r="H166" s="24" t="s">
        <v>826</v>
      </c>
      <c r="I166" s="24" t="s">
        <v>827</v>
      </c>
    </row>
    <row r="167" spans="1:9" ht="26.4" x14ac:dyDescent="0.3">
      <c r="A167" s="24" t="s">
        <v>74</v>
      </c>
      <c r="B167" s="24" t="s">
        <v>1014</v>
      </c>
      <c r="C167" s="24" t="s">
        <v>303</v>
      </c>
      <c r="D167" s="24" t="s">
        <v>828</v>
      </c>
      <c r="E167" s="24" t="s">
        <v>824</v>
      </c>
      <c r="F167" s="24" t="s">
        <v>1008</v>
      </c>
      <c r="G167" s="24"/>
      <c r="H167" s="24" t="s">
        <v>826</v>
      </c>
      <c r="I167" s="24" t="s">
        <v>907</v>
      </c>
    </row>
    <row r="168" spans="1:9" x14ac:dyDescent="0.3">
      <c r="A168" s="24" t="s">
        <v>74</v>
      </c>
      <c r="B168" s="24" t="s">
        <v>1014</v>
      </c>
      <c r="C168" s="24" t="s">
        <v>712</v>
      </c>
      <c r="D168" s="24" t="s">
        <v>828</v>
      </c>
      <c r="E168" s="24" t="s">
        <v>824</v>
      </c>
      <c r="F168" s="24" t="s">
        <v>1016</v>
      </c>
      <c r="G168" s="24"/>
      <c r="H168" s="24" t="s">
        <v>826</v>
      </c>
      <c r="I168" s="24"/>
    </row>
    <row r="169" spans="1:9" x14ac:dyDescent="0.3">
      <c r="A169" s="24" t="s">
        <v>74</v>
      </c>
      <c r="B169" s="24" t="s">
        <v>1014</v>
      </c>
      <c r="C169" s="24" t="s">
        <v>713</v>
      </c>
      <c r="D169" s="24" t="s">
        <v>828</v>
      </c>
      <c r="E169" s="24" t="s">
        <v>824</v>
      </c>
      <c r="F169" s="24" t="s">
        <v>1017</v>
      </c>
      <c r="G169" s="24"/>
      <c r="H169" s="24" t="s">
        <v>826</v>
      </c>
      <c r="I169" s="24"/>
    </row>
    <row r="170" spans="1:9" x14ac:dyDescent="0.3">
      <c r="A170" s="24" t="s">
        <v>74</v>
      </c>
      <c r="B170" s="24" t="s">
        <v>1014</v>
      </c>
      <c r="C170" s="24" t="s">
        <v>714</v>
      </c>
      <c r="D170" s="24" t="s">
        <v>984</v>
      </c>
      <c r="E170" s="24" t="s">
        <v>824</v>
      </c>
      <c r="F170" s="24" t="s">
        <v>1018</v>
      </c>
      <c r="G170" s="24"/>
      <c r="H170" s="24" t="s">
        <v>826</v>
      </c>
      <c r="I170" s="24"/>
    </row>
    <row r="171" spans="1:9" x14ac:dyDescent="0.3">
      <c r="A171" s="24" t="s">
        <v>74</v>
      </c>
      <c r="B171" s="24" t="s">
        <v>1014</v>
      </c>
      <c r="C171" s="24" t="s">
        <v>301</v>
      </c>
      <c r="D171" s="24" t="s">
        <v>828</v>
      </c>
      <c r="E171" s="24" t="s">
        <v>824</v>
      </c>
      <c r="F171" s="24" t="s">
        <v>1019</v>
      </c>
      <c r="G171" s="24" t="s">
        <v>904</v>
      </c>
      <c r="H171" s="24" t="s">
        <v>826</v>
      </c>
      <c r="I171" s="24"/>
    </row>
    <row r="172" spans="1:9" ht="26.4" x14ac:dyDescent="0.3">
      <c r="A172" s="24" t="s">
        <v>74</v>
      </c>
      <c r="B172" s="24" t="s">
        <v>1014</v>
      </c>
      <c r="C172" s="24" t="s">
        <v>715</v>
      </c>
      <c r="D172" s="24" t="s">
        <v>823</v>
      </c>
      <c r="E172" s="24" t="s">
        <v>824</v>
      </c>
      <c r="F172" s="24" t="s">
        <v>1020</v>
      </c>
      <c r="G172" s="24"/>
      <c r="H172" s="24" t="s">
        <v>826</v>
      </c>
      <c r="I172" s="24"/>
    </row>
    <row r="173" spans="1:9" ht="26.4" x14ac:dyDescent="0.3">
      <c r="A173" s="24" t="s">
        <v>74</v>
      </c>
      <c r="B173" s="24" t="s">
        <v>1014</v>
      </c>
      <c r="C173" s="24" t="s">
        <v>595</v>
      </c>
      <c r="D173" s="24" t="s">
        <v>823</v>
      </c>
      <c r="E173" s="24" t="s">
        <v>824</v>
      </c>
      <c r="F173" s="24" t="s">
        <v>1021</v>
      </c>
      <c r="G173" s="24"/>
      <c r="H173" s="24" t="s">
        <v>826</v>
      </c>
      <c r="I173" s="24"/>
    </row>
    <row r="174" spans="1:9" x14ac:dyDescent="0.3">
      <c r="A174" s="24" t="s">
        <v>74</v>
      </c>
      <c r="B174" s="24" t="s">
        <v>1014</v>
      </c>
      <c r="C174" s="24" t="s">
        <v>716</v>
      </c>
      <c r="D174" s="24" t="s">
        <v>828</v>
      </c>
      <c r="E174" s="24" t="s">
        <v>824</v>
      </c>
      <c r="F174" s="24" t="s">
        <v>1022</v>
      </c>
      <c r="G174" s="24"/>
      <c r="H174" s="24" t="s">
        <v>826</v>
      </c>
      <c r="I174" s="24"/>
    </row>
    <row r="175" spans="1:9" ht="26.4" x14ac:dyDescent="0.3">
      <c r="A175" s="24" t="s">
        <v>74</v>
      </c>
      <c r="B175" s="24" t="s">
        <v>1014</v>
      </c>
      <c r="C175" s="24" t="s">
        <v>717</v>
      </c>
      <c r="D175" s="24" t="s">
        <v>828</v>
      </c>
      <c r="E175" s="24" t="s">
        <v>824</v>
      </c>
      <c r="F175" s="24" t="s">
        <v>1023</v>
      </c>
      <c r="G175" s="24"/>
      <c r="H175" s="24" t="s">
        <v>826</v>
      </c>
      <c r="I175" s="24"/>
    </row>
    <row r="176" spans="1:9" x14ac:dyDescent="0.3">
      <c r="A176" s="24" t="s">
        <v>74</v>
      </c>
      <c r="B176" s="24" t="s">
        <v>1014</v>
      </c>
      <c r="C176" s="24" t="s">
        <v>718</v>
      </c>
      <c r="D176" s="24" t="s">
        <v>835</v>
      </c>
      <c r="E176" s="24" t="s">
        <v>824</v>
      </c>
      <c r="F176" s="24" t="s">
        <v>1024</v>
      </c>
      <c r="G176" s="24"/>
      <c r="H176" s="24" t="s">
        <v>826</v>
      </c>
      <c r="I176" s="24"/>
    </row>
    <row r="177" spans="1:9" x14ac:dyDescent="0.3">
      <c r="A177" s="24" t="s">
        <v>74</v>
      </c>
      <c r="B177" s="24" t="s">
        <v>1014</v>
      </c>
      <c r="C177" s="24" t="s">
        <v>14</v>
      </c>
      <c r="D177" s="24" t="s">
        <v>828</v>
      </c>
      <c r="E177" s="24" t="s">
        <v>824</v>
      </c>
      <c r="F177" s="24" t="s">
        <v>1025</v>
      </c>
      <c r="G177" s="24" t="s">
        <v>1026</v>
      </c>
      <c r="H177" s="24" t="s">
        <v>826</v>
      </c>
      <c r="I177" s="24"/>
    </row>
    <row r="178" spans="1:9" x14ac:dyDescent="0.3">
      <c r="A178" s="24" t="s">
        <v>74</v>
      </c>
      <c r="B178" s="24" t="s">
        <v>1014</v>
      </c>
      <c r="C178" s="24" t="s">
        <v>719</v>
      </c>
      <c r="D178" s="24" t="s">
        <v>828</v>
      </c>
      <c r="E178" s="24" t="s">
        <v>824</v>
      </c>
      <c r="F178" s="24" t="s">
        <v>1027</v>
      </c>
      <c r="G178" s="24"/>
      <c r="H178" s="24" t="s">
        <v>826</v>
      </c>
      <c r="I178" s="24"/>
    </row>
    <row r="179" spans="1:9" x14ac:dyDescent="0.3">
      <c r="A179" s="24" t="s">
        <v>74</v>
      </c>
      <c r="B179" s="24" t="s">
        <v>1014</v>
      </c>
      <c r="C179" s="24" t="s">
        <v>720</v>
      </c>
      <c r="D179" s="24" t="s">
        <v>828</v>
      </c>
      <c r="E179" s="24" t="s">
        <v>824</v>
      </c>
      <c r="F179" s="24" t="s">
        <v>1028</v>
      </c>
      <c r="G179" s="24"/>
      <c r="H179" s="24" t="s">
        <v>456</v>
      </c>
      <c r="I179" s="24"/>
    </row>
    <row r="180" spans="1:9" ht="52.8" x14ac:dyDescent="0.3">
      <c r="A180" s="24" t="s">
        <v>74</v>
      </c>
      <c r="B180" s="24" t="s">
        <v>1014</v>
      </c>
      <c r="C180" s="24" t="s">
        <v>721</v>
      </c>
      <c r="D180" s="24" t="s">
        <v>828</v>
      </c>
      <c r="E180" s="24" t="s">
        <v>824</v>
      </c>
      <c r="F180" s="24" t="s">
        <v>1029</v>
      </c>
      <c r="G180" s="24"/>
      <c r="H180" s="24" t="s">
        <v>826</v>
      </c>
      <c r="I180" s="24" t="s">
        <v>1030</v>
      </c>
    </row>
    <row r="181" spans="1:9" x14ac:dyDescent="0.3">
      <c r="A181" s="24" t="s">
        <v>74</v>
      </c>
      <c r="B181" s="24" t="s">
        <v>1014</v>
      </c>
      <c r="C181" s="24" t="s">
        <v>602</v>
      </c>
      <c r="D181" s="24" t="s">
        <v>832</v>
      </c>
      <c r="E181" s="24" t="s">
        <v>859</v>
      </c>
      <c r="F181" s="24" t="s">
        <v>992</v>
      </c>
      <c r="G181" s="24"/>
      <c r="H181" s="24" t="s">
        <v>826</v>
      </c>
      <c r="I181" s="24"/>
    </row>
    <row r="182" spans="1:9" x14ac:dyDescent="0.3">
      <c r="A182" s="24" t="s">
        <v>74</v>
      </c>
      <c r="B182" s="24" t="s">
        <v>1014</v>
      </c>
      <c r="C182" s="24" t="s">
        <v>722</v>
      </c>
      <c r="D182" s="24" t="s">
        <v>984</v>
      </c>
      <c r="E182" s="24" t="s">
        <v>859</v>
      </c>
      <c r="F182" s="24" t="s">
        <v>1031</v>
      </c>
      <c r="G182" s="24"/>
      <c r="H182" s="24" t="s">
        <v>826</v>
      </c>
      <c r="I182" s="24"/>
    </row>
    <row r="183" spans="1:9" x14ac:dyDescent="0.3">
      <c r="A183" s="24" t="s">
        <v>74</v>
      </c>
      <c r="B183" s="24" t="s">
        <v>1014</v>
      </c>
      <c r="C183" s="24" t="s">
        <v>723</v>
      </c>
      <c r="D183" s="24" t="s">
        <v>835</v>
      </c>
      <c r="E183" s="24" t="s">
        <v>859</v>
      </c>
      <c r="F183" s="24" t="s">
        <v>1032</v>
      </c>
      <c r="G183" s="24"/>
      <c r="H183" s="24" t="s">
        <v>826</v>
      </c>
      <c r="I183" s="2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40</vt:i4>
      </vt:variant>
    </vt:vector>
  </HeadingPairs>
  <TitlesOfParts>
    <vt:vector size="56" baseType="lpstr">
      <vt:lpstr>00_LEIA-ME</vt:lpstr>
      <vt:lpstr>Base_Mensal</vt:lpstr>
      <vt:lpstr>IDE_Mensal</vt:lpstr>
      <vt:lpstr>LBE_Modelo</vt:lpstr>
      <vt:lpstr>Variaveis_Relevantes</vt:lpstr>
      <vt:lpstr>Catalogo_IDE</vt:lpstr>
      <vt:lpstr>Registo_LBE</vt:lpstr>
      <vt:lpstr>Alteracoes_LBE</vt:lpstr>
      <vt:lpstr>Fatores_Estaticos</vt:lpstr>
      <vt:lpstr>Parametros</vt:lpstr>
      <vt:lpstr>Objetivos_Energeticos</vt:lpstr>
      <vt:lpstr>Metas_Energeticas</vt:lpstr>
      <vt:lpstr>Planos_Acao</vt:lpstr>
      <vt:lpstr>Metodologia_IDE_LBE</vt:lpstr>
      <vt:lpstr>Listas</vt:lpstr>
      <vt:lpstr>Dicionario_Dados</vt:lpstr>
      <vt:lpstr>DataRef</vt:lpstr>
      <vt:lpstr>dem_q4_conclusao</vt:lpstr>
      <vt:lpstr>dem_q4_melhoria</vt:lpstr>
      <vt:lpstr>dom_x1_max</vt:lpstr>
      <vt:lpstr>dom_x1_min</vt:lpstr>
      <vt:lpstr>dom_x2_max</vt:lpstr>
      <vt:lpstr>dom_x2_min</vt:lpstr>
      <vt:lpstr>lbe_a</vt:lpstr>
      <vt:lpstr>lbe_b1</vt:lpstr>
      <vt:lpstr>lbe_b2</vt:lpstr>
      <vt:lpstr>lbe_base_pct</vt:lpstr>
      <vt:lpstr>lbe_cv</vt:lpstr>
      <vt:lpstr>lbe_df</vt:lpstr>
      <vt:lpstr>lbe_f</vt:lpstr>
      <vt:lpstr>lbe_limite</vt:lpstr>
      <vt:lpstr>lbe_nmbe</vt:lpstr>
      <vt:lpstr>lbe_pf</vt:lpstr>
      <vt:lpstr>lbe_r2</vt:lpstr>
      <vt:lpstr>lbe_sey</vt:lpstr>
      <vt:lpstr>lbe_t</vt:lpstr>
      <vt:lpstr>lbe_ymed</vt:lpstr>
      <vt:lpstr>lst_DataReferencia</vt:lpstr>
      <vt:lpstr>lst_EstadoLBE</vt:lpstr>
      <vt:lpstr>lst_EstadoPlano</vt:lpstr>
      <vt:lpstr>lst_Funcao</vt:lpstr>
      <vt:lpstr>lst_Periodo</vt:lpstr>
      <vt:lpstr>lst_Polaridade</vt:lpstr>
      <vt:lpstr>lst_TipoIDE</vt:lpstr>
      <vt:lpstr>preco_medio</vt:lpstr>
      <vt:lpstr>Alteracoes_LBE!Títulos_de_Impressão</vt:lpstr>
      <vt:lpstr>Base_Mensal!Títulos_de_Impressão</vt:lpstr>
      <vt:lpstr>Catalogo_IDE!Títulos_de_Impressão</vt:lpstr>
      <vt:lpstr>Fatores_Estaticos!Títulos_de_Impressão</vt:lpstr>
      <vt:lpstr>IDE_Mensal!Títulos_de_Impressão</vt:lpstr>
      <vt:lpstr>Metas_Energeticas!Títulos_de_Impressão</vt:lpstr>
      <vt:lpstr>Objetivos_Energeticos!Títulos_de_Impressão</vt:lpstr>
      <vt:lpstr>Parametros!Títulos_de_Impressão</vt:lpstr>
      <vt:lpstr>Planos_Acao!Títulos_de_Impressão</vt:lpstr>
      <vt:lpstr>Registo_LBE!Títulos_de_Impressão</vt:lpstr>
      <vt:lpstr>Variaveis_Relevantes!Títulos_de_Impressão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RG-SGE-05 IDE, Linhas de Base Energéticas, Normalização, Objetivos, Metas e Planos de Ação</dc:title>
  <dc:subject>SGE NP EN ISO 50001:2019 (ISO 50001:2018 + Amd 1:2024) — Plasticom</dc:subject>
  <dc:creator>Gestor(a) de Energia</dc:creator>
  <cp:lastModifiedBy>Aline Meireles</cp:lastModifiedBy>
  <dcterms:created xsi:type="dcterms:W3CDTF">2026-09-30T13:11:42Z</dcterms:created>
  <dcterms:modified xsi:type="dcterms:W3CDTF">2026-09-30T13:11:47Z</dcterms:modified>
</cp:coreProperties>
</file>