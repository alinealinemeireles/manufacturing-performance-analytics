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ct Portfolios\manufacturing-performance-analytics\SGI_Sistema-de-gestao-integrado\SGE_Sistema-de-gestao-da-energia\Registos_SGE_Plasticom\"/>
    </mc:Choice>
  </mc:AlternateContent>
  <xr:revisionPtr revIDLastSave="0" documentId="13_ncr:1_{666A55BC-3064-4EB0-A826-70A27C559541}" xr6:coauthVersionLast="47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00_LEIA-ME" sheetId="1" r:id="rId1"/>
    <sheet name="Desvios_Significativos" sheetId="2" r:id="rId2"/>
    <sheet name="Planos_MV" sheetId="3" r:id="rId3"/>
    <sheet name="Ar_Comprimido_MV" sheetId="4" r:id="rId4"/>
    <sheet name="Poupancas_Verificadas" sheetId="5" r:id="rId5"/>
    <sheet name="Listas" sheetId="6" r:id="rId6"/>
    <sheet name="Dicionario_Dados" sheetId="7" r:id="rId7"/>
  </sheets>
  <definedNames>
    <definedName name="DataRef">Listas!$A$3</definedName>
    <definedName name="lst_DataReferencia">Listas!$A$3:$A$3</definedName>
    <definedName name="lst_Funcao">Listas!$B$3:$B$24</definedName>
    <definedName name="_xlnm.Print_Titles" localSheetId="3">Ar_Comprimido_MV!$4:$4</definedName>
    <definedName name="_xlnm.Print_Titles" localSheetId="1">Desvios_Significativos!$4:$4</definedName>
    <definedName name="_xlnm.Print_Titles" localSheetId="2">Planos_MV!$4:$4</definedName>
    <definedName name="_xlnm.Print_Titles" localSheetId="4">Poupancas_Verificadas!$4:$4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5" l="1"/>
  <c r="D15" i="5" s="1"/>
  <c r="H10" i="5"/>
  <c r="H9" i="5"/>
  <c r="H8" i="5"/>
  <c r="H7" i="5"/>
  <c r="D13" i="5" s="1"/>
  <c r="H6" i="5"/>
  <c r="H5" i="5"/>
  <c r="D30" i="4"/>
  <c r="C30" i="4"/>
  <c r="B30" i="4"/>
  <c r="E30" i="4" s="1"/>
  <c r="D29" i="4"/>
  <c r="C29" i="4"/>
  <c r="B29" i="4"/>
  <c r="D28" i="4"/>
  <c r="C28" i="4"/>
  <c r="B28" i="4"/>
  <c r="F30" i="4" s="1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K10" i="2"/>
  <c r="L10" i="2" s="1"/>
  <c r="K9" i="2"/>
  <c r="L9" i="2" s="1"/>
  <c r="K8" i="2"/>
  <c r="L8" i="2" s="1"/>
  <c r="K7" i="2"/>
  <c r="L7" i="2" s="1"/>
  <c r="K6" i="2"/>
  <c r="L6" i="2" s="1"/>
  <c r="L5" i="2"/>
  <c r="K5" i="2"/>
  <c r="F29" i="4" l="1"/>
  <c r="E12" i="2"/>
  <c r="E29" i="4"/>
  <c r="D16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SGE</author>
  </authors>
  <commentList>
    <comment ref="A4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Desvio.</t>
        </r>
      </text>
    </comment>
    <comment ref="B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Data de deteção.</t>
        </r>
      </text>
    </comment>
    <comment ref="C4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Mês a que respeita.</t>
        </r>
      </text>
    </comment>
    <comment ref="D4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IDE, controlo ou dado onde foi detetado.</t>
        </r>
      </text>
    </comment>
    <comment ref="E4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Desvio observado.</t>
        </r>
      </text>
    </comment>
    <comment ref="F4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Resultado da investigação.</t>
        </r>
      </text>
    </comment>
    <comment ref="G4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Resposta / ação.</t>
        </r>
      </text>
    </comment>
    <comment ref="H4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Data da resposta.</t>
        </r>
      </text>
    </comment>
    <comment ref="I4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Responsável.</t>
        </r>
      </text>
    </comment>
    <comment ref="J4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NC aberta.</t>
        </r>
      </text>
    </comment>
    <comment ref="K4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Dias até à resposta (ou até hoje).
[calculado]</t>
        </r>
      </text>
    </comment>
    <comment ref="L4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Resposta em ≤ 30 dias (KPI-E-02)?
[calculado]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SGE</author>
  </authors>
  <commentList>
    <comment ref="A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Plano de M&amp;V.</t>
        </r>
      </text>
    </comment>
    <comment ref="B4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Plano de ação / alteração.</t>
        </r>
      </text>
    </comment>
    <comment ref="C4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Medida de melhoria.</t>
        </r>
      </text>
    </comment>
    <comment ref="D4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Fronteira de medição (ISO 50015).</t>
        </r>
      </text>
    </comment>
    <comment ref="E4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Opção IPMVP.</t>
        </r>
      </text>
    </comment>
    <comment ref="F4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Período de referência.</t>
        </r>
      </text>
    </comment>
    <comment ref="G4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Período de reporte.</t>
        </r>
      </text>
    </comment>
    <comment ref="H4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Variáveis e ajustes.</t>
        </r>
      </text>
    </comment>
    <comment ref="I4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Medidos.</t>
        </r>
      </text>
    </comment>
    <comment ref="J4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Estimados (opção A).</t>
        </r>
      </text>
    </comment>
    <comment ref="K4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Instrumentos (RG-SGE-06).</t>
        </r>
      </text>
    </comment>
    <comment ref="L4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Incerteza.</t>
        </r>
      </text>
    </comment>
    <comment ref="M4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Responsável.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SGE</author>
  </authors>
  <commentList>
    <comment ref="A4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Fase de medição.</t>
        </r>
      </text>
    </comment>
    <comment ref="B4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Dia.</t>
        </r>
      </text>
    </comment>
    <comment ref="C4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Dia.</t>
        </r>
      </text>
    </comment>
    <comment ref="D4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Dia com produção?</t>
        </r>
      </text>
    </comment>
    <comment ref="E4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Ar produzido (EQP-04).</t>
        </r>
      </text>
    </comment>
    <comment ref="F4" authorId="0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Energia dos compressores e secadores (PA-01).</t>
        </r>
      </text>
    </comment>
    <comment ref="G4" authorId="0" shapeId="0" xr:uid="{00000000-0006-0000-0300-000007000000}">
      <text>
        <r>
          <rPr>
            <sz val="11"/>
            <color theme="1"/>
            <rFont val="Calibri"/>
            <family val="2"/>
            <scheme val="minor"/>
          </rPr>
          <t>Pressão média.</t>
        </r>
      </text>
    </comment>
    <comment ref="H4" authorId="0" shapeId="0" xr:uid="{00000000-0006-0000-0300-000008000000}">
      <text>
        <r>
          <rPr>
            <sz val="11"/>
            <color theme="1"/>
            <rFont val="Calibri"/>
            <family val="2"/>
            <scheme val="minor"/>
          </rPr>
          <t>Fugas no teste de vazio (domingo).</t>
        </r>
      </text>
    </comment>
    <comment ref="I4" authorId="0" shapeId="0" xr:uid="{00000000-0006-0000-0300-000009000000}">
      <text>
        <r>
          <rPr>
            <sz val="11"/>
            <color theme="1"/>
            <rFont val="Calibri"/>
            <family val="2"/>
            <scheme val="minor"/>
          </rPr>
          <t>Potência específica diária.
[calculado]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SGE</author>
  </authors>
  <commentList>
    <comment ref="A4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Registo de poupança.</t>
        </r>
      </text>
    </comment>
    <comment ref="B4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Plano de M&amp;V.</t>
        </r>
      </text>
    </comment>
    <comment ref="C4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Mês.</t>
        </r>
      </text>
    </comment>
    <comment ref="D4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Poupança verificada (kWh).</t>
        </r>
      </text>
    </comment>
    <comment ref="E4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Cálculo.</t>
        </r>
      </text>
    </comment>
    <comment ref="F4" authorId="0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Incerteza relativa.</t>
        </r>
      </text>
    </comment>
    <comment ref="G4" authorId="0" shapeId="0" xr:uid="{00000000-0006-0000-0400-000007000000}">
      <text>
        <r>
          <rPr>
            <sz val="11"/>
            <color theme="1"/>
            <rFont val="Calibri"/>
            <family val="2"/>
            <scheme val="minor"/>
          </rPr>
          <t>Evidência.</t>
        </r>
      </text>
    </comment>
    <comment ref="H4" authorId="0" shapeId="0" xr:uid="{00000000-0006-0000-0400-000008000000}">
      <text>
        <r>
          <rPr>
            <sz val="11"/>
            <color theme="1"/>
            <rFont val="Calibri"/>
            <family val="2"/>
            <scheme val="minor"/>
          </rPr>
          <t>Incerteza absoluta.
[calculado]</t>
        </r>
      </text>
    </comment>
  </commentList>
</comments>
</file>

<file path=xl/sharedStrings.xml><?xml version="1.0" encoding="utf-8"?>
<sst xmlns="http://schemas.openxmlformats.org/spreadsheetml/2006/main" count="665" uniqueCount="330">
  <si>
    <t>RG-SGE-11 — Desvios Significativos e Medição e Verificação das Poupanças</t>
  </si>
  <si>
    <t>Sistema de Gestão da Energia NP EN ISO 50001:2019 (ISO 50001:2018 + Amd 1:2024) · Plasticom — Unidade 1 (Marinha Grande, Portugal) · Registo do SGE (fábrica simulada)</t>
  </si>
  <si>
    <t>CONTROLO DO DOCUMENTO (7.5 — informação documentada)</t>
  </si>
  <si>
    <t>Código do registo</t>
  </si>
  <si>
    <t>RG-SGE-11</t>
  </si>
  <si>
    <t>Título</t>
  </si>
  <si>
    <t>Desvios Significativos e Medição e Verificação das Poupanças</t>
  </si>
  <si>
    <t>Versão / Revisão</t>
  </si>
  <si>
    <t>01</t>
  </si>
  <si>
    <t>Data de emissão</t>
  </si>
  <si>
    <t>Elaborado por</t>
  </si>
  <si>
    <t>Gestor(a) de Energia</t>
  </si>
  <si>
    <t>Aprovado por</t>
  </si>
  <si>
    <t>Diretor Geral</t>
  </si>
  <si>
    <t>Estado</t>
  </si>
  <si>
    <t>Em vigor</t>
  </si>
  <si>
    <t>Retenção</t>
  </si>
  <si>
    <t>5 anos após substituição</t>
  </si>
  <si>
    <t>Localização</t>
  </si>
  <si>
    <t>Repositório controlado do SGE &gt; Registos_SGE_Plasticom (a versão eletrónica é a controlada; cópias impressas são não controladas). Controlo da informação documentada comum ao SGI: PR-SGA-08 (7.5.3 — distribuição, acesso, versão, retenção).</t>
  </si>
  <si>
    <t>FINALIDADE E ÂMBITO</t>
  </si>
  <si>
    <t>Finalidade</t>
  </si>
  <si>
    <t>Registo de 6 desvios (desfavoráveis e favoráveis) com causa, resposta e prazo; 4 planos de M&amp;V (IPMVP A, B e C); dados diários dos compressores em 3 fases com a potência específica calculada; poupanças verificadas out–dez/2026 por ação e comparação com a melhoria normalizada da instalação (RG-SGE-05).</t>
  </si>
  <si>
    <t>Utilização / atividades</t>
  </si>
  <si>
    <t>Investigar e responder aos desvios significativos do desempenho energético; planear e executar a medição e verificação (M&amp;V) das poupanças das ações, confirmando a coerência entre a poupança por ação e a melhoria ao nível da instalação.</t>
  </si>
  <si>
    <t>Requisitos ISO 50001:2018</t>
  </si>
  <si>
    <t>9.1.1 (investigar e responder a desvios significativos — reter resultados; avaliar a melhoria comparando IDE e LBE); 6.2.3 (método para verificar a melhoria); 10.2 (demonstrar melhoria contínua do desempenho energético).</t>
  </si>
  <si>
    <t>NORMAS DE ORIENTAÇÃO E REFERÊNCIAS APLICADAS (orientação — não são requisitos auditáveis da ISO 50001)</t>
  </si>
  <si>
    <t>ISO 50015:2014</t>
  </si>
  <si>
    <t>Plano de M&amp;V: fronteira, período de referência e de reporte, variáveis, ajustes, incerteza, responsabilidades.</t>
  </si>
  <si>
    <t>ISO 50047:2016</t>
  </si>
  <si>
    <t>Determinação das poupanças: consumo evitado face à LBE ajustada às condições do reporte.</t>
  </si>
  <si>
    <t>EVO — IPMVP Core Concepts</t>
  </si>
  <si>
    <t>Opções A (parâmetro-chave), B (todos os parâmetros), C (instalação), D (simulação calibrada).</t>
  </si>
  <si>
    <t>ISO 50006:2023 §10</t>
  </si>
  <si>
    <t>Monitorização, reporte e demonstração da melhoria; desvios a investigar.</t>
  </si>
  <si>
    <t>ASHRAE Guideline 14</t>
  </si>
  <si>
    <t>Incerteza da poupança a 95% com modelos mensais.</t>
  </si>
  <si>
    <t>ISO 11011:2013</t>
  </si>
  <si>
    <t>Medição da central de ar comprimido (kWh, Nm³, teste de vazio).</t>
  </si>
  <si>
    <t>REQUISITOS LEGAIS E OUTROS REQUISITOS APLICADOS (4.2, 9.1.2 — lista completa no RG-SGE-11)</t>
  </si>
  <si>
    <t>Regulamentos dos avisos de financiamento (Portugal 2030 / Fundo Ambiental)</t>
  </si>
  <si>
    <t>Exigem M&amp;V das poupanças financiadas (PIE-09).</t>
  </si>
  <si>
    <t>ESTRUTURA DO FICHEIRO</t>
  </si>
  <si>
    <t>Desvios_Significativos</t>
  </si>
  <si>
    <t>Investigação e resposta a desvios significativos (9.1.1 — reter).</t>
  </si>
  <si>
    <t>Planos_MV</t>
  </si>
  <si>
    <t>Planos de medição e verificação (ISO 50015; IPMVP).</t>
  </si>
  <si>
    <t>Ar_Comprimido_MV</t>
  </si>
  <si>
    <t>Dados diários da central de ar em 3 semanas de medição (simulados).</t>
  </si>
  <si>
    <t>Poupancas_Verificadas</t>
  </si>
  <si>
    <t>Poupanças verificadas por ação out–dez/2026 (ISO 50047; simuladas).</t>
  </si>
  <si>
    <t>Listas</t>
  </si>
  <si>
    <t>Domínios (listas de valores) usados na validação de dados das tabelas.</t>
  </si>
  <si>
    <t>Dicionario_Dados</t>
  </si>
  <si>
    <t>Descrição de cada coluna de cada tabela: tipo, origem (entrada/calculado), domínio, obrigatoriedade e chaves.</t>
  </si>
  <si>
    <t>CONVENÇÕES (prontas para análise de dados e machine learning)</t>
  </si>
  <si>
    <t>Tabelas</t>
  </si>
  <si>
    <t>Cada registo é uma Tabela Excel com nome próprio (tbl_*): uma linha = um registo, cabeçalho único, sem células mescladas. Ler com pandas (pd.read_excel(ficheiro, sheet_name=folha, header=&lt;linha do cabeçalho - 1&gt;)) ou Power BI (Obter Dados &gt; Tabela).</t>
  </si>
  <si>
    <t>Cabeçalho cinzento</t>
  </si>
  <si>
    <t>Coluna CALCULADA por fórmula — não escrever por cima. As restantes colunas são de entrada.</t>
  </si>
  <si>
    <t>Validação</t>
  </si>
  <si>
    <t>Colunas com lista controlada só aceitam valores da folha Listas (evita categorias duplicadas por grafia diferente).</t>
  </si>
  <si>
    <t>Chaves</t>
  </si>
  <si>
    <t>IDs estáveis e únicos (PK) e referências a IDs de outros registos (FK) permitem juntar tabelas entre ficheiros do SGE, do SGA e do SGQ — ver SGE-00_Indice_Modelo_Dados.xlsx.</t>
  </si>
  <si>
    <t>Datas e unidades</t>
  </si>
  <si>
    <t>Datas em formato data (aaaa-mm-dd); energia em kWh (MWh quando indicado); a unidade está no nome da coluna ou no dicionário. Data de referência do SGE: 2026-12-31.</t>
  </si>
  <si>
    <t>Dados</t>
  </si>
  <si>
    <t>Fábrica simulada Plasticom. Eletricidade mensal por uso: fonte única RG-SGA-13 (tbl_dados_ambientais, mar/2025 a dez/2026, já com o efeito das ações de energia de out–dez/2026). Produção e horas de marcha por máquina: dataset do projeto (datasets/silver). Dados que o dataset não tem (campanha de medição por máquina, faturas por período tarifário, gasóleo, compressores, SGCIE) são simulação didática coerente com esses dados e estão marcados como tal.</t>
  </si>
  <si>
    <t>LIGAÇÕES A OUTROS REGISTOS</t>
  </si>
  <si>
    <t>RG-SGE-05</t>
  </si>
  <si>
    <t>IDE mensais, limite de desvio significativo e demonstração da melhoria (LBE_Modelo).</t>
  </si>
  <si>
    <t>RG-SGE-08</t>
  </si>
  <si>
    <t>Não conformidades das rondas (CO-xx) que originam desvios.</t>
  </si>
  <si>
    <t>RG-SGE-14</t>
  </si>
  <si>
    <t>NC abertas a partir dos desvios (NCE-xx).</t>
  </si>
  <si>
    <t>RG-SGA-10</t>
  </si>
  <si>
    <t>OT-2026-02 — instalação dos compressores VSD.</t>
  </si>
  <si>
    <t>DESVIOS SIGNIFICATIVOS DO DESEMPENHO ENERGÉTICO (9.1.1)</t>
  </si>
  <si>
    <t>Limite mensal do IDE-01 = t × erro-padrão da LBE-01 (RG-SGE-05) · Também se investigam desvios favoráveis para confirmar as causas</t>
  </si>
  <si>
    <t>ID_Desvio</t>
  </si>
  <si>
    <t>Data_Detecao</t>
  </si>
  <si>
    <t>Mes_Referencia</t>
  </si>
  <si>
    <t>IDE_ou_Controlo</t>
  </si>
  <si>
    <t>Descricao</t>
  </si>
  <si>
    <t>Causa</t>
  </si>
  <si>
    <t>Resposta</t>
  </si>
  <si>
    <t>Data_Resposta</t>
  </si>
  <si>
    <t>Responsavel</t>
  </si>
  <si>
    <t>ID_NC</t>
  </si>
  <si>
    <t>Dias_Resposta</t>
  </si>
  <si>
    <t>No_Prazo_30d</t>
  </si>
  <si>
    <t>DSV-26-01</t>
  </si>
  <si>
    <t>IDE-01 (LBE-01)</t>
  </si>
  <si>
    <t>Mês fora do domínio: CDD₁₅ = 279 (&gt; 276 aceite) e +18 MWh face ao esperado</t>
  </si>
  <si>
    <t>Onda de calor (+2,2 °C) e arranque das linhas novas; o modelo extrapola</t>
  </si>
  <si>
    <t>Mês excluído da demonstração; registar para a LBE-01b; reforçar CO-13/14 no verão</t>
  </si>
  <si>
    <t>Gestor(a) de Energia (líder da equipa de gestão de energia)</t>
  </si>
  <si>
    <t>—</t>
  </si>
  <si>
    <t>DSV-26-02</t>
  </si>
  <si>
    <t>Potência tomada (fatura)</t>
  </si>
  <si>
    <t>1 429 kW &gt; 1 400 kW contratados (102%)</t>
  </si>
  <si>
    <t>Arranque simultâneo das ISBM após a paragem de 15/08 + chiller no máximo + máquinas novas</t>
  </si>
  <si>
    <t>Pedido de aumento para 1 550 kW; alarme a 90% nos analisadores; arranque escalonado (SUGE-13)</t>
  </si>
  <si>
    <t>Diretor Financeiro</t>
  </si>
  <si>
    <t>NCE-26-04</t>
  </si>
  <si>
    <t>DSV-26-03</t>
  </si>
  <si>
    <t>CO-13 setpoint do chiller (ronda)</t>
  </si>
  <si>
    <t>Setpoint a 6 °C durante 9 dias (critério ≥ 7 °C na altura)</t>
  </si>
  <si>
    <t>Operador baixou o setpoint para resolver empenos num molde (ANI-02)</t>
  </si>
  <si>
    <t>Reposto; causa do empeno tratada com a qualidade; alarme de alteração de setpoint (SUGE-12)</t>
  </si>
  <si>
    <t>Técnico de Utilidades</t>
  </si>
  <si>
    <t>NCE-26-03</t>
  </si>
  <si>
    <t>DSV-26-04</t>
  </si>
  <si>
    <t>Reconciliação leitura interna × fatura</t>
  </si>
  <si>
    <t>+1,8% (critério ±1%)</t>
  </si>
  <si>
    <t>Erro de transcrição na leitura interna de nov/2025 (dígito trocado)</t>
  </si>
  <si>
    <t>Corrigido; leitura por fotografia a partir de 01/2026; desde 15/12/2026 leitura automática</t>
  </si>
  <si>
    <t>DSV-26-05</t>
  </si>
  <si>
    <t>Poupança de 24,9 MWh face ao esperado (−4,2%) — desvio favorável</t>
  </si>
  <si>
    <t>Standby obrigatório desde 05/10 e início do programa de fugas</t>
  </si>
  <si>
    <t>Confirmado pela M&amp;V por ação (MV-02, MV-03); sem ação corretiva</t>
  </si>
  <si>
    <t>DSV-26-06</t>
  </si>
  <si>
    <t>Poupança de 27,8 MWh (−4,6%) — desvio favorável</t>
  </si>
  <si>
    <t>Efeito pleno do standby e das fugas/pressão 6,8 bar</t>
  </si>
  <si>
    <t>Confirmado pela M&amp;V por ação; incluir na revisão pela gestão</t>
  </si>
  <si>
    <t>KPI-E-02</t>
  </si>
  <si>
    <t>Desvios respondidos em ≤ 30 dias ÷ desvios com resposta</t>
  </si>
  <si>
    <t>PLANOS DE MEDIÇÃO E VERIFICAÇÃO (ISO 50015 / IPMVP)</t>
  </si>
  <si>
    <t>ID_MV</t>
  </si>
  <si>
    <t>ID_Origem</t>
  </si>
  <si>
    <t>Medida</t>
  </si>
  <si>
    <t>Fronteira_Medicao</t>
  </si>
  <si>
    <t>Opcao_IPMVP</t>
  </si>
  <si>
    <t>Periodo_Referencia</t>
  </si>
  <si>
    <t>Periodo_Reporte</t>
  </si>
  <si>
    <t>Ajustes_Normalizacao</t>
  </si>
  <si>
    <t>Parametros_Medidos</t>
  </si>
  <si>
    <t>Parametros_Estimados</t>
  </si>
  <si>
    <t>Instrumentos</t>
  </si>
  <si>
    <t>Incerteza</t>
  </si>
  <si>
    <t>MV-01</t>
  </si>
  <si>
    <t>ALT-2026-01</t>
  </si>
  <si>
    <t>Compressores de velocidade variável CMP-01/02</t>
  </si>
  <si>
    <t>Central de ar comprimido (compressores + secadores): kWh (PA-01) e Nm³ (EQP-04)</t>
  </si>
  <si>
    <t>B — isolamento da medida, todos os parâmetros medidos</t>
  </si>
  <si>
    <t>12–18/01/2026 (compressores antigos)</t>
  </si>
  <si>
    <t>15–21/06/2026 e 07–13/12/2026</t>
  </si>
  <si>
    <t>Normalizado por Nm³ produzido (kWh/Nm³ × Nm³ do período de reporte)</t>
  </si>
  <si>
    <t>kWh, Nm³, pressão</t>
  </si>
  <si>
    <t>PA-01 (±2%); EQP-04 (±2%)</t>
  </si>
  <si>
    <t>±3% na potência específica (combinação quadrática)</t>
  </si>
  <si>
    <t>MV-02</t>
  </si>
  <si>
    <t>PA-E-03</t>
  </si>
  <si>
    <t>Standby nas pausas e paragens &gt; 30 min (injeção e sopro)</t>
  </si>
  <si>
    <t>Máquinas IM e ISBM: kW em espera aquecida vs kW em standby</t>
  </si>
  <si>
    <t>A — parâmetro-chave medido (kW), horas estimadas</t>
  </si>
  <si>
    <t>Campanha jun–jul/2026 (kW em espera aquecida)</t>
  </si>
  <si>
    <t>Out–dez/2026</t>
  </si>
  <si>
    <t>Horas de pausa (turno 3) e de paragem &gt; 30 min do MES × taxa de adesão das rondas</t>
  </si>
  <si>
    <t>kW (amostra de 6 máquinas em 10/2026)</t>
  </si>
  <si>
    <t>Horas em standby (MES + checklist)</t>
  </si>
  <si>
    <t>PA-01 (±2%)</t>
  </si>
  <si>
    <t>±15% (horas estimadas)</t>
  </si>
  <si>
    <t>Gerente de Produção</t>
  </si>
  <si>
    <t>MV-03</t>
  </si>
  <si>
    <t>PA-E-02</t>
  </si>
  <si>
    <t>Fugas de ar e pressão de 6,8 bar</t>
  </si>
  <si>
    <t>Central de ar comprimido</t>
  </si>
  <si>
    <t>B — teste de vazio (fugas) + kWh/Nm³ medido</t>
  </si>
  <si>
    <t>Teste de vazio de 21/06/2026 (25% de fugas)</t>
  </si>
  <si>
    <t>Out–dez/2026 (teste de vazio mensal; 14% em dez)</t>
  </si>
  <si>
    <t>Poupança = redução do caudal de fugas × horas × potência específica; pressão: −7% por bar</t>
  </si>
  <si>
    <t>Nm³ em vazio, kWh/Nm³</t>
  </si>
  <si>
    <t>Horas de funcionamento da rede</t>
  </si>
  <si>
    <t>EQP-04 (±2%); PA-01</t>
  </si>
  <si>
    <t>±10%</t>
  </si>
  <si>
    <t>MV-04</t>
  </si>
  <si>
    <t>OBJ-E-01</t>
  </si>
  <si>
    <t>Todas as ações — nível da instalação</t>
  </si>
  <si>
    <t>Fronteira do IDE-01 (instalação sem as máquinas novas)</t>
  </si>
  <si>
    <t>C — instalação completa (modelo da LBE-01)</t>
  </si>
  <si>
    <t>Mar/2025–fev/2026</t>
  </si>
  <si>
    <t>Mar–dez/2026 e out–dez/2026</t>
  </si>
  <si>
    <t>Unidades INJ+SOP e graus-dia (LINEST); ajuste não rotineiro ALE-01</t>
  </si>
  <si>
    <t>kWh da fatura; unidades; temperatura</t>
  </si>
  <si>
    <t>kWh das máquinas novas (rateio)</t>
  </si>
  <si>
    <t>M00 (0,5S)</t>
  </si>
  <si>
    <t>t × erro-padrão × √m (≈ 61 MWh em 3 meses)</t>
  </si>
  <si>
    <t>CENTRAL DE AR COMPRIMIDO — 3 SEMANAS DE MEDIÇÃO (MV-01, MV-03) — SIMULADAS</t>
  </si>
  <si>
    <t>Fase</t>
  </si>
  <si>
    <t>Data</t>
  </si>
  <si>
    <t>Dia_Semana</t>
  </si>
  <si>
    <t>Producao</t>
  </si>
  <si>
    <t>Nm3_Dia</t>
  </si>
  <si>
    <t>kWh_Dia</t>
  </si>
  <si>
    <t>Pressao_Media_bar</t>
  </si>
  <si>
    <t>Fuga_Teste_Vazio</t>
  </si>
  <si>
    <t>kWh_por_Nm3</t>
  </si>
  <si>
    <t>Antes (CMP antigos, carga/vazio)</t>
  </si>
  <si>
    <t>Seg</t>
  </si>
  <si>
    <t>Sim</t>
  </si>
  <si>
    <t>Ter</t>
  </si>
  <si>
    <t>Qua</t>
  </si>
  <si>
    <t>Qui</t>
  </si>
  <si>
    <t>Sex</t>
  </si>
  <si>
    <t>Sáb</t>
  </si>
  <si>
    <t>Não</t>
  </si>
  <si>
    <t>Dom</t>
  </si>
  <si>
    <t>Depois (CMP VSD)</t>
  </si>
  <si>
    <t>Depois (VSD + fugas + 6,8 bar)</t>
  </si>
  <si>
    <t>kWh/Nm³ (semana)</t>
  </si>
  <si>
    <t>Fugas</t>
  </si>
  <si>
    <t>Pressão</t>
  </si>
  <si>
    <t>Variação vs antes</t>
  </si>
  <si>
    <t>Poupança anual extrapolada (MWh)</t>
  </si>
  <si>
    <t>Leitura</t>
  </si>
  <si>
    <t>Referência (LBE-06)</t>
  </si>
  <si>
    <t>Efeito dos VSD (MV-01)</t>
  </si>
  <si>
    <t>VSD + fugas + pressão (MV-01 + MV-03); menos ar produzido (−10%) pela redução das fugas</t>
  </si>
  <si>
    <t>Nota</t>
  </si>
  <si>
    <t>Poupança anual extrapolada = (kWh/Nm³ de janeiro × Nm³ da semana − kWh reais) × 52: mede só a eficiência da central (VSD e pressão). A menor procura de ar por redução das fugas é poupança adicional, verificada no MV-03.</t>
  </si>
  <si>
    <t>POUPANÇAS VERIFICADAS POR AÇÃO — OUT–DEZ/2026 (ISO 50047)</t>
  </si>
  <si>
    <t>ID_Poupanca</t>
  </si>
  <si>
    <t>Mes</t>
  </si>
  <si>
    <t>kWh_Poupados</t>
  </si>
  <si>
    <t>Metodo</t>
  </si>
  <si>
    <t>Incerteza_Pct</t>
  </si>
  <si>
    <t>Evidencia</t>
  </si>
  <si>
    <t>Incerteza_kWh</t>
  </si>
  <si>
    <t>POU-202610-02</t>
  </si>
  <si>
    <t>Opção A: (kW espera − kW standby) × horas em standby registadas × adesão das rondas</t>
  </si>
  <si>
    <t>Checklists de pausa; MES; campanha PA-01</t>
  </si>
  <si>
    <t>POU-202610-03</t>
  </si>
  <si>
    <t>Opção B: redução do caudal de fugas (teste de vazio) × horas × kWh/Nm³ + efeito da pressão</t>
  </si>
  <si>
    <t>Testes de vazio mensais; EQP-04; PA-01</t>
  </si>
  <si>
    <t>POU-202611-02</t>
  </si>
  <si>
    <t>POU-202611-03</t>
  </si>
  <si>
    <t>POU-202612-02</t>
  </si>
  <si>
    <t>POU-202612-03</t>
  </si>
  <si>
    <t>Σ poupanças verificadas por ação (MV-02 + MV-03)</t>
  </si>
  <si>
    <t>Incerteza combinada (raiz da soma dos quadrados)</t>
  </si>
  <si>
    <t>Melhoria normalizada da instalação out–dez/2026 (MV-04, RG-SGE-05 LBE_Modelo)</t>
  </si>
  <si>
    <t>Diferença (instalação − ações)</t>
  </si>
  <si>
    <t>Coerência (diferença dentro das incertezas?)</t>
  </si>
  <si>
    <t>Valor da instalação copiado do RG-SGE-05 à data de referência (91 930 kWh; incerteza 61 121 kWh). A diferença de ≈ 21 MWh face às ações verificadas cabe na incerteza e corresponde a medidas não verificadas individualmente (água gelada a 10 °C, rondas de energia). A coerência entre a opção C e as opções A/B reforça a demonstração para a ISO 50003.</t>
  </si>
  <si>
    <t>LISTAS CONTROLADAS (domínios de validação de dados) — editar aqui para alterar opções</t>
  </si>
  <si>
    <t>DataReferencia</t>
  </si>
  <si>
    <t>Funcao</t>
  </si>
  <si>
    <t>Diretor Geral (Gestão de Topo)</t>
  </si>
  <si>
    <t>Diretor Industrial</t>
  </si>
  <si>
    <t>Gerente de Manutenção</t>
  </si>
  <si>
    <t>Gestor do SGA / EHS (Responsável Ambiental)</t>
  </si>
  <si>
    <t>Gerente da Qualidade</t>
  </si>
  <si>
    <t>Responsável de Compras</t>
  </si>
  <si>
    <t>Responsável de R&amp;D</t>
  </si>
  <si>
    <t>Responsável de Recursos Humanos</t>
  </si>
  <si>
    <t>Gerente de Dados / TI</t>
  </si>
  <si>
    <t>Engenheiro(a) de Processo</t>
  </si>
  <si>
    <t>Chefe de Turno</t>
  </si>
  <si>
    <t>Operador de Injeção</t>
  </si>
  <si>
    <t>Operador de Sopro (ISBM)</t>
  </si>
  <si>
    <t>Operador de Serigrafia</t>
  </si>
  <si>
    <t>Operador de Hot Foil</t>
  </si>
  <si>
    <t>Técnico de Manutenção</t>
  </si>
  <si>
    <t>Auditor(a) Interno(a) do SGE</t>
  </si>
  <si>
    <t>Responsável de Armazém e Logística</t>
  </si>
  <si>
    <t>Folha</t>
  </si>
  <si>
    <t>Tabela</t>
  </si>
  <si>
    <t>Coluna</t>
  </si>
  <si>
    <t>Tipo</t>
  </si>
  <si>
    <t>Origem</t>
  </si>
  <si>
    <t>Dominio_Unidade</t>
  </si>
  <si>
    <t>Obrigatorio</t>
  </si>
  <si>
    <t>Chave</t>
  </si>
  <si>
    <t>tbl_desvios</t>
  </si>
  <si>
    <t>Texto</t>
  </si>
  <si>
    <t>Entrada</t>
  </si>
  <si>
    <t>Desvio.</t>
  </si>
  <si>
    <t>PK</t>
  </si>
  <si>
    <t>Data (aaaa-mm-dd)</t>
  </si>
  <si>
    <t>Data de deteção.</t>
  </si>
  <si>
    <t>Mês a que respeita.</t>
  </si>
  <si>
    <t>IDE, controlo ou dado onde foi detetado.</t>
  </si>
  <si>
    <t>Desvio observado.</t>
  </si>
  <si>
    <t>Resultado da investigação.</t>
  </si>
  <si>
    <t>Resposta / ação.</t>
  </si>
  <si>
    <t>Data da resposta.</t>
  </si>
  <si>
    <t>Responsável.</t>
  </si>
  <si>
    <t>Lista lst_Funcao</t>
  </si>
  <si>
    <t>NC aberta.</t>
  </si>
  <si>
    <t>FK → RG-SGE-14 tbl_nc</t>
  </si>
  <si>
    <t>Inteiro</t>
  </si>
  <si>
    <t>Calculado (fórmula)</t>
  </si>
  <si>
    <t>Dias até à resposta (ou até hoje).</t>
  </si>
  <si>
    <t>Resposta em ≤ 30 dias (KPI-E-02)?</t>
  </si>
  <si>
    <t>tbl_mv_planos</t>
  </si>
  <si>
    <t>Plano de M&amp;V.</t>
  </si>
  <si>
    <t>Plano de ação / alteração.</t>
  </si>
  <si>
    <t>Medida de melhoria.</t>
  </si>
  <si>
    <t>Fronteira de medição (ISO 50015).</t>
  </si>
  <si>
    <t>Opção IPMVP.</t>
  </si>
  <si>
    <t>Período de referência.</t>
  </si>
  <si>
    <t>Período de reporte.</t>
  </si>
  <si>
    <t>Variáveis e ajustes.</t>
  </si>
  <si>
    <t>Medidos.</t>
  </si>
  <si>
    <t>Estimados (opção A).</t>
  </si>
  <si>
    <t>Instrumentos (RG-SGE-06).</t>
  </si>
  <si>
    <t>Incerteza.</t>
  </si>
  <si>
    <t>tbl_ar_mv</t>
  </si>
  <si>
    <t>Fase de medição.</t>
  </si>
  <si>
    <t>Dia.</t>
  </si>
  <si>
    <t>Dia com produção?</t>
  </si>
  <si>
    <t>Decimal</t>
  </si>
  <si>
    <t>Ar produzido (EQP-04).</t>
  </si>
  <si>
    <t>kwh</t>
  </si>
  <si>
    <t>Energia dos compressores e secadores (PA-01).</t>
  </si>
  <si>
    <t>Pressão média.</t>
  </si>
  <si>
    <t>Percentagem (fração 0-1)</t>
  </si>
  <si>
    <t>Fugas no teste de vazio (domingo).</t>
  </si>
  <si>
    <t>Potência específica diária.</t>
  </si>
  <si>
    <t>tbl_poupancas</t>
  </si>
  <si>
    <t>Registo de poupança.</t>
  </si>
  <si>
    <t>FK → tbl_mv_planos</t>
  </si>
  <si>
    <t>Mês.</t>
  </si>
  <si>
    <t>Poupança verificada (kWh).</t>
  </si>
  <si>
    <t>Cálculo.</t>
  </si>
  <si>
    <t>Incerteza relativa.</t>
  </si>
  <si>
    <t>Evidência.</t>
  </si>
  <si>
    <t>Incerteza absoluta.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</si>
</sst>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"/>
    <numFmt numFmtId="166" formatCode="0.0000"/>
    <numFmt numFmtId="167" formatCode="0.0%"/>
  </numFmts>
  <fonts count="6" x14ac:knownFonts="1">
    <font>
      <sz val="11"/>
      <color theme="1"/>
      <name val="Calibri"/>
      <family val="2"/>
      <scheme val="minor"/>
    </font>
    <font>
      <b/>
      <sz val="14"/>
      <color rgb="FF0F2F3A"/>
      <name val="Arial"/>
    </font>
    <font>
      <i/>
      <sz val="10"/>
      <color rgb="FF4A5A60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4F6F7A"/>
      </patternFill>
    </fill>
    <fill>
      <patternFill patternType="solid">
        <fgColor rgb="FFEDEDED"/>
      </patternFill>
    </fill>
    <fill>
      <patternFill patternType="solid">
        <fgColor rgb="FFDCEBEF"/>
      </patternFill>
    </fill>
  </fills>
  <borders count="4">
    <border>
      <left/>
      <right/>
      <top/>
      <bottom/>
      <diagonal/>
    </border>
    <border>
      <left style="thin">
        <color rgb="FFB7C4C9"/>
      </left>
      <right style="thin">
        <color rgb="FFB7C4C9"/>
      </right>
      <top style="thin">
        <color rgb="FFB7C4C9"/>
      </top>
      <bottom style="thin">
        <color rgb="FFB7C4C9"/>
      </bottom>
      <diagonal/>
    </border>
    <border>
      <left/>
      <right/>
      <top style="thin">
        <color rgb="FFB7C4C9"/>
      </top>
      <bottom style="thin">
        <color rgb="FFB7C4C9"/>
      </bottom>
      <diagonal/>
    </border>
    <border>
      <left/>
      <right style="thin">
        <color rgb="FFB7C4C9"/>
      </right>
      <top style="thin">
        <color rgb="FFB7C4C9"/>
      </top>
      <bottom style="thin">
        <color rgb="FFB7C4C9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5" fillId="5" borderId="0" xfId="0" applyFont="1" applyFill="1"/>
    <xf numFmtId="0" fontId="0" fillId="5" borderId="0" xfId="0" applyFill="1"/>
    <xf numFmtId="0" fontId="5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164" fontId="4" fillId="0" borderId="0" xfId="0" applyNumberFormat="1" applyFont="1" applyAlignment="1">
      <alignment horizontal="left" vertical="top"/>
    </xf>
    <xf numFmtId="0" fontId="3" fillId="2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49" fontId="4" fillId="0" borderId="1" xfId="0" applyNumberFormat="1" applyFont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1" fontId="4" fillId="4" borderId="1" xfId="0" applyNumberFormat="1" applyFont="1" applyFill="1" applyBorder="1" applyAlignment="1">
      <alignment vertical="top" wrapText="1"/>
    </xf>
    <xf numFmtId="49" fontId="4" fillId="4" borderId="1" xfId="0" applyNumberFormat="1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9" fontId="5" fillId="0" borderId="1" xfId="0" applyNumberFormat="1" applyFont="1" applyBorder="1" applyAlignment="1">
      <alignment vertical="top" wrapText="1"/>
    </xf>
    <xf numFmtId="3" fontId="4" fillId="0" borderId="1" xfId="0" applyNumberFormat="1" applyFont="1" applyBorder="1" applyAlignment="1">
      <alignment vertical="top" wrapText="1"/>
    </xf>
    <xf numFmtId="4" fontId="4" fillId="0" borderId="1" xfId="0" applyNumberFormat="1" applyFont="1" applyBorder="1" applyAlignment="1">
      <alignment vertical="top" wrapText="1"/>
    </xf>
    <xf numFmtId="9" fontId="4" fillId="0" borderId="1" xfId="0" applyNumberFormat="1" applyFont="1" applyBorder="1" applyAlignment="1">
      <alignment vertical="top" wrapText="1"/>
    </xf>
    <xf numFmtId="165" fontId="4" fillId="4" borderId="1" xfId="0" applyNumberFormat="1" applyFont="1" applyFill="1" applyBorder="1" applyAlignment="1">
      <alignment vertical="top" wrapText="1"/>
    </xf>
    <xf numFmtId="166" fontId="4" fillId="0" borderId="1" xfId="0" applyNumberFormat="1" applyFont="1" applyBorder="1" applyAlignment="1">
      <alignment vertical="top" wrapText="1"/>
    </xf>
    <xf numFmtId="2" fontId="4" fillId="0" borderId="1" xfId="0" applyNumberFormat="1" applyFont="1" applyBorder="1" applyAlignment="1">
      <alignment vertical="top" wrapText="1"/>
    </xf>
    <xf numFmtId="167" fontId="4" fillId="0" borderId="1" xfId="0" applyNumberFormat="1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3" fontId="4" fillId="4" borderId="1" xfId="0" applyNumberFormat="1" applyFont="1" applyFill="1" applyBorder="1" applyAlignment="1">
      <alignment vertical="top" wrapText="1"/>
    </xf>
    <xf numFmtId="3" fontId="5" fillId="0" borderId="1" xfId="0" applyNumberFormat="1" applyFont="1" applyBorder="1" applyAlignment="1">
      <alignment vertical="top" wrapText="1"/>
    </xf>
    <xf numFmtId="0" fontId="5" fillId="0" borderId="0" xfId="0" applyFont="1"/>
    <xf numFmtId="0" fontId="3" fillId="2" borderId="0" xfId="0" applyFont="1" applyFill="1" applyAlignment="1">
      <alignment horizontal="center" vertical="top" wrapText="1"/>
    </xf>
    <xf numFmtId="164" fontId="4" fillId="0" borderId="0" xfId="0" applyNumberFormat="1" applyFont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4">
    <dxf>
      <font>
        <b/>
        <color rgb="FF0B3A66"/>
        <name val="Arial"/>
      </font>
      <fill>
        <patternFill patternType="solid">
          <fgColor rgb="FFCFE2F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desvios" displayName="tbl_desvios" ref="A4:L10">
  <autoFilter ref="A4:L10" xr:uid="{00000000-0009-0000-0100-000001000000}"/>
  <tableColumns count="12">
    <tableColumn id="1" xr3:uid="{00000000-0010-0000-0000-000001000000}" name="ID_Desvio"/>
    <tableColumn id="2" xr3:uid="{00000000-0010-0000-0000-000002000000}" name="Data_Detecao"/>
    <tableColumn id="3" xr3:uid="{00000000-0010-0000-0000-000003000000}" name="Mes_Referencia"/>
    <tableColumn id="4" xr3:uid="{00000000-0010-0000-0000-000004000000}" name="IDE_ou_Controlo"/>
    <tableColumn id="5" xr3:uid="{00000000-0010-0000-0000-000005000000}" name="Descricao"/>
    <tableColumn id="6" xr3:uid="{00000000-0010-0000-0000-000006000000}" name="Causa"/>
    <tableColumn id="7" xr3:uid="{00000000-0010-0000-0000-000007000000}" name="Resposta"/>
    <tableColumn id="8" xr3:uid="{00000000-0010-0000-0000-000008000000}" name="Data_Resposta"/>
    <tableColumn id="9" xr3:uid="{00000000-0010-0000-0000-000009000000}" name="Responsavel"/>
    <tableColumn id="10" xr3:uid="{00000000-0010-0000-0000-00000A000000}" name="ID_NC"/>
    <tableColumn id="11" xr3:uid="{00000000-0010-0000-0000-00000B000000}" name="Dias_Resposta"/>
    <tableColumn id="12" xr3:uid="{00000000-0010-0000-0000-00000C000000}" name="No_Prazo_30d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mv_planos" displayName="tbl_mv_planos" ref="A4:M8">
  <autoFilter ref="A4:M8" xr:uid="{00000000-0009-0000-0100-000002000000}"/>
  <tableColumns count="13">
    <tableColumn id="1" xr3:uid="{00000000-0010-0000-0100-000001000000}" name="ID_MV"/>
    <tableColumn id="2" xr3:uid="{00000000-0010-0000-0100-000002000000}" name="ID_Origem"/>
    <tableColumn id="3" xr3:uid="{00000000-0010-0000-0100-000003000000}" name="Medida"/>
    <tableColumn id="4" xr3:uid="{00000000-0010-0000-0100-000004000000}" name="Fronteira_Medicao"/>
    <tableColumn id="5" xr3:uid="{00000000-0010-0000-0100-000005000000}" name="Opcao_IPMVP"/>
    <tableColumn id="6" xr3:uid="{00000000-0010-0000-0100-000006000000}" name="Periodo_Referencia"/>
    <tableColumn id="7" xr3:uid="{00000000-0010-0000-0100-000007000000}" name="Periodo_Reporte"/>
    <tableColumn id="8" xr3:uid="{00000000-0010-0000-0100-000008000000}" name="Ajustes_Normalizacao"/>
    <tableColumn id="9" xr3:uid="{00000000-0010-0000-0100-000009000000}" name="Parametros_Medidos"/>
    <tableColumn id="10" xr3:uid="{00000000-0010-0000-0100-00000A000000}" name="Parametros_Estimados"/>
    <tableColumn id="11" xr3:uid="{00000000-0010-0000-0100-00000B000000}" name="Instrumentos"/>
    <tableColumn id="12" xr3:uid="{00000000-0010-0000-0100-00000C000000}" name="Incerteza"/>
    <tableColumn id="13" xr3:uid="{00000000-0010-0000-0100-00000D000000}" name="Responsavel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ar_mv" displayName="tbl_ar_mv" ref="A4:I25">
  <autoFilter ref="A4:I25" xr:uid="{00000000-0009-0000-0100-000003000000}"/>
  <tableColumns count="9">
    <tableColumn id="1" xr3:uid="{00000000-0010-0000-0200-000001000000}" name="Fase"/>
    <tableColumn id="2" xr3:uid="{00000000-0010-0000-0200-000002000000}" name="Data"/>
    <tableColumn id="3" xr3:uid="{00000000-0010-0000-0200-000003000000}" name="Dia_Semana"/>
    <tableColumn id="4" xr3:uid="{00000000-0010-0000-0200-000004000000}" name="Producao"/>
    <tableColumn id="5" xr3:uid="{00000000-0010-0000-0200-000005000000}" name="Nm3_Dia"/>
    <tableColumn id="6" xr3:uid="{00000000-0010-0000-0200-000006000000}" name="kWh_Dia"/>
    <tableColumn id="7" xr3:uid="{00000000-0010-0000-0200-000007000000}" name="Pressao_Media_bar"/>
    <tableColumn id="8" xr3:uid="{00000000-0010-0000-0200-000008000000}" name="Fuga_Teste_Vazio"/>
    <tableColumn id="9" xr3:uid="{00000000-0010-0000-0200-000009000000}" name="kWh_por_Nm3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poupancas" displayName="tbl_poupancas" ref="A4:H10">
  <autoFilter ref="A4:H10" xr:uid="{00000000-0009-0000-0100-000004000000}"/>
  <tableColumns count="8">
    <tableColumn id="1" xr3:uid="{00000000-0010-0000-0300-000001000000}" name="ID_Poupanca"/>
    <tableColumn id="2" xr3:uid="{00000000-0010-0000-0300-000002000000}" name="ID_MV"/>
    <tableColumn id="3" xr3:uid="{00000000-0010-0000-0300-000003000000}" name="Mes"/>
    <tableColumn id="4" xr3:uid="{00000000-0010-0000-0300-000004000000}" name="kWh_Poupados"/>
    <tableColumn id="5" xr3:uid="{00000000-0010-0000-0300-000005000000}" name="Metodo"/>
    <tableColumn id="6" xr3:uid="{00000000-0010-0000-0300-000006000000}" name="Incerteza_Pct"/>
    <tableColumn id="7" xr3:uid="{00000000-0010-0000-0300-000007000000}" name="Evidencia"/>
    <tableColumn id="8" xr3:uid="{00000000-0010-0000-0300-000008000000}" name="Incerteza_kWh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dicionario" displayName="tbl_dicionario" ref="A1:I43">
  <autoFilter ref="A1:I43" xr:uid="{00000000-0009-0000-0100-000005000000}"/>
  <tableColumns count="9">
    <tableColumn id="1" xr3:uid="{00000000-0010-0000-0400-000001000000}" name="Folha"/>
    <tableColumn id="2" xr3:uid="{00000000-0010-0000-0400-000002000000}" name="Tabela"/>
    <tableColumn id="3" xr3:uid="{00000000-0010-0000-0400-000003000000}" name="Coluna"/>
    <tableColumn id="4" xr3:uid="{00000000-0010-0000-0400-000004000000}" name="Tipo"/>
    <tableColumn id="5" xr3:uid="{00000000-0010-0000-0400-000005000000}" name="Origem"/>
    <tableColumn id="6" xr3:uid="{00000000-0010-0000-0400-000006000000}" name="Descricao"/>
    <tableColumn id="7" xr3:uid="{00000000-0010-0000-0400-000007000000}" name="Dominio_Unidade"/>
    <tableColumn id="8" xr3:uid="{00000000-0010-0000-0400-000008000000}" name="Obrigatorio"/>
    <tableColumn id="9" xr3:uid="{00000000-0010-0000-0400-000009000000}" name="Chav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5F"/>
  </sheetPr>
  <dimension ref="A1:B51"/>
  <sheetViews>
    <sheetView showGridLines="0" tabSelected="1" workbookViewId="0"/>
  </sheetViews>
  <sheetFormatPr defaultRowHeight="14.4" x14ac:dyDescent="0.3"/>
  <cols>
    <col min="1" max="1" width="30" customWidth="1"/>
    <col min="2" max="2" width="110" customWidth="1"/>
  </cols>
  <sheetData>
    <row r="1" spans="1:2" ht="17.399999999999999" x14ac:dyDescent="0.3">
      <c r="A1" s="1" t="s">
        <v>0</v>
      </c>
    </row>
    <row r="2" spans="1:2" x14ac:dyDescent="0.3">
      <c r="A2" s="2" t="s">
        <v>1</v>
      </c>
    </row>
    <row r="4" spans="1:2" x14ac:dyDescent="0.3">
      <c r="A4" s="3" t="s">
        <v>2</v>
      </c>
      <c r="B4" s="4"/>
    </row>
    <row r="5" spans="1:2" x14ac:dyDescent="0.3">
      <c r="A5" s="5" t="s">
        <v>3</v>
      </c>
      <c r="B5" s="6" t="s">
        <v>4</v>
      </c>
    </row>
    <row r="6" spans="1:2" x14ac:dyDescent="0.3">
      <c r="A6" s="5" t="s">
        <v>5</v>
      </c>
      <c r="B6" s="6" t="s">
        <v>6</v>
      </c>
    </row>
    <row r="7" spans="1:2" x14ac:dyDescent="0.3">
      <c r="A7" s="5" t="s">
        <v>7</v>
      </c>
      <c r="B7" s="6" t="s">
        <v>8</v>
      </c>
    </row>
    <row r="8" spans="1:2" x14ac:dyDescent="0.3">
      <c r="A8" s="5" t="s">
        <v>9</v>
      </c>
      <c r="B8" s="7">
        <v>46387</v>
      </c>
    </row>
    <row r="9" spans="1:2" x14ac:dyDescent="0.3">
      <c r="A9" s="5" t="s">
        <v>10</v>
      </c>
      <c r="B9" s="6" t="s">
        <v>11</v>
      </c>
    </row>
    <row r="10" spans="1:2" x14ac:dyDescent="0.3">
      <c r="A10" s="5" t="s">
        <v>12</v>
      </c>
      <c r="B10" s="6" t="s">
        <v>13</v>
      </c>
    </row>
    <row r="11" spans="1:2" x14ac:dyDescent="0.3">
      <c r="A11" s="5" t="s">
        <v>14</v>
      </c>
      <c r="B11" s="6" t="s">
        <v>15</v>
      </c>
    </row>
    <row r="12" spans="1:2" x14ac:dyDescent="0.3">
      <c r="A12" s="5" t="s">
        <v>16</v>
      </c>
      <c r="B12" s="6" t="s">
        <v>17</v>
      </c>
    </row>
    <row r="13" spans="1:2" ht="26.4" x14ac:dyDescent="0.3">
      <c r="A13" s="5" t="s">
        <v>18</v>
      </c>
      <c r="B13" s="6" t="s">
        <v>19</v>
      </c>
    </row>
    <row r="15" spans="1:2" x14ac:dyDescent="0.3">
      <c r="A15" s="3" t="s">
        <v>20</v>
      </c>
      <c r="B15" s="4"/>
    </row>
    <row r="16" spans="1:2" ht="39.6" x14ac:dyDescent="0.3">
      <c r="A16" s="5" t="s">
        <v>21</v>
      </c>
      <c r="B16" s="6" t="s">
        <v>22</v>
      </c>
    </row>
    <row r="17" spans="1:2" ht="26.4" x14ac:dyDescent="0.3">
      <c r="A17" s="5" t="s">
        <v>23</v>
      </c>
      <c r="B17" s="6" t="s">
        <v>24</v>
      </c>
    </row>
    <row r="18" spans="1:2" ht="26.4" x14ac:dyDescent="0.3">
      <c r="A18" s="5" t="s">
        <v>25</v>
      </c>
      <c r="B18" s="6" t="s">
        <v>26</v>
      </c>
    </row>
    <row r="20" spans="1:2" x14ac:dyDescent="0.3">
      <c r="A20" s="3" t="s">
        <v>27</v>
      </c>
      <c r="B20" s="4"/>
    </row>
    <row r="21" spans="1:2" x14ac:dyDescent="0.3">
      <c r="A21" s="5" t="s">
        <v>28</v>
      </c>
      <c r="B21" s="6" t="s">
        <v>29</v>
      </c>
    </row>
    <row r="22" spans="1:2" x14ac:dyDescent="0.3">
      <c r="A22" s="5" t="s">
        <v>30</v>
      </c>
      <c r="B22" s="6" t="s">
        <v>31</v>
      </c>
    </row>
    <row r="23" spans="1:2" x14ac:dyDescent="0.3">
      <c r="A23" s="5" t="s">
        <v>32</v>
      </c>
      <c r="B23" s="6" t="s">
        <v>33</v>
      </c>
    </row>
    <row r="24" spans="1:2" x14ac:dyDescent="0.3">
      <c r="A24" s="5" t="s">
        <v>34</v>
      </c>
      <c r="B24" s="6" t="s">
        <v>35</v>
      </c>
    </row>
    <row r="25" spans="1:2" x14ac:dyDescent="0.3">
      <c r="A25" s="5" t="s">
        <v>36</v>
      </c>
      <c r="B25" s="6" t="s">
        <v>37</v>
      </c>
    </row>
    <row r="26" spans="1:2" x14ac:dyDescent="0.3">
      <c r="A26" s="5" t="s">
        <v>38</v>
      </c>
      <c r="B26" s="6" t="s">
        <v>39</v>
      </c>
    </row>
    <row r="28" spans="1:2" x14ac:dyDescent="0.3">
      <c r="A28" s="3" t="s">
        <v>40</v>
      </c>
      <c r="B28" s="4"/>
    </row>
    <row r="29" spans="1:2" ht="39.6" x14ac:dyDescent="0.3">
      <c r="A29" s="5" t="s">
        <v>41</v>
      </c>
      <c r="B29" s="6" t="s">
        <v>42</v>
      </c>
    </row>
    <row r="31" spans="1:2" x14ac:dyDescent="0.3">
      <c r="A31" s="3" t="s">
        <v>43</v>
      </c>
      <c r="B31" s="4"/>
    </row>
    <row r="32" spans="1:2" x14ac:dyDescent="0.3">
      <c r="A32" s="5" t="s">
        <v>44</v>
      </c>
      <c r="B32" s="6" t="s">
        <v>45</v>
      </c>
    </row>
    <row r="33" spans="1:2" x14ac:dyDescent="0.3">
      <c r="A33" s="5" t="s">
        <v>46</v>
      </c>
      <c r="B33" s="6" t="s">
        <v>47</v>
      </c>
    </row>
    <row r="34" spans="1:2" x14ac:dyDescent="0.3">
      <c r="A34" s="5" t="s">
        <v>48</v>
      </c>
      <c r="B34" s="6" t="s">
        <v>49</v>
      </c>
    </row>
    <row r="35" spans="1:2" x14ac:dyDescent="0.3">
      <c r="A35" s="5" t="s">
        <v>50</v>
      </c>
      <c r="B35" s="6" t="s">
        <v>51</v>
      </c>
    </row>
    <row r="36" spans="1:2" x14ac:dyDescent="0.3">
      <c r="A36" s="5" t="s">
        <v>52</v>
      </c>
      <c r="B36" s="6" t="s">
        <v>53</v>
      </c>
    </row>
    <row r="37" spans="1:2" x14ac:dyDescent="0.3">
      <c r="A37" s="5" t="s">
        <v>54</v>
      </c>
      <c r="B37" s="6" t="s">
        <v>55</v>
      </c>
    </row>
    <row r="39" spans="1:2" x14ac:dyDescent="0.3">
      <c r="A39" s="3" t="s">
        <v>56</v>
      </c>
      <c r="B39" s="4"/>
    </row>
    <row r="40" spans="1:2" ht="26.4" x14ac:dyDescent="0.3">
      <c r="A40" s="5" t="s">
        <v>57</v>
      </c>
      <c r="B40" s="6" t="s">
        <v>58</v>
      </c>
    </row>
    <row r="41" spans="1:2" x14ac:dyDescent="0.3">
      <c r="A41" s="5" t="s">
        <v>59</v>
      </c>
      <c r="B41" s="6" t="s">
        <v>60</v>
      </c>
    </row>
    <row r="42" spans="1:2" x14ac:dyDescent="0.3">
      <c r="A42" s="5" t="s">
        <v>61</v>
      </c>
      <c r="B42" s="6" t="s">
        <v>62</v>
      </c>
    </row>
    <row r="43" spans="1:2" ht="26.4" x14ac:dyDescent="0.3">
      <c r="A43" s="5" t="s">
        <v>63</v>
      </c>
      <c r="B43" s="6" t="s">
        <v>64</v>
      </c>
    </row>
    <row r="44" spans="1:2" ht="26.4" x14ac:dyDescent="0.3">
      <c r="A44" s="5" t="s">
        <v>65</v>
      </c>
      <c r="B44" s="6" t="s">
        <v>66</v>
      </c>
    </row>
    <row r="45" spans="1:2" ht="52.8" x14ac:dyDescent="0.3">
      <c r="A45" s="5" t="s">
        <v>67</v>
      </c>
      <c r="B45" s="6" t="s">
        <v>68</v>
      </c>
    </row>
    <row r="47" spans="1:2" x14ac:dyDescent="0.3">
      <c r="A47" s="3" t="s">
        <v>69</v>
      </c>
      <c r="B47" s="4"/>
    </row>
    <row r="48" spans="1:2" x14ac:dyDescent="0.3">
      <c r="A48" s="5" t="s">
        <v>70</v>
      </c>
      <c r="B48" s="6" t="s">
        <v>71</v>
      </c>
    </row>
    <row r="49" spans="1:2" x14ac:dyDescent="0.3">
      <c r="A49" s="5" t="s">
        <v>72</v>
      </c>
      <c r="B49" s="6" t="s">
        <v>73</v>
      </c>
    </row>
    <row r="50" spans="1:2" x14ac:dyDescent="0.3">
      <c r="A50" s="5" t="s">
        <v>74</v>
      </c>
      <c r="B50" s="6" t="s">
        <v>75</v>
      </c>
    </row>
    <row r="51" spans="1:2" x14ac:dyDescent="0.3">
      <c r="A51" s="5" t="s">
        <v>76</v>
      </c>
      <c r="B51" s="6" t="s">
        <v>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12"/>
  <sheetViews>
    <sheetView zoomScale="9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9" customWidth="1"/>
    <col min="2" max="3" width="11" customWidth="1"/>
    <col min="4" max="4" width="22" customWidth="1"/>
    <col min="5" max="5" width="44" customWidth="1"/>
    <col min="6" max="6" width="40" customWidth="1"/>
    <col min="7" max="7" width="44" customWidth="1"/>
    <col min="8" max="8" width="11" customWidth="1"/>
    <col min="9" max="9" width="22" customWidth="1"/>
    <col min="10" max="10" width="10" customWidth="1"/>
    <col min="11" max="11" width="8" customWidth="1"/>
    <col min="12" max="12" width="9" customWidth="1"/>
  </cols>
  <sheetData>
    <row r="1" spans="1:12" ht="17.399999999999999" x14ac:dyDescent="0.3">
      <c r="A1" s="1" t="s">
        <v>78</v>
      </c>
    </row>
    <row r="2" spans="1:12" x14ac:dyDescent="0.3">
      <c r="A2" s="2" t="s">
        <v>79</v>
      </c>
    </row>
    <row r="4" spans="1:12" ht="26.4" x14ac:dyDescent="0.3">
      <c r="A4" s="8" t="s">
        <v>80</v>
      </c>
      <c r="B4" s="8" t="s">
        <v>81</v>
      </c>
      <c r="C4" s="8" t="s">
        <v>82</v>
      </c>
      <c r="D4" s="8" t="s">
        <v>83</v>
      </c>
      <c r="E4" s="8" t="s">
        <v>84</v>
      </c>
      <c r="F4" s="8" t="s">
        <v>85</v>
      </c>
      <c r="G4" s="8" t="s">
        <v>86</v>
      </c>
      <c r="H4" s="8" t="s">
        <v>87</v>
      </c>
      <c r="I4" s="8" t="s">
        <v>88</v>
      </c>
      <c r="J4" s="8" t="s">
        <v>89</v>
      </c>
      <c r="K4" s="9" t="s">
        <v>90</v>
      </c>
      <c r="L4" s="9" t="s">
        <v>91</v>
      </c>
    </row>
    <row r="5" spans="1:12" ht="45" customHeight="1" x14ac:dyDescent="0.3">
      <c r="A5" s="10" t="s">
        <v>92</v>
      </c>
      <c r="B5" s="11">
        <v>46273</v>
      </c>
      <c r="C5" s="11">
        <v>46235</v>
      </c>
      <c r="D5" s="10" t="s">
        <v>93</v>
      </c>
      <c r="E5" s="10" t="s">
        <v>94</v>
      </c>
      <c r="F5" s="10" t="s">
        <v>95</v>
      </c>
      <c r="G5" s="10" t="s">
        <v>96</v>
      </c>
      <c r="H5" s="11">
        <v>46287</v>
      </c>
      <c r="I5" s="10" t="s">
        <v>97</v>
      </c>
      <c r="J5" s="10" t="s">
        <v>98</v>
      </c>
      <c r="K5" s="12">
        <f t="shared" ref="K5:K10" si="0">IF(A5="","",IF(H5="",DataRef-B5,H5-B5))</f>
        <v>14</v>
      </c>
      <c r="L5" s="13" t="str">
        <f t="shared" ref="L5:L10" si="1">IF(A5="","",IF(H5="",IF(K5&lt;=30,"Em curso","Atrasado"),IF(K5&lt;=30,"Sim","Não")))</f>
        <v>Sim</v>
      </c>
    </row>
    <row r="6" spans="1:12" ht="45" customHeight="1" x14ac:dyDescent="0.3">
      <c r="A6" s="10" t="s">
        <v>99</v>
      </c>
      <c r="B6" s="11">
        <v>46270</v>
      </c>
      <c r="C6" s="11">
        <v>46235</v>
      </c>
      <c r="D6" s="10" t="s">
        <v>100</v>
      </c>
      <c r="E6" s="10" t="s">
        <v>101</v>
      </c>
      <c r="F6" s="10" t="s">
        <v>102</v>
      </c>
      <c r="G6" s="10" t="s">
        <v>103</v>
      </c>
      <c r="H6" s="11">
        <v>46297</v>
      </c>
      <c r="I6" s="10" t="s">
        <v>104</v>
      </c>
      <c r="J6" s="10" t="s">
        <v>105</v>
      </c>
      <c r="K6" s="12">
        <f t="shared" si="0"/>
        <v>27</v>
      </c>
      <c r="L6" s="13" t="str">
        <f t="shared" si="1"/>
        <v>Sim</v>
      </c>
    </row>
    <row r="7" spans="1:12" ht="45" customHeight="1" x14ac:dyDescent="0.3">
      <c r="A7" s="10" t="s">
        <v>106</v>
      </c>
      <c r="B7" s="11">
        <v>46253</v>
      </c>
      <c r="C7" s="11">
        <v>46235</v>
      </c>
      <c r="D7" s="10" t="s">
        <v>107</v>
      </c>
      <c r="E7" s="10" t="s">
        <v>108</v>
      </c>
      <c r="F7" s="10" t="s">
        <v>109</v>
      </c>
      <c r="G7" s="10" t="s">
        <v>110</v>
      </c>
      <c r="H7" s="11">
        <v>46262</v>
      </c>
      <c r="I7" s="10" t="s">
        <v>111</v>
      </c>
      <c r="J7" s="10" t="s">
        <v>112</v>
      </c>
      <c r="K7" s="12">
        <f t="shared" si="0"/>
        <v>9</v>
      </c>
      <c r="L7" s="13" t="str">
        <f t="shared" si="1"/>
        <v>Sim</v>
      </c>
    </row>
    <row r="8" spans="1:12" ht="45" customHeight="1" x14ac:dyDescent="0.3">
      <c r="A8" s="10" t="s">
        <v>113</v>
      </c>
      <c r="B8" s="11">
        <v>45993</v>
      </c>
      <c r="C8" s="11">
        <v>45962</v>
      </c>
      <c r="D8" s="10" t="s">
        <v>114</v>
      </c>
      <c r="E8" s="10" t="s">
        <v>115</v>
      </c>
      <c r="F8" s="10" t="s">
        <v>116</v>
      </c>
      <c r="G8" s="10" t="s">
        <v>117</v>
      </c>
      <c r="H8" s="11">
        <v>45994</v>
      </c>
      <c r="I8" s="10" t="s">
        <v>111</v>
      </c>
      <c r="J8" s="10" t="s">
        <v>98</v>
      </c>
      <c r="K8" s="12">
        <f t="shared" si="0"/>
        <v>1</v>
      </c>
      <c r="L8" s="13" t="str">
        <f t="shared" si="1"/>
        <v>Sim</v>
      </c>
    </row>
    <row r="9" spans="1:12" ht="45" customHeight="1" x14ac:dyDescent="0.3">
      <c r="A9" s="10" t="s">
        <v>118</v>
      </c>
      <c r="B9" s="11">
        <v>46336</v>
      </c>
      <c r="C9" s="11">
        <v>46296</v>
      </c>
      <c r="D9" s="10" t="s">
        <v>93</v>
      </c>
      <c r="E9" s="10" t="s">
        <v>119</v>
      </c>
      <c r="F9" s="10" t="s">
        <v>120</v>
      </c>
      <c r="G9" s="10" t="s">
        <v>121</v>
      </c>
      <c r="H9" s="11">
        <v>46346</v>
      </c>
      <c r="I9" s="10" t="s">
        <v>97</v>
      </c>
      <c r="J9" s="10" t="s">
        <v>98</v>
      </c>
      <c r="K9" s="12">
        <f t="shared" si="0"/>
        <v>10</v>
      </c>
      <c r="L9" s="13" t="str">
        <f t="shared" si="1"/>
        <v>Sim</v>
      </c>
    </row>
    <row r="10" spans="1:12" ht="45" customHeight="1" x14ac:dyDescent="0.3">
      <c r="A10" s="10" t="s">
        <v>122</v>
      </c>
      <c r="B10" s="11">
        <v>46387</v>
      </c>
      <c r="C10" s="11">
        <v>46357</v>
      </c>
      <c r="D10" s="10" t="s">
        <v>93</v>
      </c>
      <c r="E10" s="10" t="s">
        <v>123</v>
      </c>
      <c r="F10" s="10" t="s">
        <v>124</v>
      </c>
      <c r="G10" s="10" t="s">
        <v>125</v>
      </c>
      <c r="H10" s="11"/>
      <c r="I10" s="10" t="s">
        <v>97</v>
      </c>
      <c r="J10" s="10" t="s">
        <v>98</v>
      </c>
      <c r="K10" s="12">
        <f t="shared" si="0"/>
        <v>0</v>
      </c>
      <c r="L10" s="13" t="str">
        <f t="shared" si="1"/>
        <v>Em curso</v>
      </c>
    </row>
    <row r="12" spans="1:12" ht="79.2" x14ac:dyDescent="0.3">
      <c r="A12" s="14" t="s">
        <v>126</v>
      </c>
      <c r="B12" s="6" t="s">
        <v>127</v>
      </c>
      <c r="E12" s="15">
        <f>IFERROR(COUNTIF(tbl_desvios[No_Prazo_30d],"Sim")/(COUNTIF(tbl_desvios[No_Prazo_30d],"Sim")+COUNTIF(tbl_desvios[No_Prazo_30d],"Não")),"")</f>
        <v>1</v>
      </c>
    </row>
  </sheetData>
  <conditionalFormatting sqref="L5:L210">
    <cfRule type="expression" dxfId="3" priority="1">
      <formula>ISNUMBER(SEARCH("Atrasado",L5))</formula>
    </cfRule>
    <cfRule type="expression" dxfId="2" priority="2">
      <formula>ISNUMBER(SEARCH("Não",L5))</formula>
    </cfRule>
    <cfRule type="expression" dxfId="1" priority="3">
      <formula>ISNUMBER(SEARCH("Sim",L5))</formula>
    </cfRule>
    <cfRule type="expression" dxfId="0" priority="4">
      <formula>ISNUMBER(SEARCH("Em curso",L5))</formula>
    </cfRule>
  </conditionalFormatting>
  <dataValidations count="1">
    <dataValidation type="list" allowBlank="1" showErrorMessage="1" errorTitle="Valor inválido" error="Valor fora da lista controlada (ver folha Listas)." sqref="I5:I210" xr:uid="{00000000-0002-0000-0100-000000000000}">
      <formula1>lst_Funcao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8"/>
  <sheetViews>
    <sheetView zoomScale="9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7" customWidth="1"/>
    <col min="2" max="2" width="10" customWidth="1"/>
    <col min="3" max="3" width="36" customWidth="1"/>
    <col min="4" max="4" width="40" customWidth="1"/>
    <col min="5" max="5" width="26" customWidth="1"/>
    <col min="6" max="7" width="24" customWidth="1"/>
    <col min="8" max="8" width="40" customWidth="1"/>
    <col min="9" max="13" width="22" customWidth="1"/>
  </cols>
  <sheetData>
    <row r="1" spans="1:13" ht="17.399999999999999" x14ac:dyDescent="0.3">
      <c r="A1" s="1" t="s">
        <v>128</v>
      </c>
    </row>
    <row r="4" spans="1:13" ht="26.4" x14ac:dyDescent="0.3">
      <c r="A4" s="8" t="s">
        <v>129</v>
      </c>
      <c r="B4" s="8" t="s">
        <v>130</v>
      </c>
      <c r="C4" s="8" t="s">
        <v>131</v>
      </c>
      <c r="D4" s="8" t="s">
        <v>132</v>
      </c>
      <c r="E4" s="8" t="s">
        <v>133</v>
      </c>
      <c r="F4" s="8" t="s">
        <v>134</v>
      </c>
      <c r="G4" s="8" t="s">
        <v>135</v>
      </c>
      <c r="H4" s="8" t="s">
        <v>136</v>
      </c>
      <c r="I4" s="8" t="s">
        <v>137</v>
      </c>
      <c r="J4" s="8" t="s">
        <v>138</v>
      </c>
      <c r="K4" s="8" t="s">
        <v>139</v>
      </c>
      <c r="L4" s="8" t="s">
        <v>140</v>
      </c>
      <c r="M4" s="8" t="s">
        <v>88</v>
      </c>
    </row>
    <row r="5" spans="1:13" ht="45" customHeight="1" x14ac:dyDescent="0.3">
      <c r="A5" s="10" t="s">
        <v>141</v>
      </c>
      <c r="B5" s="10" t="s">
        <v>142</v>
      </c>
      <c r="C5" s="10" t="s">
        <v>143</v>
      </c>
      <c r="D5" s="10" t="s">
        <v>144</v>
      </c>
      <c r="E5" s="10" t="s">
        <v>145</v>
      </c>
      <c r="F5" s="10" t="s">
        <v>146</v>
      </c>
      <c r="G5" s="10" t="s">
        <v>147</v>
      </c>
      <c r="H5" s="10" t="s">
        <v>148</v>
      </c>
      <c r="I5" s="10" t="s">
        <v>149</v>
      </c>
      <c r="J5" s="10" t="s">
        <v>98</v>
      </c>
      <c r="K5" s="10" t="s">
        <v>150</v>
      </c>
      <c r="L5" s="10" t="s">
        <v>151</v>
      </c>
      <c r="M5" s="10" t="s">
        <v>111</v>
      </c>
    </row>
    <row r="6" spans="1:13" ht="45" customHeight="1" x14ac:dyDescent="0.3">
      <c r="A6" s="10" t="s">
        <v>152</v>
      </c>
      <c r="B6" s="10" t="s">
        <v>153</v>
      </c>
      <c r="C6" s="10" t="s">
        <v>154</v>
      </c>
      <c r="D6" s="10" t="s">
        <v>155</v>
      </c>
      <c r="E6" s="10" t="s">
        <v>156</v>
      </c>
      <c r="F6" s="10" t="s">
        <v>157</v>
      </c>
      <c r="G6" s="10" t="s">
        <v>158</v>
      </c>
      <c r="H6" s="10" t="s">
        <v>159</v>
      </c>
      <c r="I6" s="10" t="s">
        <v>160</v>
      </c>
      <c r="J6" s="10" t="s">
        <v>161</v>
      </c>
      <c r="K6" s="10" t="s">
        <v>162</v>
      </c>
      <c r="L6" s="10" t="s">
        <v>163</v>
      </c>
      <c r="M6" s="10" t="s">
        <v>164</v>
      </c>
    </row>
    <row r="7" spans="1:13" ht="45" customHeight="1" x14ac:dyDescent="0.3">
      <c r="A7" s="10" t="s">
        <v>165</v>
      </c>
      <c r="B7" s="10" t="s">
        <v>166</v>
      </c>
      <c r="C7" s="10" t="s">
        <v>167</v>
      </c>
      <c r="D7" s="10" t="s">
        <v>168</v>
      </c>
      <c r="E7" s="10" t="s">
        <v>169</v>
      </c>
      <c r="F7" s="10" t="s">
        <v>170</v>
      </c>
      <c r="G7" s="10" t="s">
        <v>171</v>
      </c>
      <c r="H7" s="10" t="s">
        <v>172</v>
      </c>
      <c r="I7" s="10" t="s">
        <v>173</v>
      </c>
      <c r="J7" s="10" t="s">
        <v>174</v>
      </c>
      <c r="K7" s="10" t="s">
        <v>175</v>
      </c>
      <c r="L7" s="10" t="s">
        <v>176</v>
      </c>
      <c r="M7" s="10" t="s">
        <v>111</v>
      </c>
    </row>
    <row r="8" spans="1:13" ht="45" customHeight="1" x14ac:dyDescent="0.3">
      <c r="A8" s="10" t="s">
        <v>177</v>
      </c>
      <c r="B8" s="10" t="s">
        <v>178</v>
      </c>
      <c r="C8" s="10" t="s">
        <v>179</v>
      </c>
      <c r="D8" s="10" t="s">
        <v>180</v>
      </c>
      <c r="E8" s="10" t="s">
        <v>181</v>
      </c>
      <c r="F8" s="10" t="s">
        <v>182</v>
      </c>
      <c r="G8" s="10" t="s">
        <v>183</v>
      </c>
      <c r="H8" s="10" t="s">
        <v>184</v>
      </c>
      <c r="I8" s="10" t="s">
        <v>185</v>
      </c>
      <c r="J8" s="10" t="s">
        <v>186</v>
      </c>
      <c r="K8" s="10" t="s">
        <v>187</v>
      </c>
      <c r="L8" s="10" t="s">
        <v>188</v>
      </c>
      <c r="M8" s="10" t="s">
        <v>97</v>
      </c>
    </row>
  </sheetData>
  <dataValidations count="1">
    <dataValidation type="list" allowBlank="1" showErrorMessage="1" errorTitle="Valor inválido" error="Valor fora da lista controlada (ver folha Listas)." sqref="M5:M208" xr:uid="{00000000-0002-0000-0200-000000000000}">
      <formula1>lst_Funcao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32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6" customWidth="1"/>
    <col min="2" max="2" width="11" customWidth="1"/>
    <col min="3" max="3" width="6" customWidth="1"/>
    <col min="4" max="4" width="7" customWidth="1"/>
    <col min="5" max="6" width="10" customWidth="1"/>
    <col min="7" max="8" width="8" customWidth="1"/>
    <col min="9" max="9" width="9" customWidth="1"/>
  </cols>
  <sheetData>
    <row r="1" spans="1:9" ht="17.399999999999999" x14ac:dyDescent="0.3">
      <c r="A1" s="1" t="s">
        <v>189</v>
      </c>
    </row>
    <row r="4" spans="1:9" ht="39.6" x14ac:dyDescent="0.3">
      <c r="A4" s="8" t="s">
        <v>190</v>
      </c>
      <c r="B4" s="8" t="s">
        <v>191</v>
      </c>
      <c r="C4" s="8" t="s">
        <v>192</v>
      </c>
      <c r="D4" s="8" t="s">
        <v>193</v>
      </c>
      <c r="E4" s="8" t="s">
        <v>194</v>
      </c>
      <c r="F4" s="8" t="s">
        <v>195</v>
      </c>
      <c r="G4" s="8" t="s">
        <v>196</v>
      </c>
      <c r="H4" s="8" t="s">
        <v>197</v>
      </c>
      <c r="I4" s="9" t="s">
        <v>198</v>
      </c>
    </row>
    <row r="5" spans="1:9" ht="15" customHeight="1" x14ac:dyDescent="0.3">
      <c r="A5" s="10" t="s">
        <v>199</v>
      </c>
      <c r="B5" s="11">
        <v>46034</v>
      </c>
      <c r="C5" s="10" t="s">
        <v>200</v>
      </c>
      <c r="D5" s="10" t="s">
        <v>201</v>
      </c>
      <c r="E5" s="16">
        <v>24432</v>
      </c>
      <c r="F5" s="16">
        <v>3255</v>
      </c>
      <c r="G5" s="17">
        <v>7.55</v>
      </c>
      <c r="H5" s="18"/>
      <c r="I5" s="19">
        <f t="shared" ref="I5:I25" si="0">IF(B5="","",F5/E5)</f>
        <v>0.13322691552062868</v>
      </c>
    </row>
    <row r="6" spans="1:9" ht="15" customHeight="1" x14ac:dyDescent="0.3">
      <c r="A6" s="10" t="s">
        <v>199</v>
      </c>
      <c r="B6" s="11">
        <v>46035</v>
      </c>
      <c r="C6" s="10" t="s">
        <v>202</v>
      </c>
      <c r="D6" s="10" t="s">
        <v>201</v>
      </c>
      <c r="E6" s="16">
        <v>23472</v>
      </c>
      <c r="F6" s="16">
        <v>3025</v>
      </c>
      <c r="G6" s="17">
        <v>7.6</v>
      </c>
      <c r="H6" s="18"/>
      <c r="I6" s="19">
        <f t="shared" si="0"/>
        <v>0.12887695978186775</v>
      </c>
    </row>
    <row r="7" spans="1:9" ht="15" customHeight="1" x14ac:dyDescent="0.3">
      <c r="A7" s="10" t="s">
        <v>199</v>
      </c>
      <c r="B7" s="11">
        <v>46036</v>
      </c>
      <c r="C7" s="10" t="s">
        <v>203</v>
      </c>
      <c r="D7" s="10" t="s">
        <v>201</v>
      </c>
      <c r="E7" s="16">
        <v>24474</v>
      </c>
      <c r="F7" s="16">
        <v>3315</v>
      </c>
      <c r="G7" s="17">
        <v>7.64</v>
      </c>
      <c r="H7" s="18"/>
      <c r="I7" s="19">
        <f t="shared" si="0"/>
        <v>0.13544986516303015</v>
      </c>
    </row>
    <row r="8" spans="1:9" ht="15" customHeight="1" x14ac:dyDescent="0.3">
      <c r="A8" s="10" t="s">
        <v>199</v>
      </c>
      <c r="B8" s="11">
        <v>46037</v>
      </c>
      <c r="C8" s="10" t="s">
        <v>204</v>
      </c>
      <c r="D8" s="10" t="s">
        <v>201</v>
      </c>
      <c r="E8" s="16">
        <v>23799</v>
      </c>
      <c r="F8" s="16">
        <v>3083</v>
      </c>
      <c r="G8" s="17">
        <v>7.6</v>
      </c>
      <c r="H8" s="18"/>
      <c r="I8" s="19">
        <f t="shared" si="0"/>
        <v>0.12954325812008907</v>
      </c>
    </row>
    <row r="9" spans="1:9" ht="15" customHeight="1" x14ac:dyDescent="0.3">
      <c r="A9" s="10" t="s">
        <v>199</v>
      </c>
      <c r="B9" s="11">
        <v>46038</v>
      </c>
      <c r="C9" s="10" t="s">
        <v>205</v>
      </c>
      <c r="D9" s="10" t="s">
        <v>201</v>
      </c>
      <c r="E9" s="16">
        <v>24032</v>
      </c>
      <c r="F9" s="16">
        <v>3166</v>
      </c>
      <c r="G9" s="17">
        <v>7.6</v>
      </c>
      <c r="H9" s="18"/>
      <c r="I9" s="19">
        <f t="shared" si="0"/>
        <v>0.1317410119840213</v>
      </c>
    </row>
    <row r="10" spans="1:9" ht="15" customHeight="1" x14ac:dyDescent="0.3">
      <c r="A10" s="10" t="s">
        <v>199</v>
      </c>
      <c r="B10" s="11">
        <v>46039</v>
      </c>
      <c r="C10" s="10" t="s">
        <v>206</v>
      </c>
      <c r="D10" s="10" t="s">
        <v>207</v>
      </c>
      <c r="E10" s="16">
        <v>10278</v>
      </c>
      <c r="F10" s="16">
        <v>1507</v>
      </c>
      <c r="G10" s="17">
        <v>7.66</v>
      </c>
      <c r="H10" s="18"/>
      <c r="I10" s="19">
        <f t="shared" si="0"/>
        <v>0.14662385678147499</v>
      </c>
    </row>
    <row r="11" spans="1:9" ht="15" customHeight="1" x14ac:dyDescent="0.3">
      <c r="A11" s="10" t="s">
        <v>199</v>
      </c>
      <c r="B11" s="11">
        <v>46040</v>
      </c>
      <c r="C11" s="10" t="s">
        <v>208</v>
      </c>
      <c r="D11" s="10" t="s">
        <v>207</v>
      </c>
      <c r="E11" s="16">
        <v>7594</v>
      </c>
      <c r="F11" s="16">
        <v>1107</v>
      </c>
      <c r="G11" s="17">
        <v>7.59</v>
      </c>
      <c r="H11" s="18">
        <v>0.26400000000000001</v>
      </c>
      <c r="I11" s="19">
        <f t="shared" si="0"/>
        <v>0.14577297866736896</v>
      </c>
    </row>
    <row r="12" spans="1:9" ht="15" customHeight="1" x14ac:dyDescent="0.3">
      <c r="A12" s="10" t="s">
        <v>209</v>
      </c>
      <c r="B12" s="11">
        <v>46188</v>
      </c>
      <c r="C12" s="10" t="s">
        <v>200</v>
      </c>
      <c r="D12" s="10" t="s">
        <v>201</v>
      </c>
      <c r="E12" s="16">
        <v>24169</v>
      </c>
      <c r="F12" s="16">
        <v>2803</v>
      </c>
      <c r="G12" s="17">
        <v>7.39</v>
      </c>
      <c r="H12" s="18"/>
      <c r="I12" s="19">
        <f t="shared" si="0"/>
        <v>0.11597500930944599</v>
      </c>
    </row>
    <row r="13" spans="1:9" ht="15" customHeight="1" x14ac:dyDescent="0.3">
      <c r="A13" s="10" t="s">
        <v>209</v>
      </c>
      <c r="B13" s="11">
        <v>46189</v>
      </c>
      <c r="C13" s="10" t="s">
        <v>202</v>
      </c>
      <c r="D13" s="10" t="s">
        <v>201</v>
      </c>
      <c r="E13" s="16">
        <v>24057</v>
      </c>
      <c r="F13" s="16">
        <v>2768</v>
      </c>
      <c r="G13" s="17">
        <v>7.38</v>
      </c>
      <c r="H13" s="18"/>
      <c r="I13" s="19">
        <f t="shared" si="0"/>
        <v>0.11506006567734962</v>
      </c>
    </row>
    <row r="14" spans="1:9" ht="15" customHeight="1" x14ac:dyDescent="0.3">
      <c r="A14" s="10" t="s">
        <v>209</v>
      </c>
      <c r="B14" s="11">
        <v>46190</v>
      </c>
      <c r="C14" s="10" t="s">
        <v>203</v>
      </c>
      <c r="D14" s="10" t="s">
        <v>201</v>
      </c>
      <c r="E14" s="16">
        <v>25039</v>
      </c>
      <c r="F14" s="16">
        <v>2828</v>
      </c>
      <c r="G14" s="17">
        <v>7.39</v>
      </c>
      <c r="H14" s="18"/>
      <c r="I14" s="19">
        <f t="shared" si="0"/>
        <v>0.11294380766005033</v>
      </c>
    </row>
    <row r="15" spans="1:9" ht="15" customHeight="1" x14ac:dyDescent="0.3">
      <c r="A15" s="10" t="s">
        <v>209</v>
      </c>
      <c r="B15" s="11">
        <v>46191</v>
      </c>
      <c r="C15" s="10" t="s">
        <v>204</v>
      </c>
      <c r="D15" s="10" t="s">
        <v>201</v>
      </c>
      <c r="E15" s="16">
        <v>24128</v>
      </c>
      <c r="F15" s="16">
        <v>2711</v>
      </c>
      <c r="G15" s="17">
        <v>7.46</v>
      </c>
      <c r="H15" s="18"/>
      <c r="I15" s="19">
        <f t="shared" si="0"/>
        <v>0.1123590848806366</v>
      </c>
    </row>
    <row r="16" spans="1:9" ht="15" customHeight="1" x14ac:dyDescent="0.3">
      <c r="A16" s="10" t="s">
        <v>209</v>
      </c>
      <c r="B16" s="11">
        <v>46192</v>
      </c>
      <c r="C16" s="10" t="s">
        <v>205</v>
      </c>
      <c r="D16" s="10" t="s">
        <v>201</v>
      </c>
      <c r="E16" s="16">
        <v>24909</v>
      </c>
      <c r="F16" s="16">
        <v>2859</v>
      </c>
      <c r="G16" s="17">
        <v>7.38</v>
      </c>
      <c r="H16" s="18"/>
      <c r="I16" s="19">
        <f t="shared" si="0"/>
        <v>0.11477779115982176</v>
      </c>
    </row>
    <row r="17" spans="1:9" ht="15" customHeight="1" x14ac:dyDescent="0.3">
      <c r="A17" s="10" t="s">
        <v>209</v>
      </c>
      <c r="B17" s="11">
        <v>46193</v>
      </c>
      <c r="C17" s="10" t="s">
        <v>206</v>
      </c>
      <c r="D17" s="10" t="s">
        <v>207</v>
      </c>
      <c r="E17" s="16">
        <v>9874</v>
      </c>
      <c r="F17" s="16">
        <v>1112</v>
      </c>
      <c r="G17" s="17">
        <v>7.38</v>
      </c>
      <c r="H17" s="18"/>
      <c r="I17" s="19">
        <f t="shared" si="0"/>
        <v>0.11261899939234353</v>
      </c>
    </row>
    <row r="18" spans="1:9" ht="15" customHeight="1" x14ac:dyDescent="0.3">
      <c r="A18" s="10" t="s">
        <v>209</v>
      </c>
      <c r="B18" s="11">
        <v>46194</v>
      </c>
      <c r="C18" s="10" t="s">
        <v>208</v>
      </c>
      <c r="D18" s="10" t="s">
        <v>207</v>
      </c>
      <c r="E18" s="16">
        <v>7658</v>
      </c>
      <c r="F18" s="16">
        <v>849</v>
      </c>
      <c r="G18" s="17">
        <v>7.42</v>
      </c>
      <c r="H18" s="18">
        <v>0.24399999999999999</v>
      </c>
      <c r="I18" s="19">
        <f t="shared" si="0"/>
        <v>0.11086445547140246</v>
      </c>
    </row>
    <row r="19" spans="1:9" ht="15" customHeight="1" x14ac:dyDescent="0.3">
      <c r="A19" s="10" t="s">
        <v>210</v>
      </c>
      <c r="B19" s="11">
        <v>46363</v>
      </c>
      <c r="C19" s="10" t="s">
        <v>200</v>
      </c>
      <c r="D19" s="10" t="s">
        <v>201</v>
      </c>
      <c r="E19" s="16">
        <v>22738</v>
      </c>
      <c r="F19" s="16">
        <v>2417</v>
      </c>
      <c r="G19" s="17">
        <v>6.85</v>
      </c>
      <c r="H19" s="18"/>
      <c r="I19" s="19">
        <f t="shared" si="0"/>
        <v>0.10629782742545518</v>
      </c>
    </row>
    <row r="20" spans="1:9" ht="15" customHeight="1" x14ac:dyDescent="0.3">
      <c r="A20" s="10" t="s">
        <v>210</v>
      </c>
      <c r="B20" s="11">
        <v>46364</v>
      </c>
      <c r="C20" s="10" t="s">
        <v>202</v>
      </c>
      <c r="D20" s="10" t="s">
        <v>201</v>
      </c>
      <c r="E20" s="16">
        <v>21346</v>
      </c>
      <c r="F20" s="16">
        <v>2296</v>
      </c>
      <c r="G20" s="17">
        <v>6.82</v>
      </c>
      <c r="H20" s="18"/>
      <c r="I20" s="19">
        <f t="shared" si="0"/>
        <v>0.10756113557575189</v>
      </c>
    </row>
    <row r="21" spans="1:9" ht="15" customHeight="1" x14ac:dyDescent="0.3">
      <c r="A21" s="10" t="s">
        <v>210</v>
      </c>
      <c r="B21" s="11">
        <v>46365</v>
      </c>
      <c r="C21" s="10" t="s">
        <v>203</v>
      </c>
      <c r="D21" s="10" t="s">
        <v>201</v>
      </c>
      <c r="E21" s="16">
        <v>21361</v>
      </c>
      <c r="F21" s="16">
        <v>2257</v>
      </c>
      <c r="G21" s="17">
        <v>6.86</v>
      </c>
      <c r="H21" s="18"/>
      <c r="I21" s="19">
        <f t="shared" si="0"/>
        <v>0.10565984738542203</v>
      </c>
    </row>
    <row r="22" spans="1:9" ht="15" customHeight="1" x14ac:dyDescent="0.3">
      <c r="A22" s="10" t="s">
        <v>210</v>
      </c>
      <c r="B22" s="11">
        <v>46366</v>
      </c>
      <c r="C22" s="10" t="s">
        <v>204</v>
      </c>
      <c r="D22" s="10" t="s">
        <v>201</v>
      </c>
      <c r="E22" s="16">
        <v>21439</v>
      </c>
      <c r="F22" s="16">
        <v>2287</v>
      </c>
      <c r="G22" s="17">
        <v>6.89</v>
      </c>
      <c r="H22" s="18"/>
      <c r="I22" s="19">
        <f t="shared" si="0"/>
        <v>0.10667475162087783</v>
      </c>
    </row>
    <row r="23" spans="1:9" ht="15" customHeight="1" x14ac:dyDescent="0.3">
      <c r="A23" s="10" t="s">
        <v>210</v>
      </c>
      <c r="B23" s="11">
        <v>46367</v>
      </c>
      <c r="C23" s="10" t="s">
        <v>205</v>
      </c>
      <c r="D23" s="10" t="s">
        <v>201</v>
      </c>
      <c r="E23" s="16">
        <v>22167</v>
      </c>
      <c r="F23" s="16">
        <v>2361</v>
      </c>
      <c r="G23" s="17">
        <v>6.87</v>
      </c>
      <c r="H23" s="18"/>
      <c r="I23" s="19">
        <f t="shared" si="0"/>
        <v>0.10650967654621735</v>
      </c>
    </row>
    <row r="24" spans="1:9" ht="15" customHeight="1" x14ac:dyDescent="0.3">
      <c r="A24" s="10" t="s">
        <v>210</v>
      </c>
      <c r="B24" s="11">
        <v>46368</v>
      </c>
      <c r="C24" s="10" t="s">
        <v>206</v>
      </c>
      <c r="D24" s="10" t="s">
        <v>207</v>
      </c>
      <c r="E24" s="16">
        <v>8749</v>
      </c>
      <c r="F24" s="16">
        <v>909</v>
      </c>
      <c r="G24" s="17">
        <v>6.81</v>
      </c>
      <c r="H24" s="18"/>
      <c r="I24" s="19">
        <f t="shared" si="0"/>
        <v>0.10389758829580524</v>
      </c>
    </row>
    <row r="25" spans="1:9" ht="15" customHeight="1" x14ac:dyDescent="0.3">
      <c r="A25" s="10" t="s">
        <v>210</v>
      </c>
      <c r="B25" s="11">
        <v>46369</v>
      </c>
      <c r="C25" s="10" t="s">
        <v>208</v>
      </c>
      <c r="D25" s="10" t="s">
        <v>207</v>
      </c>
      <c r="E25" s="16">
        <v>7646</v>
      </c>
      <c r="F25" s="16">
        <v>821</v>
      </c>
      <c r="G25" s="17">
        <v>6.75</v>
      </c>
      <c r="H25" s="18">
        <v>0.14099999999999999</v>
      </c>
      <c r="I25" s="19">
        <f t="shared" si="0"/>
        <v>0.10737640596390269</v>
      </c>
    </row>
    <row r="27" spans="1:9" ht="52.8" x14ac:dyDescent="0.3">
      <c r="A27" s="8" t="s">
        <v>190</v>
      </c>
      <c r="B27" s="8" t="s">
        <v>211</v>
      </c>
      <c r="C27" s="8" t="s">
        <v>212</v>
      </c>
      <c r="D27" s="8" t="s">
        <v>213</v>
      </c>
      <c r="E27" s="8" t="s">
        <v>214</v>
      </c>
      <c r="F27" s="8" t="s">
        <v>215</v>
      </c>
      <c r="G27" s="8" t="s">
        <v>216</v>
      </c>
    </row>
    <row r="28" spans="1:9" ht="52.8" x14ac:dyDescent="0.3">
      <c r="A28" s="14" t="s">
        <v>199</v>
      </c>
      <c r="B28" s="20">
        <f>SUMIFS(tbl_ar_mv[kWh_Dia],tbl_ar_mv[Fase],A28)/SUMIFS(tbl_ar_mv[Nm3_Dia],tbl_ar_mv[Fase],A28)</f>
        <v>0.13367516168046292</v>
      </c>
      <c r="C28" s="18">
        <f>IFERROR(AVERAGEIFS(tbl_ar_mv[Fuga_Teste_Vazio],tbl_ar_mv[Fase],A28),"")</f>
        <v>0.26400000000000001</v>
      </c>
      <c r="D28" s="21">
        <f>AVERAGEIFS(tbl_ar_mv[Pressao_Media_bar],tbl_ar_mv[Fase],A28)</f>
        <v>7.6057142857142868</v>
      </c>
      <c r="E28" s="22"/>
      <c r="F28" s="16"/>
      <c r="G28" s="23" t="s">
        <v>217</v>
      </c>
    </row>
    <row r="29" spans="1:9" ht="52.8" x14ac:dyDescent="0.3">
      <c r="A29" s="14" t="s">
        <v>209</v>
      </c>
      <c r="B29" s="20">
        <f>SUMIFS(tbl_ar_mv[kWh_Dia],tbl_ar_mv[Fase],A29)/SUMIFS(tbl_ar_mv[Nm3_Dia],tbl_ar_mv[Fase],A29)</f>
        <v>0.11392079179598667</v>
      </c>
      <c r="C29" s="18">
        <f>IFERROR(AVERAGEIFS(tbl_ar_mv[Fuga_Teste_Vazio],tbl_ar_mv[Fase],A29),"")</f>
        <v>0.24399999999999999</v>
      </c>
      <c r="D29" s="21">
        <f>AVERAGEIFS(tbl_ar_mv[Pressao_Media_bar],tbl_ar_mv[Fase],A29)</f>
        <v>7.4</v>
      </c>
      <c r="E29" s="22">
        <f>B29/B28-1</f>
        <v>-0.14777891147569433</v>
      </c>
      <c r="F29" s="16">
        <f>(B28*SUMIFS(tbl_ar_mv[Nm3_Dia],tbl_ar_mv[Fase],A29)-SUMIFS(tbl_ar_mv[kWh_Dia],tbl_ar_mv[Fase],A29))*52/1000</f>
        <v>143.64129303814437</v>
      </c>
      <c r="G29" s="23" t="s">
        <v>218</v>
      </c>
    </row>
    <row r="30" spans="1:9" ht="198" x14ac:dyDescent="0.3">
      <c r="A30" s="14" t="s">
        <v>210</v>
      </c>
      <c r="B30" s="20">
        <f>SUMIFS(tbl_ar_mv[kWh_Dia],tbl_ar_mv[Fase],A30)/SUMIFS(tbl_ar_mv[Nm3_Dia],tbl_ar_mv[Fase],A30)</f>
        <v>0.10640434928176266</v>
      </c>
      <c r="C30" s="18">
        <f>IFERROR(AVERAGEIFS(tbl_ar_mv[Fuga_Teste_Vazio],tbl_ar_mv[Fase],A30),"")</f>
        <v>0.14099999999999999</v>
      </c>
      <c r="D30" s="21">
        <f>AVERAGEIFS(tbl_ar_mv[Pressao_Media_bar],tbl_ar_mv[Fase],A30)</f>
        <v>6.8357142857142863</v>
      </c>
      <c r="E30" s="22">
        <f>B30/B28-1</f>
        <v>-0.20400807491737627</v>
      </c>
      <c r="F30" s="16">
        <f>(B28*SUMIFS(tbl_ar_mv[Nm3_Dia],tbl_ar_mv[Fase],A30)-SUMIFS(tbl_ar_mv[kWh_Dia],tbl_ar_mv[Fase],A30))*52/1000</f>
        <v>177.89274527270237</v>
      </c>
      <c r="G30" s="23" t="s">
        <v>219</v>
      </c>
    </row>
    <row r="32" spans="1:9" ht="303.60000000000002" x14ac:dyDescent="0.3">
      <c r="A32" s="14" t="s">
        <v>220</v>
      </c>
      <c r="B32" s="6" t="s">
        <v>221</v>
      </c>
    </row>
  </sheetData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17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4" customWidth="1"/>
    <col min="2" max="2" width="7" customWidth="1"/>
    <col min="3" max="3" width="11" customWidth="1"/>
    <col min="4" max="4" width="10" customWidth="1"/>
    <col min="5" max="5" width="60" customWidth="1"/>
    <col min="6" max="6" width="8" customWidth="1"/>
    <col min="7" max="7" width="34" customWidth="1"/>
    <col min="8" max="8" width="9" customWidth="1"/>
  </cols>
  <sheetData>
    <row r="1" spans="1:8" ht="17.399999999999999" x14ac:dyDescent="0.3">
      <c r="A1" s="1" t="s">
        <v>222</v>
      </c>
    </row>
    <row r="4" spans="1:8" ht="26.4" x14ac:dyDescent="0.3">
      <c r="A4" s="8" t="s">
        <v>223</v>
      </c>
      <c r="B4" s="8" t="s">
        <v>129</v>
      </c>
      <c r="C4" s="8" t="s">
        <v>224</v>
      </c>
      <c r="D4" s="8" t="s">
        <v>225</v>
      </c>
      <c r="E4" s="8" t="s">
        <v>226</v>
      </c>
      <c r="F4" s="8" t="s">
        <v>227</v>
      </c>
      <c r="G4" s="8" t="s">
        <v>228</v>
      </c>
      <c r="H4" s="9" t="s">
        <v>229</v>
      </c>
    </row>
    <row r="5" spans="1:8" ht="30" customHeight="1" x14ac:dyDescent="0.3">
      <c r="A5" s="10" t="s">
        <v>230</v>
      </c>
      <c r="B5" s="10" t="s">
        <v>152</v>
      </c>
      <c r="C5" s="11">
        <v>46296</v>
      </c>
      <c r="D5" s="16">
        <v>8202</v>
      </c>
      <c r="E5" s="10" t="s">
        <v>231</v>
      </c>
      <c r="F5" s="18">
        <v>0.15</v>
      </c>
      <c r="G5" s="10" t="s">
        <v>232</v>
      </c>
      <c r="H5" s="24">
        <f t="shared" ref="H5:H10" si="0">IF(A5="","",D5*F5)</f>
        <v>1230.3</v>
      </c>
    </row>
    <row r="6" spans="1:8" ht="30" customHeight="1" x14ac:dyDescent="0.3">
      <c r="A6" s="10" t="s">
        <v>233</v>
      </c>
      <c r="B6" s="10" t="s">
        <v>165</v>
      </c>
      <c r="C6" s="11">
        <v>46296</v>
      </c>
      <c r="D6" s="16">
        <v>4330</v>
      </c>
      <c r="E6" s="10" t="s">
        <v>234</v>
      </c>
      <c r="F6" s="18">
        <v>0.1</v>
      </c>
      <c r="G6" s="10" t="s">
        <v>235</v>
      </c>
      <c r="H6" s="24">
        <f t="shared" si="0"/>
        <v>433</v>
      </c>
    </row>
    <row r="7" spans="1:8" ht="30" customHeight="1" x14ac:dyDescent="0.3">
      <c r="A7" s="10" t="s">
        <v>236</v>
      </c>
      <c r="B7" s="10" t="s">
        <v>152</v>
      </c>
      <c r="C7" s="11">
        <v>46327</v>
      </c>
      <c r="D7" s="16">
        <v>13459</v>
      </c>
      <c r="E7" s="10" t="s">
        <v>231</v>
      </c>
      <c r="F7" s="18">
        <v>0.15</v>
      </c>
      <c r="G7" s="10" t="s">
        <v>232</v>
      </c>
      <c r="H7" s="24">
        <f t="shared" si="0"/>
        <v>2018.85</v>
      </c>
    </row>
    <row r="8" spans="1:8" ht="30" customHeight="1" x14ac:dyDescent="0.3">
      <c r="A8" s="10" t="s">
        <v>237</v>
      </c>
      <c r="B8" s="10" t="s">
        <v>165</v>
      </c>
      <c r="C8" s="11">
        <v>46327</v>
      </c>
      <c r="D8" s="16">
        <v>10953</v>
      </c>
      <c r="E8" s="10" t="s">
        <v>234</v>
      </c>
      <c r="F8" s="18">
        <v>0.1</v>
      </c>
      <c r="G8" s="10" t="s">
        <v>235</v>
      </c>
      <c r="H8" s="24">
        <f t="shared" si="0"/>
        <v>1095.3</v>
      </c>
    </row>
    <row r="9" spans="1:8" ht="30" customHeight="1" x14ac:dyDescent="0.3">
      <c r="A9" s="10" t="s">
        <v>238</v>
      </c>
      <c r="B9" s="10" t="s">
        <v>152</v>
      </c>
      <c r="C9" s="11">
        <v>46357</v>
      </c>
      <c r="D9" s="16">
        <v>13769</v>
      </c>
      <c r="E9" s="10" t="s">
        <v>231</v>
      </c>
      <c r="F9" s="18">
        <v>0.15</v>
      </c>
      <c r="G9" s="10" t="s">
        <v>232</v>
      </c>
      <c r="H9" s="24">
        <f t="shared" si="0"/>
        <v>2065.35</v>
      </c>
    </row>
    <row r="10" spans="1:8" ht="30" customHeight="1" x14ac:dyDescent="0.3">
      <c r="A10" s="10" t="s">
        <v>239</v>
      </c>
      <c r="B10" s="10" t="s">
        <v>165</v>
      </c>
      <c r="C10" s="11">
        <v>46357</v>
      </c>
      <c r="D10" s="16">
        <v>19015</v>
      </c>
      <c r="E10" s="10" t="s">
        <v>234</v>
      </c>
      <c r="F10" s="18">
        <v>0.1</v>
      </c>
      <c r="G10" s="10" t="s">
        <v>235</v>
      </c>
      <c r="H10" s="24">
        <f t="shared" si="0"/>
        <v>1901.5</v>
      </c>
    </row>
    <row r="12" spans="1:8" x14ac:dyDescent="0.3">
      <c r="A12" s="29" t="s">
        <v>240</v>
      </c>
      <c r="B12" s="30"/>
      <c r="C12" s="31"/>
      <c r="D12" s="25">
        <f>SUM(tbl_poupancas[kWh_Poupados])</f>
        <v>69728</v>
      </c>
    </row>
    <row r="13" spans="1:8" x14ac:dyDescent="0.3">
      <c r="A13" s="29" t="s">
        <v>241</v>
      </c>
      <c r="B13" s="30"/>
      <c r="C13" s="31"/>
      <c r="D13" s="25">
        <f>SQRT(SUMSQ(tbl_poupancas[Incerteza_kWh]))</f>
        <v>3854.5995090281431</v>
      </c>
    </row>
    <row r="14" spans="1:8" x14ac:dyDescent="0.3">
      <c r="A14" s="29" t="s">
        <v>242</v>
      </c>
      <c r="B14" s="30"/>
      <c r="C14" s="31"/>
      <c r="D14" s="25">
        <v>91930</v>
      </c>
    </row>
    <row r="15" spans="1:8" x14ac:dyDescent="0.3">
      <c r="A15" s="29" t="s">
        <v>243</v>
      </c>
      <c r="B15" s="30"/>
      <c r="C15" s="31"/>
      <c r="D15" s="25">
        <f>D14-D12</f>
        <v>22202</v>
      </c>
    </row>
    <row r="16" spans="1:8" x14ac:dyDescent="0.3">
      <c r="A16" s="29" t="s">
        <v>244</v>
      </c>
      <c r="B16" s="30"/>
      <c r="C16" s="31"/>
      <c r="D16" s="14" t="str">
        <f>IF(ABS(D15)&lt;=D13+61121,"Coerente","Investigar")</f>
        <v>Coerente</v>
      </c>
    </row>
    <row r="17" spans="1:1" ht="369.6" x14ac:dyDescent="0.3">
      <c r="A17" s="6" t="s">
        <v>245</v>
      </c>
    </row>
  </sheetData>
  <mergeCells count="5">
    <mergeCell ref="A13:C13"/>
    <mergeCell ref="A14:C14"/>
    <mergeCell ref="A12:C12"/>
    <mergeCell ref="A16:C16"/>
    <mergeCell ref="A15:C15"/>
  </mergeCell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4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16" customWidth="1"/>
    <col min="2" max="2" width="48" customWidth="1"/>
  </cols>
  <sheetData>
    <row r="1" spans="1:2" x14ac:dyDescent="0.3">
      <c r="A1" s="26" t="s">
        <v>246</v>
      </c>
    </row>
    <row r="2" spans="1:2" x14ac:dyDescent="0.3">
      <c r="A2" s="27" t="s">
        <v>247</v>
      </c>
      <c r="B2" s="27" t="s">
        <v>248</v>
      </c>
    </row>
    <row r="3" spans="1:2" x14ac:dyDescent="0.3">
      <c r="A3" s="28">
        <v>46387</v>
      </c>
      <c r="B3" s="6" t="s">
        <v>249</v>
      </c>
    </row>
    <row r="4" spans="1:2" x14ac:dyDescent="0.3">
      <c r="B4" s="6" t="s">
        <v>250</v>
      </c>
    </row>
    <row r="5" spans="1:2" ht="26.4" x14ac:dyDescent="0.3">
      <c r="B5" s="6" t="s">
        <v>97</v>
      </c>
    </row>
    <row r="6" spans="1:2" x14ac:dyDescent="0.3">
      <c r="B6" s="6" t="s">
        <v>251</v>
      </c>
    </row>
    <row r="7" spans="1:2" x14ac:dyDescent="0.3">
      <c r="B7" s="6" t="s">
        <v>164</v>
      </c>
    </row>
    <row r="8" spans="1:2" x14ac:dyDescent="0.3">
      <c r="B8" s="6" t="s">
        <v>111</v>
      </c>
    </row>
    <row r="9" spans="1:2" x14ac:dyDescent="0.3">
      <c r="B9" s="6" t="s">
        <v>252</v>
      </c>
    </row>
    <row r="10" spans="1:2" x14ac:dyDescent="0.3">
      <c r="B10" s="6" t="s">
        <v>253</v>
      </c>
    </row>
    <row r="11" spans="1:2" x14ac:dyDescent="0.3">
      <c r="B11" s="6" t="s">
        <v>104</v>
      </c>
    </row>
    <row r="12" spans="1:2" x14ac:dyDescent="0.3">
      <c r="B12" s="6" t="s">
        <v>254</v>
      </c>
    </row>
    <row r="13" spans="1:2" x14ac:dyDescent="0.3">
      <c r="B13" s="6" t="s">
        <v>255</v>
      </c>
    </row>
    <row r="14" spans="1:2" x14ac:dyDescent="0.3">
      <c r="B14" s="6" t="s">
        <v>256</v>
      </c>
    </row>
    <row r="15" spans="1:2" x14ac:dyDescent="0.3">
      <c r="B15" s="6" t="s">
        <v>257</v>
      </c>
    </row>
    <row r="16" spans="1:2" x14ac:dyDescent="0.3">
      <c r="B16" s="6" t="s">
        <v>258</v>
      </c>
    </row>
    <row r="17" spans="2:2" x14ac:dyDescent="0.3">
      <c r="B17" s="6" t="s">
        <v>259</v>
      </c>
    </row>
    <row r="18" spans="2:2" x14ac:dyDescent="0.3">
      <c r="B18" s="6" t="s">
        <v>260</v>
      </c>
    </row>
    <row r="19" spans="2:2" x14ac:dyDescent="0.3">
      <c r="B19" s="6" t="s">
        <v>261</v>
      </c>
    </row>
    <row r="20" spans="2:2" x14ac:dyDescent="0.3">
      <c r="B20" s="6" t="s">
        <v>262</v>
      </c>
    </row>
    <row r="21" spans="2:2" x14ac:dyDescent="0.3">
      <c r="B21" s="6" t="s">
        <v>263</v>
      </c>
    </row>
    <row r="22" spans="2:2" x14ac:dyDescent="0.3">
      <c r="B22" s="6" t="s">
        <v>264</v>
      </c>
    </row>
    <row r="23" spans="2:2" x14ac:dyDescent="0.3">
      <c r="B23" s="6" t="s">
        <v>265</v>
      </c>
    </row>
    <row r="24" spans="2:2" x14ac:dyDescent="0.3">
      <c r="B24" s="6" t="s">
        <v>266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3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2" customWidth="1"/>
    <col min="2" max="2" width="24" customWidth="1"/>
    <col min="3" max="3" width="30" customWidth="1"/>
    <col min="4" max="4" width="16" customWidth="1"/>
    <col min="5" max="5" width="18" customWidth="1"/>
    <col min="6" max="6" width="70" customWidth="1"/>
    <col min="7" max="7" width="36" customWidth="1"/>
    <col min="8" max="8" width="11" customWidth="1"/>
    <col min="9" max="9" width="12" customWidth="1"/>
  </cols>
  <sheetData>
    <row r="1" spans="1:9" x14ac:dyDescent="0.3">
      <c r="A1" s="8" t="s">
        <v>267</v>
      </c>
      <c r="B1" s="8" t="s">
        <v>268</v>
      </c>
      <c r="C1" s="8" t="s">
        <v>269</v>
      </c>
      <c r="D1" s="8" t="s">
        <v>270</v>
      </c>
      <c r="E1" s="8" t="s">
        <v>271</v>
      </c>
      <c r="F1" s="8" t="s">
        <v>84</v>
      </c>
      <c r="G1" s="8" t="s">
        <v>272</v>
      </c>
      <c r="H1" s="8" t="s">
        <v>273</v>
      </c>
      <c r="I1" s="8" t="s">
        <v>274</v>
      </c>
    </row>
    <row r="2" spans="1:9" x14ac:dyDescent="0.3">
      <c r="A2" s="23" t="s">
        <v>44</v>
      </c>
      <c r="B2" s="23" t="s">
        <v>275</v>
      </c>
      <c r="C2" s="23" t="s">
        <v>80</v>
      </c>
      <c r="D2" s="23" t="s">
        <v>276</v>
      </c>
      <c r="E2" s="23" t="s">
        <v>277</v>
      </c>
      <c r="F2" s="23" t="s">
        <v>278</v>
      </c>
      <c r="G2" s="23"/>
      <c r="H2" s="23" t="s">
        <v>201</v>
      </c>
      <c r="I2" s="23" t="s">
        <v>279</v>
      </c>
    </row>
    <row r="3" spans="1:9" ht="26.4" x14ac:dyDescent="0.3">
      <c r="A3" s="23" t="s">
        <v>44</v>
      </c>
      <c r="B3" s="23" t="s">
        <v>275</v>
      </c>
      <c r="C3" s="23" t="s">
        <v>81</v>
      </c>
      <c r="D3" s="23" t="s">
        <v>280</v>
      </c>
      <c r="E3" s="23" t="s">
        <v>277</v>
      </c>
      <c r="F3" s="23" t="s">
        <v>281</v>
      </c>
      <c r="G3" s="23"/>
      <c r="H3" s="23" t="s">
        <v>201</v>
      </c>
      <c r="I3" s="23"/>
    </row>
    <row r="4" spans="1:9" ht="26.4" x14ac:dyDescent="0.3">
      <c r="A4" s="23" t="s">
        <v>44</v>
      </c>
      <c r="B4" s="23" t="s">
        <v>275</v>
      </c>
      <c r="C4" s="23" t="s">
        <v>82</v>
      </c>
      <c r="D4" s="23" t="s">
        <v>280</v>
      </c>
      <c r="E4" s="23" t="s">
        <v>277</v>
      </c>
      <c r="F4" s="23" t="s">
        <v>282</v>
      </c>
      <c r="G4" s="23"/>
      <c r="H4" s="23" t="s">
        <v>201</v>
      </c>
      <c r="I4" s="23"/>
    </row>
    <row r="5" spans="1:9" x14ac:dyDescent="0.3">
      <c r="A5" s="23" t="s">
        <v>44</v>
      </c>
      <c r="B5" s="23" t="s">
        <v>275</v>
      </c>
      <c r="C5" s="23" t="s">
        <v>83</v>
      </c>
      <c r="D5" s="23" t="s">
        <v>276</v>
      </c>
      <c r="E5" s="23" t="s">
        <v>277</v>
      </c>
      <c r="F5" s="23" t="s">
        <v>283</v>
      </c>
      <c r="G5" s="23"/>
      <c r="H5" s="23" t="s">
        <v>201</v>
      </c>
      <c r="I5" s="23"/>
    </row>
    <row r="6" spans="1:9" x14ac:dyDescent="0.3">
      <c r="A6" s="23" t="s">
        <v>44</v>
      </c>
      <c r="B6" s="23" t="s">
        <v>275</v>
      </c>
      <c r="C6" s="23" t="s">
        <v>84</v>
      </c>
      <c r="D6" s="23" t="s">
        <v>276</v>
      </c>
      <c r="E6" s="23" t="s">
        <v>277</v>
      </c>
      <c r="F6" s="23" t="s">
        <v>284</v>
      </c>
      <c r="G6" s="23"/>
      <c r="H6" s="23" t="s">
        <v>201</v>
      </c>
      <c r="I6" s="23"/>
    </row>
    <row r="7" spans="1:9" x14ac:dyDescent="0.3">
      <c r="A7" s="23" t="s">
        <v>44</v>
      </c>
      <c r="B7" s="23" t="s">
        <v>275</v>
      </c>
      <c r="C7" s="23" t="s">
        <v>85</v>
      </c>
      <c r="D7" s="23" t="s">
        <v>276</v>
      </c>
      <c r="E7" s="23" t="s">
        <v>277</v>
      </c>
      <c r="F7" s="23" t="s">
        <v>285</v>
      </c>
      <c r="G7" s="23"/>
      <c r="H7" s="23" t="s">
        <v>201</v>
      </c>
      <c r="I7" s="23"/>
    </row>
    <row r="8" spans="1:9" x14ac:dyDescent="0.3">
      <c r="A8" s="23" t="s">
        <v>44</v>
      </c>
      <c r="B8" s="23" t="s">
        <v>275</v>
      </c>
      <c r="C8" s="23" t="s">
        <v>86</v>
      </c>
      <c r="D8" s="23" t="s">
        <v>276</v>
      </c>
      <c r="E8" s="23" t="s">
        <v>277</v>
      </c>
      <c r="F8" s="23" t="s">
        <v>286</v>
      </c>
      <c r="G8" s="23"/>
      <c r="H8" s="23" t="s">
        <v>201</v>
      </c>
      <c r="I8" s="23"/>
    </row>
    <row r="9" spans="1:9" ht="26.4" x14ac:dyDescent="0.3">
      <c r="A9" s="23" t="s">
        <v>44</v>
      </c>
      <c r="B9" s="23" t="s">
        <v>275</v>
      </c>
      <c r="C9" s="23" t="s">
        <v>87</v>
      </c>
      <c r="D9" s="23" t="s">
        <v>280</v>
      </c>
      <c r="E9" s="23" t="s">
        <v>277</v>
      </c>
      <c r="F9" s="23" t="s">
        <v>287</v>
      </c>
      <c r="G9" s="23"/>
      <c r="H9" s="23" t="s">
        <v>207</v>
      </c>
      <c r="I9" s="23"/>
    </row>
    <row r="10" spans="1:9" x14ac:dyDescent="0.3">
      <c r="A10" s="23" t="s">
        <v>44</v>
      </c>
      <c r="B10" s="23" t="s">
        <v>275</v>
      </c>
      <c r="C10" s="23" t="s">
        <v>88</v>
      </c>
      <c r="D10" s="23" t="s">
        <v>276</v>
      </c>
      <c r="E10" s="23" t="s">
        <v>277</v>
      </c>
      <c r="F10" s="23" t="s">
        <v>288</v>
      </c>
      <c r="G10" s="23" t="s">
        <v>289</v>
      </c>
      <c r="H10" s="23" t="s">
        <v>201</v>
      </c>
      <c r="I10" s="23"/>
    </row>
    <row r="11" spans="1:9" ht="39.6" x14ac:dyDescent="0.3">
      <c r="A11" s="23" t="s">
        <v>44</v>
      </c>
      <c r="B11" s="23" t="s">
        <v>275</v>
      </c>
      <c r="C11" s="23" t="s">
        <v>89</v>
      </c>
      <c r="D11" s="23" t="s">
        <v>276</v>
      </c>
      <c r="E11" s="23" t="s">
        <v>277</v>
      </c>
      <c r="F11" s="23" t="s">
        <v>290</v>
      </c>
      <c r="G11" s="23"/>
      <c r="H11" s="23" t="s">
        <v>207</v>
      </c>
      <c r="I11" s="23" t="s">
        <v>291</v>
      </c>
    </row>
    <row r="12" spans="1:9" x14ac:dyDescent="0.3">
      <c r="A12" s="23" t="s">
        <v>44</v>
      </c>
      <c r="B12" s="23" t="s">
        <v>275</v>
      </c>
      <c r="C12" s="23" t="s">
        <v>90</v>
      </c>
      <c r="D12" s="23" t="s">
        <v>292</v>
      </c>
      <c r="E12" s="23" t="s">
        <v>293</v>
      </c>
      <c r="F12" s="23" t="s">
        <v>294</v>
      </c>
      <c r="G12" s="23"/>
      <c r="H12" s="23" t="s">
        <v>201</v>
      </c>
      <c r="I12" s="23"/>
    </row>
    <row r="13" spans="1:9" x14ac:dyDescent="0.3">
      <c r="A13" s="23" t="s">
        <v>44</v>
      </c>
      <c r="B13" s="23" t="s">
        <v>275</v>
      </c>
      <c r="C13" s="23" t="s">
        <v>91</v>
      </c>
      <c r="D13" s="23" t="s">
        <v>276</v>
      </c>
      <c r="E13" s="23" t="s">
        <v>293</v>
      </c>
      <c r="F13" s="23" t="s">
        <v>295</v>
      </c>
      <c r="G13" s="23"/>
      <c r="H13" s="23" t="s">
        <v>201</v>
      </c>
      <c r="I13" s="23"/>
    </row>
    <row r="14" spans="1:9" x14ac:dyDescent="0.3">
      <c r="A14" s="23" t="s">
        <v>46</v>
      </c>
      <c r="B14" s="23" t="s">
        <v>296</v>
      </c>
      <c r="C14" s="23" t="s">
        <v>129</v>
      </c>
      <c r="D14" s="23" t="s">
        <v>276</v>
      </c>
      <c r="E14" s="23" t="s">
        <v>277</v>
      </c>
      <c r="F14" s="23" t="s">
        <v>297</v>
      </c>
      <c r="G14" s="23"/>
      <c r="H14" s="23" t="s">
        <v>201</v>
      </c>
      <c r="I14" s="23" t="s">
        <v>279</v>
      </c>
    </row>
    <row r="15" spans="1:9" x14ac:dyDescent="0.3">
      <c r="A15" s="23" t="s">
        <v>46</v>
      </c>
      <c r="B15" s="23" t="s">
        <v>296</v>
      </c>
      <c r="C15" s="23" t="s">
        <v>130</v>
      </c>
      <c r="D15" s="23" t="s">
        <v>276</v>
      </c>
      <c r="E15" s="23" t="s">
        <v>277</v>
      </c>
      <c r="F15" s="23" t="s">
        <v>298</v>
      </c>
      <c r="G15" s="23"/>
      <c r="H15" s="23" t="s">
        <v>201</v>
      </c>
      <c r="I15" s="23"/>
    </row>
    <row r="16" spans="1:9" x14ac:dyDescent="0.3">
      <c r="A16" s="23" t="s">
        <v>46</v>
      </c>
      <c r="B16" s="23" t="s">
        <v>296</v>
      </c>
      <c r="C16" s="23" t="s">
        <v>131</v>
      </c>
      <c r="D16" s="23" t="s">
        <v>276</v>
      </c>
      <c r="E16" s="23" t="s">
        <v>277</v>
      </c>
      <c r="F16" s="23" t="s">
        <v>299</v>
      </c>
      <c r="G16" s="23"/>
      <c r="H16" s="23" t="s">
        <v>201</v>
      </c>
      <c r="I16" s="23"/>
    </row>
    <row r="17" spans="1:9" x14ac:dyDescent="0.3">
      <c r="A17" s="23" t="s">
        <v>46</v>
      </c>
      <c r="B17" s="23" t="s">
        <v>296</v>
      </c>
      <c r="C17" s="23" t="s">
        <v>132</v>
      </c>
      <c r="D17" s="23" t="s">
        <v>276</v>
      </c>
      <c r="E17" s="23" t="s">
        <v>277</v>
      </c>
      <c r="F17" s="23" t="s">
        <v>300</v>
      </c>
      <c r="G17" s="23"/>
      <c r="H17" s="23" t="s">
        <v>201</v>
      </c>
      <c r="I17" s="23"/>
    </row>
    <row r="18" spans="1:9" x14ac:dyDescent="0.3">
      <c r="A18" s="23" t="s">
        <v>46</v>
      </c>
      <c r="B18" s="23" t="s">
        <v>296</v>
      </c>
      <c r="C18" s="23" t="s">
        <v>133</v>
      </c>
      <c r="D18" s="23" t="s">
        <v>276</v>
      </c>
      <c r="E18" s="23" t="s">
        <v>277</v>
      </c>
      <c r="F18" s="23" t="s">
        <v>301</v>
      </c>
      <c r="G18" s="23"/>
      <c r="H18" s="23" t="s">
        <v>201</v>
      </c>
      <c r="I18" s="23"/>
    </row>
    <row r="19" spans="1:9" x14ac:dyDescent="0.3">
      <c r="A19" s="23" t="s">
        <v>46</v>
      </c>
      <c r="B19" s="23" t="s">
        <v>296</v>
      </c>
      <c r="C19" s="23" t="s">
        <v>134</v>
      </c>
      <c r="D19" s="23" t="s">
        <v>276</v>
      </c>
      <c r="E19" s="23" t="s">
        <v>277</v>
      </c>
      <c r="F19" s="23" t="s">
        <v>302</v>
      </c>
      <c r="G19" s="23"/>
      <c r="H19" s="23" t="s">
        <v>201</v>
      </c>
      <c r="I19" s="23"/>
    </row>
    <row r="20" spans="1:9" x14ac:dyDescent="0.3">
      <c r="A20" s="23" t="s">
        <v>46</v>
      </c>
      <c r="B20" s="23" t="s">
        <v>296</v>
      </c>
      <c r="C20" s="23" t="s">
        <v>135</v>
      </c>
      <c r="D20" s="23" t="s">
        <v>276</v>
      </c>
      <c r="E20" s="23" t="s">
        <v>277</v>
      </c>
      <c r="F20" s="23" t="s">
        <v>303</v>
      </c>
      <c r="G20" s="23"/>
      <c r="H20" s="23" t="s">
        <v>201</v>
      </c>
      <c r="I20" s="23"/>
    </row>
    <row r="21" spans="1:9" x14ac:dyDescent="0.3">
      <c r="A21" s="23" t="s">
        <v>46</v>
      </c>
      <c r="B21" s="23" t="s">
        <v>296</v>
      </c>
      <c r="C21" s="23" t="s">
        <v>136</v>
      </c>
      <c r="D21" s="23" t="s">
        <v>276</v>
      </c>
      <c r="E21" s="23" t="s">
        <v>277</v>
      </c>
      <c r="F21" s="23" t="s">
        <v>304</v>
      </c>
      <c r="G21" s="23"/>
      <c r="H21" s="23" t="s">
        <v>201</v>
      </c>
      <c r="I21" s="23"/>
    </row>
    <row r="22" spans="1:9" x14ac:dyDescent="0.3">
      <c r="A22" s="23" t="s">
        <v>46</v>
      </c>
      <c r="B22" s="23" t="s">
        <v>296</v>
      </c>
      <c r="C22" s="23" t="s">
        <v>137</v>
      </c>
      <c r="D22" s="23" t="s">
        <v>276</v>
      </c>
      <c r="E22" s="23" t="s">
        <v>277</v>
      </c>
      <c r="F22" s="23" t="s">
        <v>305</v>
      </c>
      <c r="G22" s="23"/>
      <c r="H22" s="23" t="s">
        <v>201</v>
      </c>
      <c r="I22" s="23"/>
    </row>
    <row r="23" spans="1:9" x14ac:dyDescent="0.3">
      <c r="A23" s="23" t="s">
        <v>46</v>
      </c>
      <c r="B23" s="23" t="s">
        <v>296</v>
      </c>
      <c r="C23" s="23" t="s">
        <v>138</v>
      </c>
      <c r="D23" s="23" t="s">
        <v>276</v>
      </c>
      <c r="E23" s="23" t="s">
        <v>277</v>
      </c>
      <c r="F23" s="23" t="s">
        <v>306</v>
      </c>
      <c r="G23" s="23"/>
      <c r="H23" s="23" t="s">
        <v>201</v>
      </c>
      <c r="I23" s="23"/>
    </row>
    <row r="24" spans="1:9" x14ac:dyDescent="0.3">
      <c r="A24" s="23" t="s">
        <v>46</v>
      </c>
      <c r="B24" s="23" t="s">
        <v>296</v>
      </c>
      <c r="C24" s="23" t="s">
        <v>139</v>
      </c>
      <c r="D24" s="23" t="s">
        <v>276</v>
      </c>
      <c r="E24" s="23" t="s">
        <v>277</v>
      </c>
      <c r="F24" s="23" t="s">
        <v>307</v>
      </c>
      <c r="G24" s="23"/>
      <c r="H24" s="23" t="s">
        <v>201</v>
      </c>
      <c r="I24" s="23"/>
    </row>
    <row r="25" spans="1:9" x14ac:dyDescent="0.3">
      <c r="A25" s="23" t="s">
        <v>46</v>
      </c>
      <c r="B25" s="23" t="s">
        <v>296</v>
      </c>
      <c r="C25" s="23" t="s">
        <v>140</v>
      </c>
      <c r="D25" s="23" t="s">
        <v>276</v>
      </c>
      <c r="E25" s="23" t="s">
        <v>277</v>
      </c>
      <c r="F25" s="23" t="s">
        <v>308</v>
      </c>
      <c r="G25" s="23"/>
      <c r="H25" s="23" t="s">
        <v>201</v>
      </c>
      <c r="I25" s="23"/>
    </row>
    <row r="26" spans="1:9" x14ac:dyDescent="0.3">
      <c r="A26" s="23" t="s">
        <v>46</v>
      </c>
      <c r="B26" s="23" t="s">
        <v>296</v>
      </c>
      <c r="C26" s="23" t="s">
        <v>88</v>
      </c>
      <c r="D26" s="23" t="s">
        <v>276</v>
      </c>
      <c r="E26" s="23" t="s">
        <v>277</v>
      </c>
      <c r="F26" s="23" t="s">
        <v>288</v>
      </c>
      <c r="G26" s="23" t="s">
        <v>289</v>
      </c>
      <c r="H26" s="23" t="s">
        <v>201</v>
      </c>
      <c r="I26" s="23"/>
    </row>
    <row r="27" spans="1:9" x14ac:dyDescent="0.3">
      <c r="A27" s="23" t="s">
        <v>48</v>
      </c>
      <c r="B27" s="23" t="s">
        <v>309</v>
      </c>
      <c r="C27" s="23" t="s">
        <v>190</v>
      </c>
      <c r="D27" s="23" t="s">
        <v>276</v>
      </c>
      <c r="E27" s="23" t="s">
        <v>277</v>
      </c>
      <c r="F27" s="23" t="s">
        <v>310</v>
      </c>
      <c r="G27" s="23"/>
      <c r="H27" s="23" t="s">
        <v>201</v>
      </c>
      <c r="I27" s="23"/>
    </row>
    <row r="28" spans="1:9" ht="26.4" x14ac:dyDescent="0.3">
      <c r="A28" s="23" t="s">
        <v>48</v>
      </c>
      <c r="B28" s="23" t="s">
        <v>309</v>
      </c>
      <c r="C28" s="23" t="s">
        <v>191</v>
      </c>
      <c r="D28" s="23" t="s">
        <v>280</v>
      </c>
      <c r="E28" s="23" t="s">
        <v>277</v>
      </c>
      <c r="F28" s="23" t="s">
        <v>311</v>
      </c>
      <c r="G28" s="23"/>
      <c r="H28" s="23" t="s">
        <v>201</v>
      </c>
      <c r="I28" s="23" t="s">
        <v>279</v>
      </c>
    </row>
    <row r="29" spans="1:9" x14ac:dyDescent="0.3">
      <c r="A29" s="23" t="s">
        <v>48</v>
      </c>
      <c r="B29" s="23" t="s">
        <v>309</v>
      </c>
      <c r="C29" s="23" t="s">
        <v>192</v>
      </c>
      <c r="D29" s="23" t="s">
        <v>276</v>
      </c>
      <c r="E29" s="23" t="s">
        <v>277</v>
      </c>
      <c r="F29" s="23" t="s">
        <v>311</v>
      </c>
      <c r="G29" s="23"/>
      <c r="H29" s="23" t="s">
        <v>201</v>
      </c>
      <c r="I29" s="23"/>
    </row>
    <row r="30" spans="1:9" x14ac:dyDescent="0.3">
      <c r="A30" s="23" t="s">
        <v>48</v>
      </c>
      <c r="B30" s="23" t="s">
        <v>309</v>
      </c>
      <c r="C30" s="23" t="s">
        <v>193</v>
      </c>
      <c r="D30" s="23" t="s">
        <v>276</v>
      </c>
      <c r="E30" s="23" t="s">
        <v>277</v>
      </c>
      <c r="F30" s="23" t="s">
        <v>312</v>
      </c>
      <c r="G30" s="23"/>
      <c r="H30" s="23" t="s">
        <v>201</v>
      </c>
      <c r="I30" s="23"/>
    </row>
    <row r="31" spans="1:9" x14ac:dyDescent="0.3">
      <c r="A31" s="23" t="s">
        <v>48</v>
      </c>
      <c r="B31" s="23" t="s">
        <v>309</v>
      </c>
      <c r="C31" s="23" t="s">
        <v>194</v>
      </c>
      <c r="D31" s="23" t="s">
        <v>313</v>
      </c>
      <c r="E31" s="23" t="s">
        <v>277</v>
      </c>
      <c r="F31" s="23" t="s">
        <v>314</v>
      </c>
      <c r="G31" s="23"/>
      <c r="H31" s="23" t="s">
        <v>201</v>
      </c>
      <c r="I31" s="23"/>
    </row>
    <row r="32" spans="1:9" x14ac:dyDescent="0.3">
      <c r="A32" s="23" t="s">
        <v>48</v>
      </c>
      <c r="B32" s="23" t="s">
        <v>309</v>
      </c>
      <c r="C32" s="23" t="s">
        <v>195</v>
      </c>
      <c r="D32" s="23" t="s">
        <v>315</v>
      </c>
      <c r="E32" s="23" t="s">
        <v>277</v>
      </c>
      <c r="F32" s="23" t="s">
        <v>316</v>
      </c>
      <c r="G32" s="23"/>
      <c r="H32" s="23" t="s">
        <v>201</v>
      </c>
      <c r="I32" s="23"/>
    </row>
    <row r="33" spans="1:9" x14ac:dyDescent="0.3">
      <c r="A33" s="23" t="s">
        <v>48</v>
      </c>
      <c r="B33" s="23" t="s">
        <v>309</v>
      </c>
      <c r="C33" s="23" t="s">
        <v>196</v>
      </c>
      <c r="D33" s="23" t="s">
        <v>313</v>
      </c>
      <c r="E33" s="23" t="s">
        <v>277</v>
      </c>
      <c r="F33" s="23" t="s">
        <v>317</v>
      </c>
      <c r="G33" s="23"/>
      <c r="H33" s="23" t="s">
        <v>201</v>
      </c>
      <c r="I33" s="23"/>
    </row>
    <row r="34" spans="1:9" ht="26.4" x14ac:dyDescent="0.3">
      <c r="A34" s="23" t="s">
        <v>48</v>
      </c>
      <c r="B34" s="23" t="s">
        <v>309</v>
      </c>
      <c r="C34" s="23" t="s">
        <v>197</v>
      </c>
      <c r="D34" s="23" t="s">
        <v>318</v>
      </c>
      <c r="E34" s="23" t="s">
        <v>277</v>
      </c>
      <c r="F34" s="23" t="s">
        <v>319</v>
      </c>
      <c r="G34" s="23"/>
      <c r="H34" s="23" t="s">
        <v>207</v>
      </c>
      <c r="I34" s="23"/>
    </row>
    <row r="35" spans="1:9" x14ac:dyDescent="0.3">
      <c r="A35" s="23" t="s">
        <v>48</v>
      </c>
      <c r="B35" s="23" t="s">
        <v>309</v>
      </c>
      <c r="C35" s="23" t="s">
        <v>198</v>
      </c>
      <c r="D35" s="23" t="s">
        <v>313</v>
      </c>
      <c r="E35" s="23" t="s">
        <v>293</v>
      </c>
      <c r="F35" s="23" t="s">
        <v>320</v>
      </c>
      <c r="G35" s="23"/>
      <c r="H35" s="23" t="s">
        <v>201</v>
      </c>
      <c r="I35" s="23"/>
    </row>
    <row r="36" spans="1:9" x14ac:dyDescent="0.3">
      <c r="A36" s="23" t="s">
        <v>50</v>
      </c>
      <c r="B36" s="23" t="s">
        <v>321</v>
      </c>
      <c r="C36" s="23" t="s">
        <v>223</v>
      </c>
      <c r="D36" s="23" t="s">
        <v>276</v>
      </c>
      <c r="E36" s="23" t="s">
        <v>277</v>
      </c>
      <c r="F36" s="23" t="s">
        <v>322</v>
      </c>
      <c r="G36" s="23"/>
      <c r="H36" s="23" t="s">
        <v>201</v>
      </c>
      <c r="I36" s="23" t="s">
        <v>279</v>
      </c>
    </row>
    <row r="37" spans="1:9" ht="39.6" x14ac:dyDescent="0.3">
      <c r="A37" s="23" t="s">
        <v>50</v>
      </c>
      <c r="B37" s="23" t="s">
        <v>321</v>
      </c>
      <c r="C37" s="23" t="s">
        <v>129</v>
      </c>
      <c r="D37" s="23" t="s">
        <v>276</v>
      </c>
      <c r="E37" s="23" t="s">
        <v>277</v>
      </c>
      <c r="F37" s="23" t="s">
        <v>297</v>
      </c>
      <c r="G37" s="23"/>
      <c r="H37" s="23" t="s">
        <v>201</v>
      </c>
      <c r="I37" s="23" t="s">
        <v>323</v>
      </c>
    </row>
    <row r="38" spans="1:9" ht="26.4" x14ac:dyDescent="0.3">
      <c r="A38" s="23" t="s">
        <v>50</v>
      </c>
      <c r="B38" s="23" t="s">
        <v>321</v>
      </c>
      <c r="C38" s="23" t="s">
        <v>224</v>
      </c>
      <c r="D38" s="23" t="s">
        <v>280</v>
      </c>
      <c r="E38" s="23" t="s">
        <v>277</v>
      </c>
      <c r="F38" s="23" t="s">
        <v>324</v>
      </c>
      <c r="G38" s="23"/>
      <c r="H38" s="23" t="s">
        <v>201</v>
      </c>
      <c r="I38" s="23"/>
    </row>
    <row r="39" spans="1:9" x14ac:dyDescent="0.3">
      <c r="A39" s="23" t="s">
        <v>50</v>
      </c>
      <c r="B39" s="23" t="s">
        <v>321</v>
      </c>
      <c r="C39" s="23" t="s">
        <v>225</v>
      </c>
      <c r="D39" s="23" t="s">
        <v>315</v>
      </c>
      <c r="E39" s="23" t="s">
        <v>277</v>
      </c>
      <c r="F39" s="23" t="s">
        <v>325</v>
      </c>
      <c r="G39" s="23"/>
      <c r="H39" s="23" t="s">
        <v>201</v>
      </c>
      <c r="I39" s="23"/>
    </row>
    <row r="40" spans="1:9" x14ac:dyDescent="0.3">
      <c r="A40" s="23" t="s">
        <v>50</v>
      </c>
      <c r="B40" s="23" t="s">
        <v>321</v>
      </c>
      <c r="C40" s="23" t="s">
        <v>226</v>
      </c>
      <c r="D40" s="23" t="s">
        <v>276</v>
      </c>
      <c r="E40" s="23" t="s">
        <v>277</v>
      </c>
      <c r="F40" s="23" t="s">
        <v>326</v>
      </c>
      <c r="G40" s="23"/>
      <c r="H40" s="23" t="s">
        <v>201</v>
      </c>
      <c r="I40" s="23"/>
    </row>
    <row r="41" spans="1:9" ht="26.4" x14ac:dyDescent="0.3">
      <c r="A41" s="23" t="s">
        <v>50</v>
      </c>
      <c r="B41" s="23" t="s">
        <v>321</v>
      </c>
      <c r="C41" s="23" t="s">
        <v>227</v>
      </c>
      <c r="D41" s="23" t="s">
        <v>318</v>
      </c>
      <c r="E41" s="23" t="s">
        <v>277</v>
      </c>
      <c r="F41" s="23" t="s">
        <v>327</v>
      </c>
      <c r="G41" s="23"/>
      <c r="H41" s="23" t="s">
        <v>201</v>
      </c>
      <c r="I41" s="23"/>
    </row>
    <row r="42" spans="1:9" x14ac:dyDescent="0.3">
      <c r="A42" s="23" t="s">
        <v>50</v>
      </c>
      <c r="B42" s="23" t="s">
        <v>321</v>
      </c>
      <c r="C42" s="23" t="s">
        <v>228</v>
      </c>
      <c r="D42" s="23" t="s">
        <v>276</v>
      </c>
      <c r="E42" s="23" t="s">
        <v>277</v>
      </c>
      <c r="F42" s="23" t="s">
        <v>328</v>
      </c>
      <c r="G42" s="23"/>
      <c r="H42" s="23" t="s">
        <v>201</v>
      </c>
      <c r="I42" s="23"/>
    </row>
    <row r="43" spans="1:9" x14ac:dyDescent="0.3">
      <c r="A43" s="23" t="s">
        <v>50</v>
      </c>
      <c r="B43" s="23" t="s">
        <v>321</v>
      </c>
      <c r="C43" s="23" t="s">
        <v>229</v>
      </c>
      <c r="D43" s="23" t="s">
        <v>315</v>
      </c>
      <c r="E43" s="23" t="s">
        <v>293</v>
      </c>
      <c r="F43" s="23" t="s">
        <v>329</v>
      </c>
      <c r="G43" s="23"/>
      <c r="H43" s="23" t="s">
        <v>201</v>
      </c>
      <c r="I43" s="23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7</vt:i4>
      </vt:variant>
      <vt:variant>
        <vt:lpstr>Intervalos com Nome</vt:lpstr>
      </vt:variant>
      <vt:variant>
        <vt:i4>7</vt:i4>
      </vt:variant>
    </vt:vector>
  </HeadingPairs>
  <TitlesOfParts>
    <vt:vector size="14" baseType="lpstr">
      <vt:lpstr>00_LEIA-ME</vt:lpstr>
      <vt:lpstr>Desvios_Significativos</vt:lpstr>
      <vt:lpstr>Planos_MV</vt:lpstr>
      <vt:lpstr>Ar_Comprimido_MV</vt:lpstr>
      <vt:lpstr>Poupancas_Verificadas</vt:lpstr>
      <vt:lpstr>Listas</vt:lpstr>
      <vt:lpstr>Dicionario_Dados</vt:lpstr>
      <vt:lpstr>DataRef</vt:lpstr>
      <vt:lpstr>lst_DataReferencia</vt:lpstr>
      <vt:lpstr>lst_Funcao</vt:lpstr>
      <vt:lpstr>Ar_Comprimido_MV!Títulos_de_Impressão</vt:lpstr>
      <vt:lpstr>Desvios_Significativos!Títulos_de_Impressão</vt:lpstr>
      <vt:lpstr>Planos_MV!Títulos_de_Impressão</vt:lpstr>
      <vt:lpstr>Poupancas_Verificadas!Títulos_de_Impressão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RG-SGE-11 Desvios Significativos e Medição e Verificação das Poupanças</dc:title>
  <dc:subject>SGE NP EN ISO 50001:2019 (ISO 50001:2018 + Amd 1:2024) — Plasticom</dc:subject>
  <dc:creator>Gestor(a) de Energia</dc:creator>
  <cp:lastModifiedBy>Aline Meireles</cp:lastModifiedBy>
  <dcterms:created xsi:type="dcterms:W3CDTF">2026-09-30T16:50:22Z</dcterms:created>
  <dcterms:modified xsi:type="dcterms:W3CDTF">2026-09-30T16:50:25Z</dcterms:modified>
</cp:coreProperties>
</file>