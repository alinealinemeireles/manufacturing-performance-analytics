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7E304AB4-6297-4A1F-AA6E-C021A3480335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iscos_SGE" sheetId="2" r:id="rId2"/>
    <sheet name="Oportunidades_SGE" sheetId="3" r:id="rId3"/>
    <sheet name="Matriz_Risco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Eficacia">Listas!$E$3:$E$6</definedName>
    <definedName name="lst_Escala">Listas!$D$3:$D$7</definedName>
    <definedName name="lst_Funcao">Listas!$B$3:$B$24</definedName>
    <definedName name="lst_Opcao">Listas!$C$3:$C$9</definedName>
    <definedName name="_xlnm.Print_Titles" localSheetId="2">Oportunidades_SGE!$4:$4</definedName>
    <definedName name="_xlnm.Print_Titles" localSheetId="1">Riscos_SGE!$4:$4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H16" i="2"/>
  <c r="I16" i="2" s="1"/>
  <c r="I15" i="2"/>
  <c r="H15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I7" i="2"/>
  <c r="H7" i="2"/>
  <c r="H6" i="2"/>
  <c r="I6" i="2" s="1"/>
  <c r="H5" i="2"/>
  <c r="I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Risco (R = RG-SGA-02; RE = novo do SGE).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Onde está no registo corporativo.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Risco.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Causa.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Efeito nos resultados do SGE / desempenho energético.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1–5.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1–5.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 × I.
[calculado]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Crítico ≥ 15 · Alto ≥ 10 · Médio ≥ 5.
[calculado]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Opção de tratamento (ISO 31000).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Ação (6.1.2 a).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Integração nos processos do SGE (6.1.2 b 1).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Como se avalia a eficácia (6.1.2 b 2).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Dono.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Resultado da avaliação.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Plano de ação.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Oportunidade (O = RG-SGA-02; OE = nova).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Registo corporativo.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Oportunidade.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Benefício esperado.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1–5.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1–5.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 × B.
[calculado]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Relevância.
[calculado]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Decisão.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Ação / plano.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Como se avalia.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Dono.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</commentList>
</comments>
</file>

<file path=xl/sharedStrings.xml><?xml version="1.0" encoding="utf-8"?>
<sst xmlns="http://schemas.openxmlformats.org/spreadsheetml/2006/main" count="627" uniqueCount="332">
  <si>
    <t>RG-SGE-03 — Riscos e Oportunidades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</si>
  <si>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</si>
  <si>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</si>
  <si>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</si>
  <si>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RG-SGE-03</t>
  </si>
  <si>
    <t>Título</t>
  </si>
  <si>
    <t>Riscos e Oportunidades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</si>
  <si>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</si>
  <si>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</si>
  <si>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</si>
  <si>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</si>
  <si>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</si>
  <si>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</si>
  <si>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</si>
  <si>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</si>
  <si>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</si>
  <si>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</si>
  <si>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</si>
  <si>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</si>
  <si>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</si>
  <si>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</si>
  <si>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</si>
  <si>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Vista do registo corporativo de riscos (RG-SGA-02) com a lente da energia + 7 riscos e 4 oportunidades novos do SGE, avaliados por P × I (1–5), com tratamento, integração, método e resultado da avaliação da eficácia.</t>
  </si>
  <si>
    <t>Utilização / atividades</t>
  </si>
  <si>
    <t>Determinar os riscos e oportunidades que é preciso tratar para que o SGE atinja os resultados pretendidos (incluindo a melhoria do desempenho energético), prevenir efeitos indesejáveis e melhorar continuamente; planear as ações, a sua integração nos processos e a avaliação da eficácia.</t>
  </si>
  <si>
    <t>Requisitos ISO 50001:2018</t>
  </si>
  <si>
    <t>6.1.1 (considerar 4.1, 4.2 e rever as atividades que afetam o desempenho energético); 6.1.2 a) ações; b) 1) integrar nos processos do SGE e do desempenho energético; 2) avaliar a eficácia.</t>
  </si>
  <si>
    <t>NORMAS DE ORIENTAÇÃO E REFERÊNCIAS APLICADAS (orientação — não são requisitos auditáveis da ISO 50001)</t>
  </si>
  <si>
    <t>ISO 31000:2018</t>
  </si>
  <si>
    <t>Processo de gestão do risco (identificar, analisar, avaliar, tratar, monitorizar).</t>
  </si>
  <si>
    <t>ISO 50004:2020 §6.1</t>
  </si>
  <si>
    <t>Exemplos de riscos e oportunidades de energia (preço, fornecimento, dados, alterações).</t>
  </si>
  <si>
    <t>M-6 Planejamento (curso Bureau Veritas)</t>
  </si>
  <si>
    <t>Figura A.2 da ISO 50001: planeamento energético → riscos, revisão energética, IDE, LBE, objetivos.</t>
  </si>
  <si>
    <t>REQUISITOS LEGAIS E OUTROS REQUISITOS APLICADOS (4.2, 9.1.2 — lista completa no RG-SGE-11)</t>
  </si>
  <si>
    <t>DL 71/2008 (SGCIE)</t>
  </si>
  <si>
    <t>Risco RE-02 (metas do PREn).</t>
  </si>
  <si>
    <t>Diretiva (UE) 2023/1791, art. 11.º</t>
  </si>
  <si>
    <t>Oportunidade OE-02.</t>
  </si>
  <si>
    <t>ESTRUTURA DO FICHEIRO</t>
  </si>
  <si>
    <t>Riscos_SGE</t>
  </si>
  <si>
    <t>Riscos do SGE (6.1) — vista do RG-SGA-02 + novos.</t>
  </si>
  <si>
    <t>Oportunidades_SGE</t>
  </si>
  <si>
    <t>Oportunidades do SGE (6.1) — distintas das oportunidades técnicas da revisão energética (RG-SGE-04).</t>
  </si>
  <si>
    <t>Matriz_Risco</t>
  </si>
  <si>
    <t>Mapa de calor P × I calculado a partir de tbl_riscos_e.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</si>
  <si>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</si>
  <si>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</si>
  <si>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</si>
  <si>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</si>
  <si>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</si>
  <si>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</si>
  <si>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</si>
  <si>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</si>
  <si>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</si>
  <si>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</si>
  <si>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</si>
  <si>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</si>
  <si>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</si>
  <si>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</si>
  <si>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</si>
  <si>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</si>
  <si>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</si>
  <si>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</si>
  <si>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RG-SGA-02</t>
  </si>
  <si>
    <t>Fonte única dos riscos do SGI: os RE-/OE- devem ser incluídos lá na próxima revisão (propostos).</t>
  </si>
  <si>
    <t>RG-SGE-01</t>
  </si>
  <si>
    <t>Questões de contexto (CTX-E-xx) e partes interessadas que originam os riscos.</t>
  </si>
  <si>
    <t>RG-SGE-05</t>
  </si>
  <si>
    <t>Planos de ação (PA-E-xx).</t>
  </si>
  <si>
    <t>RISCOS DO SGE (6.1)</t>
  </si>
  <si>
    <t>R = já no registo corporativo RG-SGA-02 (fonte única) · RE = novo, proposto para inclusão no RG-SGA-02</t>
  </si>
  <si>
    <t>ID_Risco</t>
  </si>
  <si>
    <t>Origem_SGI</t>
  </si>
  <si>
    <t>Descricao</t>
  </si>
  <si>
    <t>Causa</t>
  </si>
  <si>
    <t>Efeito_no_SGE</t>
  </si>
  <si>
    <t>Probabilidade</t>
  </si>
  <si>
    <t>Impacto</t>
  </si>
  <si>
    <t>Score</t>
  </si>
  <si>
    <t>Nivel</t>
  </si>
  <si>
    <t>Opcao_Tratamento</t>
  </si>
  <si>
    <t>Acao</t>
  </si>
  <si>
    <t>Integracao_Processo</t>
  </si>
  <si>
    <t>Metodo_Eficacia</t>
  </si>
  <si>
    <t>KPI</t>
  </si>
  <si>
    <t>Dono</t>
  </si>
  <si>
    <t>Prazo</t>
  </si>
  <si>
    <t>Resultado_Eficacia</t>
  </si>
  <si>
    <t>ID_Plano</t>
  </si>
  <si>
    <t>R35</t>
  </si>
  <si>
    <t>RG-SGA-02 R35</t>
  </si>
  <si>
    <t>Incapacidade de demonstrar o desempenho e a eficácia das ações por falta de submedição por processo</t>
  </si>
  <si>
    <t>Só existe o contador geral; consumos por uso por rateio</t>
  </si>
  <si>
    <t>IDE por USE e melhoria não demonstráveis; certificação em risco</t>
  </si>
  <si>
    <t>Mitigar</t>
  </si>
  <si>
    <t>6 analisadores + integração no BI; LBE por USE em 2027</t>
  </si>
  <si>
    <t>Plano de recolha de dados (RG-SGE-06)</t>
  </si>
  <si>
    <t>KPI-E-01 ≥ 90% e reconciliação ±2% com a fatura</t>
  </si>
  <si>
    <t>KPI-E-01</t>
  </si>
  <si>
    <t>Gerente de Dados / TI</t>
  </si>
  <si>
    <t>2026-12-15</t>
  </si>
  <si>
    <t>Parcialmente eficaz</t>
  </si>
  <si>
    <t>PA-E-01</t>
  </si>
  <si>
    <t>RE-01</t>
  </si>
  <si>
    <t>Novo — propor inclusão no RG-SGA-02</t>
  </si>
  <si>
    <t>Não demonstrar melhoria do desempenho energético na auditoria de certificação (ISO 50003:2021)</t>
  </si>
  <si>
    <t>No ano (mar–dez/2026) a melhoria está dentro da incerteza; só no 4.º trimestre (após as ações) é demonstrada</t>
  </si>
  <si>
    <t>Não certificação / constatação maior</t>
  </si>
  <si>
    <t>Priorizar ações de retorno rápido (OPE-01, 03, 15) e M&amp;V por ação (opção B) para demonstrar melhoria nos USE</t>
  </si>
  <si>
    <t>Planos de ação (RG-SGE-05) e M&amp;V (RG-SGE-11)</t>
  </si>
  <si>
    <t>Conclusão da LBE_Modelo = 'Melhoria DEMONSTRADA' ou poupanças verificadas por ação &gt; incerteza</t>
  </si>
  <si>
    <t>IDE-01</t>
  </si>
  <si>
    <t>Gestor(a) de Energia (líder da equipa de gestão de energia)</t>
  </si>
  <si>
    <t>2027-06-30</t>
  </si>
  <si>
    <t>PA-E-02; PA-E-03</t>
  </si>
  <si>
    <t>RE-02</t>
  </si>
  <si>
    <t>Não cumprir as metas do PREn (SGCIE: −6% do consumo específico e da intensidade energética até 2030)</t>
  </si>
  <si>
    <t>Crescimento da produção com máquinas antigas; efeito dos novos produtos no consumo específico</t>
  </si>
  <si>
    <t>Incumprimento legal (LEG-08); perda de benefícios</t>
  </si>
  <si>
    <t>Acompanhar a trajetória anual no RG-SGE-10 e antecipar OPE-06/OPE-14</t>
  </si>
  <si>
    <t>Planeamento de investimentos e REP bienal</t>
  </si>
  <si>
    <t>CEE do ano ≤ trajetória linear do PREn</t>
  </si>
  <si>
    <t>IDE-02</t>
  </si>
  <si>
    <t>2026-10-31</t>
  </si>
  <si>
    <t>Por avaliar</t>
  </si>
  <si>
    <t>PA-E-04</t>
  </si>
  <si>
    <t>RE-03</t>
  </si>
  <si>
    <t>Ultrapassar a potência contratada (1 400 kW) nos meses quentes com as linhas novas</t>
  </si>
  <si>
    <t>Potência tomada de 1 429 kW em ago/2026 (102% da contratada — risco materializado); calor; arranques simultâneos</t>
  </si>
  <si>
    <t>Penalizações e custos de potência; risco de disparo</t>
  </si>
  <si>
    <t>Pedido de aumento para 1 550 kW (efetivo 01/2027); alarme a 90% nos analisadores (desde 12/2026); escalonar arranques; deslastre (OPE-16)</t>
  </si>
  <si>
    <t>Controlo operacional (RG-SGE-08) e compra de energia (RG-SGE-09)</t>
  </si>
  <si>
    <t>Nenhum mês com potência tomada &gt; 95% da contratada</t>
  </si>
  <si>
    <t>—</t>
  </si>
  <si>
    <t>Diretor Financeiro</t>
  </si>
  <si>
    <t>2027-05-31</t>
  </si>
  <si>
    <t>Não eficaz</t>
  </si>
  <si>
    <t>RE-04</t>
  </si>
  <si>
    <t>Alterações de máquinas, moldes ou linhas sem avaliação energética (8.2) invalidam a LBE e aumentam o consumo</t>
  </si>
  <si>
    <t>Checklist de alterações do SGI sem campos de energia até 09/2026</t>
  </si>
  <si>
    <t>LBE desajustada (ALE-01); oportunidades de projeto perdidas</t>
  </si>
  <si>
    <t>Secção de energia obrigatória na checklist do PR-SGA-06 e critérios de projeto do PR-SGE-07</t>
  </si>
  <si>
    <t>Planeamento de alterações (RG-SGA-18)</t>
  </si>
  <si>
    <t>100% das alterações de 2027 com avaliação energética</t>
  </si>
  <si>
    <t>Diretor Industrial</t>
  </si>
  <si>
    <t>2026-12-31</t>
  </si>
  <si>
    <t>RE-05</t>
  </si>
  <si>
    <t>Dependência do Gestor de Energia (conhecimento concentrado numa pessoa)</t>
  </si>
  <si>
    <t>Equipa nova (07/2026); métodos só no Excel do gestor</t>
  </si>
  <si>
    <t>Paragem do SGE em caso de saída</t>
  </si>
  <si>
    <t>Procedimentos PR-SGE-01 a 12 e substituto formado (Técnico de Utilidades)</t>
  </si>
  <si>
    <t>Competência (RG-SGE-07)</t>
  </si>
  <si>
    <t>Substituto com competência avaliada 'Autónomo'</t>
  </si>
  <si>
    <t>Responsável de Recursos Humanos</t>
  </si>
  <si>
    <t>2027-03-31</t>
  </si>
  <si>
    <t>RE-06</t>
  </si>
  <si>
    <t>Dados de energia com erros (leituras, rateio, fatores) levam a decisões erradas</t>
  </si>
  <si>
    <t>Rateio por fatores fixos (AR_FRAC); campanha curta</t>
  </si>
  <si>
    <t>IDE enganadores (ex.: IDE-07 constante)</t>
  </si>
  <si>
    <t>Classificar a qualidade de cada dado (EN 17267) e reconciliar mensalmente com a fatura</t>
  </si>
  <si>
    <t>0 IDE com qualidade 'Estimado' nos USE em 2027</t>
  </si>
  <si>
    <t>RE-07</t>
  </si>
  <si>
    <t>Aumento da procura de ar (fugas, linhas novas) anula a poupança dos compressores VSD</t>
  </si>
  <si>
    <t>Fugas 25% (jun) → 14% (dez/2026); novas máquinas</t>
  </si>
  <si>
    <t>Poupança medida na central não aparece na fatura</t>
  </si>
  <si>
    <t>Programa de fugas (PA-E-02) e medição mensal de Nm³ (EQP-04)</t>
  </si>
  <si>
    <t>Controlo operacional do ar (RG-SGE-08)</t>
  </si>
  <si>
    <t>Nm³ por mil unidades estável ou a descer</t>
  </si>
  <si>
    <t>IDE-08</t>
  </si>
  <si>
    <t>Técnico de Utilidades</t>
  </si>
  <si>
    <t>Eficaz</t>
  </si>
  <si>
    <t>PA-E-02</t>
  </si>
  <si>
    <t>R25</t>
  </si>
  <si>
    <t>RG-SGA-02 R25</t>
  </si>
  <si>
    <t>Volatilidade do preço da energia e dos polímeros comprime a margem</t>
  </si>
  <si>
    <t>Mercado ibérico; geopolítica</t>
  </si>
  <si>
    <t>Custo das ações de eficiência muda o retorno</t>
  </si>
  <si>
    <t>Contratos a prazo; eficiência; UPAC</t>
  </si>
  <si>
    <t>Compra de energia (RG-SGE-09)</t>
  </si>
  <si>
    <t>Preço médio €/kWh vs orçamento</t>
  </si>
  <si>
    <t>2027-12-31</t>
  </si>
  <si>
    <t>PA-E-07</t>
  </si>
  <si>
    <t>R22</t>
  </si>
  <si>
    <t>RG-SGA-02 R22</t>
  </si>
  <si>
    <t>Falta de ar comprimido interrompe máquinas</t>
  </si>
  <si>
    <t>Avaria de compressor</t>
  </si>
  <si>
    <t>Arranques e purgas extra (energia e scrap)</t>
  </si>
  <si>
    <t>Compressor em reserva e chaveamento (PCN-UTIL-01)</t>
  </si>
  <si>
    <t>Manutenção</t>
  </si>
  <si>
    <t>0 paragens por falta de ar</t>
  </si>
  <si>
    <t>Gerente de Manutenção</t>
  </si>
  <si>
    <t>Contínuo</t>
  </si>
  <si>
    <t>R34</t>
  </si>
  <si>
    <t>RG-SGA-02 R34</t>
  </si>
  <si>
    <t>Alterações climáticas e calor reduzem a resiliência (arrefecimento)</t>
  </si>
  <si>
    <t>Ondas de calor</t>
  </si>
  <si>
    <t>Mais consumo do frio; potência</t>
  </si>
  <si>
    <t>Free-cooling e setpoint mais alto; normalização por graus-dia</t>
  </si>
  <si>
    <t>Revisão energética e IDE</t>
  </si>
  <si>
    <t>IDE-06 normalizado</t>
  </si>
  <si>
    <t>IDE-06</t>
  </si>
  <si>
    <t>PA-E-06</t>
  </si>
  <si>
    <t>R39</t>
  </si>
  <si>
    <t>RG-SGA-02 R39</t>
  </si>
  <si>
    <t>Reclamação por ruído dos compressores novos instalados sem avaliação atualizada</t>
  </si>
  <si>
    <t>Alteração sem avaliação (6.3 SGA)</t>
  </si>
  <si>
    <t>Lição para o 8.2: avaliar energia e ruído no projeto</t>
  </si>
  <si>
    <t>Tratado pelo SGA (NC-SGA-26-01); no SGE: critérios de projeto (PR-SGE-07)</t>
  </si>
  <si>
    <t>Projeto (RG-SGE-09)</t>
  </si>
  <si>
    <t>Checklist de projeto aplicada</t>
  </si>
  <si>
    <t>OPORTUNIDADES DO SGE (6.1)</t>
  </si>
  <si>
    <t>Oportunidades do sistema; as oportunidades de melhoria do desempenho energético (OPE-xx, 6.3 d) estão no RG-SGE-04</t>
  </si>
  <si>
    <t>ID_Oport</t>
  </si>
  <si>
    <t>Beneficio</t>
  </si>
  <si>
    <t>Beneficio_1a5</t>
  </si>
  <si>
    <t>Decisao</t>
  </si>
  <si>
    <t>Acao_Plano</t>
  </si>
  <si>
    <t>O6</t>
  </si>
  <si>
    <t>RG-SGA-02 O6</t>
  </si>
  <si>
    <t>Eficiência energética com submedição e deteção de fugas de ar comprimido</t>
  </si>
  <si>
    <t>Beneficiar de dados reais para priorizar</t>
  </si>
  <si>
    <t>Explorar</t>
  </si>
  <si>
    <t>PA-E-01; PA-E-02</t>
  </si>
  <si>
    <t>Poupança verificada (MWh)</t>
  </si>
  <si>
    <t>O15</t>
  </si>
  <si>
    <t>RG-SGA-02 O15</t>
  </si>
  <si>
    <t>Autoconsumo fotovoltaico e eletricidade com garantia de origem</t>
  </si>
  <si>
    <t>Descarbonizar e reduzir o custo</t>
  </si>
  <si>
    <t>Quota renovável (IDE-10)</t>
  </si>
  <si>
    <t>IDE-10</t>
  </si>
  <si>
    <t>OE-01</t>
  </si>
  <si>
    <t>Financiamento (Portugal 2030 / Fundo Ambiental) para submedição, servo-bombas e UPAC</t>
  </si>
  <si>
    <t>Reduzir o retorno</t>
  </si>
  <si>
    <t>RG-26-D03</t>
  </si>
  <si>
    <t>Montante aprovado (€)</t>
  </si>
  <si>
    <t>OE-02</t>
  </si>
  <si>
    <t>Certificação ISO 50001 dispensa a auditoria energética periódica da Diretiva (UE) 2023/1791 (art. 11.º)</t>
  </si>
  <si>
    <t>Evitar custos de auditoria e ganhar reputação</t>
  </si>
  <si>
    <t>Certificação 2027</t>
  </si>
  <si>
    <t>Certificado emitido</t>
  </si>
  <si>
    <t>Diretor Geral (Gestão de Topo)</t>
  </si>
  <si>
    <t>OE-03</t>
  </si>
  <si>
    <t>Dados de energia por máquina/SKU como vantagem comercial (PCF para clientes)</t>
  </si>
  <si>
    <t>Diferenciação em cosmética e alimentar</t>
  </si>
  <si>
    <t>N.º de clientes com PCF entregue</t>
  </si>
  <si>
    <t>OE-04</t>
  </si>
  <si>
    <t>Deslocar cargas flexíveis (moagem, carga de empilhadores) para vazio/super vazio</t>
  </si>
  <si>
    <t>Reduzir o custo sem mudar o consumo</t>
  </si>
  <si>
    <t>Quota de kWh em ponta (RG-SGE-09)</t>
  </si>
  <si>
    <t>Gerente de Produção</t>
  </si>
  <si>
    <t>MAPA DE CALOR DOS RISCOS DO SGE — calculado</t>
  </si>
  <si>
    <t>N.º de riscos por probabilidade (linhas) × impacto (colunas)</t>
  </si>
  <si>
    <t>P \ I</t>
  </si>
  <si>
    <t>1</t>
  </si>
  <si>
    <t>2</t>
  </si>
  <si>
    <t>3</t>
  </si>
  <si>
    <t>4</t>
  </si>
  <si>
    <t>5</t>
  </si>
  <si>
    <t>LISTAS CONTROLADAS (domínios de validação de dados) — editar aqui para alterar opções</t>
  </si>
  <si>
    <t>DataReferencia</t>
  </si>
  <si>
    <t>Funcao</t>
  </si>
  <si>
    <t>Opcao</t>
  </si>
  <si>
    <t>Escala</t>
  </si>
  <si>
    <t>Eficacia</t>
  </si>
  <si>
    <t>Evitar</t>
  </si>
  <si>
    <t>Transferir</t>
  </si>
  <si>
    <t>Aceitar</t>
  </si>
  <si>
    <t>Partilhar</t>
  </si>
  <si>
    <t>Gestor do SGA / EHS (Responsável Ambiental)</t>
  </si>
  <si>
    <t>Realçar</t>
  </si>
  <si>
    <t>Gerente da Qualidade</t>
  </si>
  <si>
    <t>Responsável de Compras</t>
  </si>
  <si>
    <t>Responsável de R&amp;D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</si>
  <si>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</si>
  <si>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</si>
  <si>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</si>
  <si>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</si>
  <si>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</si>
  <si>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</si>
  <si>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</si>
  <si>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</si>
  <si>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</si>
  <si>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</si>
  <si>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</si>
  <si>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</si>
  <si>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</si>
  <si>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</si>
  <si>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</si>
  <si>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</si>
  <si>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</si>
  <si>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tbl_riscos_e</t>
  </si>
  <si>
    <t>Texto</t>
  </si>
  <si>
    <t>Entrada</t>
  </si>
  <si>
    <t>Risco (R = RG-SGA-02; RE = novo do SGE).</t>
  </si>
  <si>
    <t>Sim</t>
  </si>
  <si>
    <t>PK</t>
  </si>
  <si>
    <t>Onde está no registo corporativo.</t>
  </si>
  <si>
    <t>Risco.</t>
  </si>
  <si>
    <t>Causa.</t>
  </si>
  <si>
    <t>Efeito nos resultados do SGE / desempenho energético.</t>
  </si>
  <si>
    <t>Inteiro</t>
  </si>
  <si>
    <t>1–5.</t>
  </si>
  <si>
    <t>Lista lst_Escala</t>
  </si>
  <si>
    <t>Calculado (fórmula)</t>
  </si>
  <si>
    <t>P × I.</t>
  </si>
  <si>
    <t>Crítico ≥ 15 · Alto ≥ 10 · Médio ≥ 5.</t>
  </si>
  <si>
    <t>Opção de tratamento (ISO 31000).</t>
  </si>
  <si>
    <t>Lista lst_Opcao</t>
  </si>
  <si>
    <t>Ação (6.1.2 a).</t>
  </si>
  <si>
    <t>Integração nos processos do SGE (6.1.2 b 1).</t>
  </si>
  <si>
    <t>Como se avalia a eficácia (6.1.2 b 2).</t>
  </si>
  <si>
    <t>Indicador.</t>
  </si>
  <si>
    <t>Não</t>
  </si>
  <si>
    <t>FK → RG-SGE-05 tbl_kpi</t>
  </si>
  <si>
    <t>Dono.</t>
  </si>
  <si>
    <t>Lista lst_Funcao</t>
  </si>
  <si>
    <t>Prazo.</t>
  </si>
  <si>
    <t>Resultado da avaliação.</t>
  </si>
  <si>
    <t>Lista lst_Eficacia</t>
  </si>
  <si>
    <t>Plano de ação.</t>
  </si>
  <si>
    <t>tbl_oport_e</t>
  </si>
  <si>
    <t>Oportunidade (O = RG-SGA-02; OE = nova).</t>
  </si>
  <si>
    <t>Registo corporativo.</t>
  </si>
  <si>
    <t>Oportunidade.</t>
  </si>
  <si>
    <t>Benefício esperado.</t>
  </si>
  <si>
    <t>P × B.</t>
  </si>
  <si>
    <t>Relevância.</t>
  </si>
  <si>
    <t>Decisão.</t>
  </si>
  <si>
    <t>Ação / plano.</t>
  </si>
  <si>
    <t>Como se avalia.</t>
  </si>
  <si>
    <t>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</si>
</sst>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FFF2B3"/>
      </patternFill>
    </fill>
    <fill>
      <patternFill patternType="solid">
        <fgColor rgb="FFFCE4C4"/>
      </patternFill>
    </fill>
    <fill>
      <patternFill patternType="solid">
        <fgColor rgb="FFF4C7C3"/>
      </patternFill>
    </fill>
    <fill>
      <patternFill patternType="solid">
        <fgColor rgb="FFCDEBD3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9" borderId="0" xfId="0" applyFont="1" applyFill="1"/>
    <xf numFmtId="0" fontId="0" fillId="9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4" fillId="5" borderId="1" xfId="0" applyNumberFormat="1" applyFont="1" applyFill="1" applyBorder="1" applyAlignment="1">
      <alignment vertical="top" wrapText="1"/>
    </xf>
    <xf numFmtId="1" fontId="4" fillId="6" borderId="1" xfId="0" applyNumberFormat="1" applyFont="1" applyFill="1" applyBorder="1" applyAlignment="1">
      <alignment vertical="top" wrapText="1"/>
    </xf>
    <xf numFmtId="1" fontId="4" fillId="7" borderId="1" xfId="0" applyNumberFormat="1" applyFont="1" applyFill="1" applyBorder="1" applyAlignment="1">
      <alignment vertical="top" wrapText="1"/>
    </xf>
    <xf numFmtId="1" fontId="4" fillId="8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0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iscos_e" displayName="tbl_riscos_e" ref="A4:R16">
  <autoFilter ref="A4:R16" xr:uid="{00000000-0009-0000-0100-000001000000}"/>
  <tableColumns count="18">
    <tableColumn id="1" xr3:uid="{00000000-0010-0000-0000-000001000000}" name="ID_Risco"/>
    <tableColumn id="2" xr3:uid="{00000000-0010-0000-0000-000002000000}" name="Origem_SGI"/>
    <tableColumn id="3" xr3:uid="{00000000-0010-0000-0000-000003000000}" name="Descricao"/>
    <tableColumn id="4" xr3:uid="{00000000-0010-0000-0000-000004000000}" name="Causa"/>
    <tableColumn id="5" xr3:uid="{00000000-0010-0000-0000-000005000000}" name="Efeito_no_SGE"/>
    <tableColumn id="6" xr3:uid="{00000000-0010-0000-0000-000006000000}" name="Probabilidade"/>
    <tableColumn id="7" xr3:uid="{00000000-0010-0000-0000-000007000000}" name="Impacto"/>
    <tableColumn id="8" xr3:uid="{00000000-0010-0000-0000-000008000000}" name="Score"/>
    <tableColumn id="9" xr3:uid="{00000000-0010-0000-0000-000009000000}" name="Nivel"/>
    <tableColumn id="10" xr3:uid="{00000000-0010-0000-0000-00000A000000}" name="Opcao_Tratamento"/>
    <tableColumn id="11" xr3:uid="{00000000-0010-0000-0000-00000B000000}" name="Acao"/>
    <tableColumn id="12" xr3:uid="{00000000-0010-0000-0000-00000C000000}" name="Integracao_Processo"/>
    <tableColumn id="13" xr3:uid="{00000000-0010-0000-0000-00000D000000}" name="Metodo_Eficacia"/>
    <tableColumn id="14" xr3:uid="{00000000-0010-0000-0000-00000E000000}" name="KPI"/>
    <tableColumn id="15" xr3:uid="{00000000-0010-0000-0000-00000F000000}" name="Dono"/>
    <tableColumn id="16" xr3:uid="{00000000-0010-0000-0000-000010000000}" name="Prazo"/>
    <tableColumn id="17" xr3:uid="{00000000-0010-0000-0000-000011000000}" name="Resultado_Eficacia"/>
    <tableColumn id="18" xr3:uid="{00000000-0010-0000-0000-000012000000}" name="ID_Plan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oport_e" displayName="tbl_oport_e" ref="A4:N10">
  <autoFilter ref="A4:N10" xr:uid="{00000000-0009-0000-0100-000002000000}"/>
  <tableColumns count="14">
    <tableColumn id="1" xr3:uid="{00000000-0010-0000-0100-000001000000}" name="ID_Oport"/>
    <tableColumn id="2" xr3:uid="{00000000-0010-0000-0100-000002000000}" name="Origem_SGI"/>
    <tableColumn id="3" xr3:uid="{00000000-0010-0000-0100-000003000000}" name="Descricao"/>
    <tableColumn id="4" xr3:uid="{00000000-0010-0000-0100-000004000000}" name="Beneficio"/>
    <tableColumn id="5" xr3:uid="{00000000-0010-0000-0100-000005000000}" name="Probabilidade"/>
    <tableColumn id="6" xr3:uid="{00000000-0010-0000-0100-000006000000}" name="Beneficio_1a5"/>
    <tableColumn id="7" xr3:uid="{00000000-0010-0000-0100-000007000000}" name="Score"/>
    <tableColumn id="8" xr3:uid="{00000000-0010-0000-0100-000008000000}" name="Nivel"/>
    <tableColumn id="9" xr3:uid="{00000000-0010-0000-0100-000009000000}" name="Decisao"/>
    <tableColumn id="10" xr3:uid="{00000000-0010-0000-0100-00000A000000}" name="Acao_Plano"/>
    <tableColumn id="11" xr3:uid="{00000000-0010-0000-0100-00000B000000}" name="Metodo_Eficacia"/>
    <tableColumn id="12" xr3:uid="{00000000-0010-0000-0100-00000C000000}" name="KPI"/>
    <tableColumn id="13" xr3:uid="{00000000-0010-0000-0100-00000D000000}" name="Dono"/>
    <tableColumn id="14" xr3:uid="{00000000-0010-0000-0100-00000E000000}" name="Resultado_Eficaci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cionario" displayName="tbl_dicionario" ref="A1:I33">
  <autoFilter ref="A1:I33" xr:uid="{00000000-0009-0000-0100-000003000000}"/>
  <tableColumns count="9">
    <tableColumn id="1" xr3:uid="{00000000-0010-0000-0200-000001000000}" name="Folha"/>
    <tableColumn id="2" xr3:uid="{00000000-0010-0000-0200-000002000000}" name="Tabela"/>
    <tableColumn id="3" xr3:uid="{00000000-0010-0000-0200-000003000000}" name="Coluna"/>
    <tableColumn id="4" xr3:uid="{00000000-0010-0000-0200-000004000000}" name="Tipo"/>
    <tableColumn id="5" xr3:uid="{00000000-0010-0000-0200-000005000000}" name="Origem"/>
    <tableColumn id="6" xr3:uid="{00000000-0010-0000-0200-000006000000}" name="Descricao"/>
    <tableColumn id="7" xr3:uid="{00000000-0010-0000-0200-000007000000}" name="Dominio_Unidade"/>
    <tableColumn id="8" xr3:uid="{00000000-0010-0000-0200-000008000000}" name="Obrigatorio"/>
    <tableColumn id="9" xr3:uid="{00000000-0010-0000-02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9" spans="1:2" x14ac:dyDescent="0.3">
      <c r="A29" s="3" t="s">
        <v>39</v>
      </c>
      <c r="B29" s="4"/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6" spans="1:2" x14ac:dyDescent="0.3">
      <c r="A36" s="3" t="s">
        <v>50</v>
      </c>
      <c r="B36" s="4"/>
    </row>
    <row r="37" spans="1:2" ht="26.4" x14ac:dyDescent="0.3">
      <c r="A37" s="5" t="s">
        <v>51</v>
      </c>
      <c r="B37" s="6" t="s">
        <v>52</v>
      </c>
    </row>
    <row r="38" spans="1:2" x14ac:dyDescent="0.3">
      <c r="A38" s="5" t="s">
        <v>53</v>
      </c>
      <c r="B38" s="6" t="s">
        <v>54</v>
      </c>
    </row>
    <row r="39" spans="1:2" x14ac:dyDescent="0.3">
      <c r="A39" s="5" t="s">
        <v>55</v>
      </c>
      <c r="B39" s="6" t="s">
        <v>56</v>
      </c>
    </row>
    <row r="40" spans="1:2" ht="26.4" x14ac:dyDescent="0.3">
      <c r="A40" s="5" t="s">
        <v>57</v>
      </c>
      <c r="B40" s="6" t="s">
        <v>58</v>
      </c>
    </row>
    <row r="41" spans="1:2" ht="26.4" x14ac:dyDescent="0.3">
      <c r="A41" s="5" t="s">
        <v>59</v>
      </c>
      <c r="B41" s="6" t="s">
        <v>60</v>
      </c>
    </row>
    <row r="42" spans="1:2" ht="52.8" x14ac:dyDescent="0.3">
      <c r="A42" s="5" t="s">
        <v>61</v>
      </c>
      <c r="B42" s="6" t="s">
        <v>62</v>
      </c>
    </row>
    <row r="44" spans="1:2" x14ac:dyDescent="0.3">
      <c r="A44" s="3" t="s">
        <v>63</v>
      </c>
      <c r="B44" s="4"/>
    </row>
    <row r="45" spans="1:2" x14ac:dyDescent="0.3">
      <c r="A45" s="5" t="s">
        <v>64</v>
      </c>
      <c r="B45" s="6" t="s">
        <v>65</v>
      </c>
    </row>
    <row r="46" spans="1:2" x14ac:dyDescent="0.3">
      <c r="A46" s="5" t="s">
        <v>66</v>
      </c>
      <c r="B46" s="6" t="s">
        <v>67</v>
      </c>
    </row>
    <row r="47" spans="1:2" x14ac:dyDescent="0.3">
      <c r="A47" s="5" t="s">
        <v>68</v>
      </c>
      <c r="B47" s="6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0" customWidth="1"/>
    <col min="3" max="3" width="44" customWidth="1"/>
    <col min="4" max="5" width="32" customWidth="1"/>
    <col min="6" max="7" width="7" customWidth="1"/>
    <col min="8" max="8" width="6" customWidth="1"/>
    <col min="9" max="9" width="9" customWidth="1"/>
    <col min="10" max="10" width="10" customWidth="1"/>
    <col min="11" max="11" width="40" customWidth="1"/>
    <col min="12" max="12" width="28" customWidth="1"/>
    <col min="13" max="13" width="36" customWidth="1"/>
    <col min="14" max="14" width="8" customWidth="1"/>
    <col min="15" max="15" width="22" customWidth="1"/>
    <col min="16" max="16" width="11" customWidth="1"/>
    <col min="17" max="18" width="12" customWidth="1"/>
  </cols>
  <sheetData>
    <row r="1" spans="1:18" ht="17.399999999999999" x14ac:dyDescent="0.3">
      <c r="A1" s="1" t="s">
        <v>70</v>
      </c>
    </row>
    <row r="2" spans="1:18" x14ac:dyDescent="0.3">
      <c r="A2" s="2" t="s">
        <v>71</v>
      </c>
    </row>
    <row r="4" spans="1:18" ht="39.6" x14ac:dyDescent="0.3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9" t="s">
        <v>79</v>
      </c>
      <c r="I4" s="9" t="s">
        <v>80</v>
      </c>
      <c r="J4" s="8" t="s">
        <v>81</v>
      </c>
      <c r="K4" s="8" t="s">
        <v>82</v>
      </c>
      <c r="L4" s="8" t="s">
        <v>83</v>
      </c>
      <c r="M4" s="8" t="s">
        <v>84</v>
      </c>
      <c r="N4" s="8" t="s">
        <v>85</v>
      </c>
      <c r="O4" s="8" t="s">
        <v>86</v>
      </c>
      <c r="P4" s="8" t="s">
        <v>87</v>
      </c>
      <c r="Q4" s="8" t="s">
        <v>88</v>
      </c>
      <c r="R4" s="8" t="s">
        <v>89</v>
      </c>
    </row>
    <row r="5" spans="1:18" ht="48" customHeight="1" x14ac:dyDescent="0.3">
      <c r="A5" s="10" t="s">
        <v>90</v>
      </c>
      <c r="B5" s="10" t="s">
        <v>91</v>
      </c>
      <c r="C5" s="10" t="s">
        <v>92</v>
      </c>
      <c r="D5" s="10" t="s">
        <v>93</v>
      </c>
      <c r="E5" s="10" t="s">
        <v>94</v>
      </c>
      <c r="F5" s="11">
        <v>4</v>
      </c>
      <c r="G5" s="11">
        <v>4</v>
      </c>
      <c r="H5" s="12">
        <f t="shared" ref="H5:H16" si="0">IF(A5="","",F5*G5)</f>
        <v>16</v>
      </c>
      <c r="I5" s="13" t="str">
        <f t="shared" ref="I5:I16" si="1">IF(A5="","",IF(H5&gt;=15,"Crítico",IF(H5&gt;=10,"Alto",IF(H5&gt;=5,"Médio","Baixo"))))</f>
        <v>Crítico</v>
      </c>
      <c r="J5" s="10" t="s">
        <v>95</v>
      </c>
      <c r="K5" s="10" t="s">
        <v>96</v>
      </c>
      <c r="L5" s="10" t="s">
        <v>97</v>
      </c>
      <c r="M5" s="10" t="s">
        <v>98</v>
      </c>
      <c r="N5" s="10" t="s">
        <v>99</v>
      </c>
      <c r="O5" s="10" t="s">
        <v>100</v>
      </c>
      <c r="P5" s="10" t="s">
        <v>101</v>
      </c>
      <c r="Q5" s="10" t="s">
        <v>102</v>
      </c>
      <c r="R5" s="10" t="s">
        <v>103</v>
      </c>
    </row>
    <row r="6" spans="1:18" ht="48" customHeight="1" x14ac:dyDescent="0.3">
      <c r="A6" s="10" t="s">
        <v>104</v>
      </c>
      <c r="B6" s="10" t="s">
        <v>105</v>
      </c>
      <c r="C6" s="10" t="s">
        <v>106</v>
      </c>
      <c r="D6" s="10" t="s">
        <v>107</v>
      </c>
      <c r="E6" s="10" t="s">
        <v>108</v>
      </c>
      <c r="F6" s="11">
        <v>4</v>
      </c>
      <c r="G6" s="11">
        <v>4</v>
      </c>
      <c r="H6" s="12">
        <f t="shared" si="0"/>
        <v>16</v>
      </c>
      <c r="I6" s="13" t="str">
        <f t="shared" si="1"/>
        <v>Crítico</v>
      </c>
      <c r="J6" s="10" t="s">
        <v>95</v>
      </c>
      <c r="K6" s="10" t="s">
        <v>109</v>
      </c>
      <c r="L6" s="10" t="s">
        <v>110</v>
      </c>
      <c r="M6" s="10" t="s">
        <v>111</v>
      </c>
      <c r="N6" s="10" t="s">
        <v>112</v>
      </c>
      <c r="O6" s="10" t="s">
        <v>113</v>
      </c>
      <c r="P6" s="10" t="s">
        <v>114</v>
      </c>
      <c r="Q6" s="10" t="s">
        <v>102</v>
      </c>
      <c r="R6" s="10" t="s">
        <v>115</v>
      </c>
    </row>
    <row r="7" spans="1:18" ht="48" customHeight="1" x14ac:dyDescent="0.3">
      <c r="A7" s="10" t="s">
        <v>116</v>
      </c>
      <c r="B7" s="10" t="s">
        <v>105</v>
      </c>
      <c r="C7" s="10" t="s">
        <v>117</v>
      </c>
      <c r="D7" s="10" t="s">
        <v>118</v>
      </c>
      <c r="E7" s="10" t="s">
        <v>119</v>
      </c>
      <c r="F7" s="11">
        <v>3</v>
      </c>
      <c r="G7" s="11">
        <v>4</v>
      </c>
      <c r="H7" s="12">
        <f t="shared" si="0"/>
        <v>12</v>
      </c>
      <c r="I7" s="13" t="str">
        <f t="shared" si="1"/>
        <v>Alto</v>
      </c>
      <c r="J7" s="10" t="s">
        <v>95</v>
      </c>
      <c r="K7" s="10" t="s">
        <v>120</v>
      </c>
      <c r="L7" s="10" t="s">
        <v>121</v>
      </c>
      <c r="M7" s="10" t="s">
        <v>122</v>
      </c>
      <c r="N7" s="10" t="s">
        <v>123</v>
      </c>
      <c r="O7" s="10" t="s">
        <v>113</v>
      </c>
      <c r="P7" s="10" t="s">
        <v>124</v>
      </c>
      <c r="Q7" s="10" t="s">
        <v>125</v>
      </c>
      <c r="R7" s="10" t="s">
        <v>126</v>
      </c>
    </row>
    <row r="8" spans="1:18" ht="48" customHeight="1" x14ac:dyDescent="0.3">
      <c r="A8" s="10" t="s">
        <v>127</v>
      </c>
      <c r="B8" s="10" t="s">
        <v>105</v>
      </c>
      <c r="C8" s="10" t="s">
        <v>128</v>
      </c>
      <c r="D8" s="10" t="s">
        <v>129</v>
      </c>
      <c r="E8" s="10" t="s">
        <v>130</v>
      </c>
      <c r="F8" s="11">
        <v>4</v>
      </c>
      <c r="G8" s="11">
        <v>3</v>
      </c>
      <c r="H8" s="12">
        <f t="shared" si="0"/>
        <v>12</v>
      </c>
      <c r="I8" s="13" t="str">
        <f t="shared" si="1"/>
        <v>Alto</v>
      </c>
      <c r="J8" s="10" t="s">
        <v>95</v>
      </c>
      <c r="K8" s="10" t="s">
        <v>131</v>
      </c>
      <c r="L8" s="10" t="s">
        <v>132</v>
      </c>
      <c r="M8" s="10" t="s">
        <v>133</v>
      </c>
      <c r="N8" s="10" t="s">
        <v>134</v>
      </c>
      <c r="O8" s="10" t="s">
        <v>135</v>
      </c>
      <c r="P8" s="10" t="s">
        <v>136</v>
      </c>
      <c r="Q8" s="10" t="s">
        <v>137</v>
      </c>
      <c r="R8" s="10" t="s">
        <v>134</v>
      </c>
    </row>
    <row r="9" spans="1:18" ht="48" customHeight="1" x14ac:dyDescent="0.3">
      <c r="A9" s="10" t="s">
        <v>138</v>
      </c>
      <c r="B9" s="10" t="s">
        <v>105</v>
      </c>
      <c r="C9" s="10" t="s">
        <v>139</v>
      </c>
      <c r="D9" s="10" t="s">
        <v>140</v>
      </c>
      <c r="E9" s="10" t="s">
        <v>141</v>
      </c>
      <c r="F9" s="11">
        <v>4</v>
      </c>
      <c r="G9" s="11">
        <v>3</v>
      </c>
      <c r="H9" s="12">
        <f t="shared" si="0"/>
        <v>12</v>
      </c>
      <c r="I9" s="13" t="str">
        <f t="shared" si="1"/>
        <v>Alto</v>
      </c>
      <c r="J9" s="10" t="s">
        <v>95</v>
      </c>
      <c r="K9" s="10" t="s">
        <v>142</v>
      </c>
      <c r="L9" s="10" t="s">
        <v>143</v>
      </c>
      <c r="M9" s="10" t="s">
        <v>144</v>
      </c>
      <c r="N9" s="10" t="s">
        <v>134</v>
      </c>
      <c r="O9" s="10" t="s">
        <v>145</v>
      </c>
      <c r="P9" s="10" t="s">
        <v>146</v>
      </c>
      <c r="Q9" s="10" t="s">
        <v>125</v>
      </c>
      <c r="R9" s="10" t="s">
        <v>134</v>
      </c>
    </row>
    <row r="10" spans="1:18" ht="48" customHeight="1" x14ac:dyDescent="0.3">
      <c r="A10" s="10" t="s">
        <v>147</v>
      </c>
      <c r="B10" s="10" t="s">
        <v>105</v>
      </c>
      <c r="C10" s="10" t="s">
        <v>148</v>
      </c>
      <c r="D10" s="10" t="s">
        <v>149</v>
      </c>
      <c r="E10" s="10" t="s">
        <v>150</v>
      </c>
      <c r="F10" s="11">
        <v>2</v>
      </c>
      <c r="G10" s="11">
        <v>3</v>
      </c>
      <c r="H10" s="12">
        <f t="shared" si="0"/>
        <v>6</v>
      </c>
      <c r="I10" s="13" t="str">
        <f t="shared" si="1"/>
        <v>Médio</v>
      </c>
      <c r="J10" s="10" t="s">
        <v>95</v>
      </c>
      <c r="K10" s="10" t="s">
        <v>151</v>
      </c>
      <c r="L10" s="10" t="s">
        <v>152</v>
      </c>
      <c r="M10" s="10" t="s">
        <v>153</v>
      </c>
      <c r="N10" s="10" t="s">
        <v>134</v>
      </c>
      <c r="O10" s="10" t="s">
        <v>154</v>
      </c>
      <c r="P10" s="10" t="s">
        <v>155</v>
      </c>
      <c r="Q10" s="10" t="s">
        <v>125</v>
      </c>
      <c r="R10" s="10" t="s">
        <v>134</v>
      </c>
    </row>
    <row r="11" spans="1:18" ht="48" customHeight="1" x14ac:dyDescent="0.3">
      <c r="A11" s="10" t="s">
        <v>156</v>
      </c>
      <c r="B11" s="10" t="s">
        <v>105</v>
      </c>
      <c r="C11" s="10" t="s">
        <v>157</v>
      </c>
      <c r="D11" s="10" t="s">
        <v>158</v>
      </c>
      <c r="E11" s="10" t="s">
        <v>159</v>
      </c>
      <c r="F11" s="11">
        <v>3</v>
      </c>
      <c r="G11" s="11">
        <v>3</v>
      </c>
      <c r="H11" s="12">
        <f t="shared" si="0"/>
        <v>9</v>
      </c>
      <c r="I11" s="13" t="str">
        <f t="shared" si="1"/>
        <v>Médio</v>
      </c>
      <c r="J11" s="10" t="s">
        <v>95</v>
      </c>
      <c r="K11" s="10" t="s">
        <v>160</v>
      </c>
      <c r="L11" s="10" t="s">
        <v>97</v>
      </c>
      <c r="M11" s="10" t="s">
        <v>161</v>
      </c>
      <c r="N11" s="10" t="s">
        <v>99</v>
      </c>
      <c r="O11" s="10" t="s">
        <v>113</v>
      </c>
      <c r="P11" s="10" t="s">
        <v>155</v>
      </c>
      <c r="Q11" s="10" t="s">
        <v>125</v>
      </c>
      <c r="R11" s="10" t="s">
        <v>103</v>
      </c>
    </row>
    <row r="12" spans="1:18" ht="48" customHeight="1" x14ac:dyDescent="0.3">
      <c r="A12" s="10" t="s">
        <v>162</v>
      </c>
      <c r="B12" s="10" t="s">
        <v>105</v>
      </c>
      <c r="C12" s="10" t="s">
        <v>163</v>
      </c>
      <c r="D12" s="10" t="s">
        <v>164</v>
      </c>
      <c r="E12" s="10" t="s">
        <v>165</v>
      </c>
      <c r="F12" s="11">
        <v>2</v>
      </c>
      <c r="G12" s="11">
        <v>3</v>
      </c>
      <c r="H12" s="12">
        <f t="shared" si="0"/>
        <v>6</v>
      </c>
      <c r="I12" s="13" t="str">
        <f t="shared" si="1"/>
        <v>Médio</v>
      </c>
      <c r="J12" s="10" t="s">
        <v>95</v>
      </c>
      <c r="K12" s="10" t="s">
        <v>166</v>
      </c>
      <c r="L12" s="10" t="s">
        <v>167</v>
      </c>
      <c r="M12" s="10" t="s">
        <v>168</v>
      </c>
      <c r="N12" s="10" t="s">
        <v>169</v>
      </c>
      <c r="O12" s="10" t="s">
        <v>170</v>
      </c>
      <c r="P12" s="10" t="s">
        <v>114</v>
      </c>
      <c r="Q12" s="10" t="s">
        <v>171</v>
      </c>
      <c r="R12" s="10" t="s">
        <v>172</v>
      </c>
    </row>
    <row r="13" spans="1:18" ht="48" customHeight="1" x14ac:dyDescent="0.3">
      <c r="A13" s="10" t="s">
        <v>173</v>
      </c>
      <c r="B13" s="10" t="s">
        <v>174</v>
      </c>
      <c r="C13" s="10" t="s">
        <v>175</v>
      </c>
      <c r="D13" s="10" t="s">
        <v>176</v>
      </c>
      <c r="E13" s="10" t="s">
        <v>177</v>
      </c>
      <c r="F13" s="11">
        <v>3</v>
      </c>
      <c r="G13" s="11">
        <v>4</v>
      </c>
      <c r="H13" s="12">
        <f t="shared" si="0"/>
        <v>12</v>
      </c>
      <c r="I13" s="13" t="str">
        <f t="shared" si="1"/>
        <v>Alto</v>
      </c>
      <c r="J13" s="10" t="s">
        <v>95</v>
      </c>
      <c r="K13" s="10" t="s">
        <v>178</v>
      </c>
      <c r="L13" s="10" t="s">
        <v>179</v>
      </c>
      <c r="M13" s="10" t="s">
        <v>180</v>
      </c>
      <c r="N13" s="10" t="s">
        <v>134</v>
      </c>
      <c r="O13" s="10" t="s">
        <v>135</v>
      </c>
      <c r="P13" s="10" t="s">
        <v>181</v>
      </c>
      <c r="Q13" s="10" t="s">
        <v>125</v>
      </c>
      <c r="R13" s="10" t="s">
        <v>182</v>
      </c>
    </row>
    <row r="14" spans="1:18" ht="48" customHeight="1" x14ac:dyDescent="0.3">
      <c r="A14" s="10" t="s">
        <v>183</v>
      </c>
      <c r="B14" s="10" t="s">
        <v>184</v>
      </c>
      <c r="C14" s="10" t="s">
        <v>185</v>
      </c>
      <c r="D14" s="10" t="s">
        <v>186</v>
      </c>
      <c r="E14" s="10" t="s">
        <v>187</v>
      </c>
      <c r="F14" s="11">
        <v>2</v>
      </c>
      <c r="G14" s="11">
        <v>4</v>
      </c>
      <c r="H14" s="12">
        <f t="shared" si="0"/>
        <v>8</v>
      </c>
      <c r="I14" s="13" t="str">
        <f t="shared" si="1"/>
        <v>Médio</v>
      </c>
      <c r="J14" s="10" t="s">
        <v>95</v>
      </c>
      <c r="K14" s="10" t="s">
        <v>188</v>
      </c>
      <c r="L14" s="10" t="s">
        <v>189</v>
      </c>
      <c r="M14" s="10" t="s">
        <v>190</v>
      </c>
      <c r="N14" s="10" t="s">
        <v>134</v>
      </c>
      <c r="O14" s="10" t="s">
        <v>191</v>
      </c>
      <c r="P14" s="10" t="s">
        <v>192</v>
      </c>
      <c r="Q14" s="10" t="s">
        <v>171</v>
      </c>
      <c r="R14" s="10" t="s">
        <v>134</v>
      </c>
    </row>
    <row r="15" spans="1:18" ht="48" customHeight="1" x14ac:dyDescent="0.3">
      <c r="A15" s="10" t="s">
        <v>193</v>
      </c>
      <c r="B15" s="10" t="s">
        <v>194</v>
      </c>
      <c r="C15" s="10" t="s">
        <v>195</v>
      </c>
      <c r="D15" s="10" t="s">
        <v>196</v>
      </c>
      <c r="E15" s="10" t="s">
        <v>197</v>
      </c>
      <c r="F15" s="11">
        <v>3</v>
      </c>
      <c r="G15" s="11">
        <v>3</v>
      </c>
      <c r="H15" s="12">
        <f t="shared" si="0"/>
        <v>9</v>
      </c>
      <c r="I15" s="13" t="str">
        <f t="shared" si="1"/>
        <v>Médio</v>
      </c>
      <c r="J15" s="10" t="s">
        <v>95</v>
      </c>
      <c r="K15" s="10" t="s">
        <v>198</v>
      </c>
      <c r="L15" s="10" t="s">
        <v>199</v>
      </c>
      <c r="M15" s="10" t="s">
        <v>200</v>
      </c>
      <c r="N15" s="10" t="s">
        <v>201</v>
      </c>
      <c r="O15" s="10" t="s">
        <v>170</v>
      </c>
      <c r="P15" s="10" t="s">
        <v>181</v>
      </c>
      <c r="Q15" s="10" t="s">
        <v>125</v>
      </c>
      <c r="R15" s="10" t="s">
        <v>202</v>
      </c>
    </row>
    <row r="16" spans="1:18" ht="48" customHeight="1" x14ac:dyDescent="0.3">
      <c r="A16" s="10" t="s">
        <v>203</v>
      </c>
      <c r="B16" s="10" t="s">
        <v>204</v>
      </c>
      <c r="C16" s="10" t="s">
        <v>205</v>
      </c>
      <c r="D16" s="10" t="s">
        <v>206</v>
      </c>
      <c r="E16" s="10" t="s">
        <v>207</v>
      </c>
      <c r="F16" s="11">
        <v>3</v>
      </c>
      <c r="G16" s="11">
        <v>2</v>
      </c>
      <c r="H16" s="12">
        <f t="shared" si="0"/>
        <v>6</v>
      </c>
      <c r="I16" s="13" t="str">
        <f t="shared" si="1"/>
        <v>Médio</v>
      </c>
      <c r="J16" s="10" t="s">
        <v>95</v>
      </c>
      <c r="K16" s="10" t="s">
        <v>208</v>
      </c>
      <c r="L16" s="10" t="s">
        <v>209</v>
      </c>
      <c r="M16" s="10" t="s">
        <v>210</v>
      </c>
      <c r="N16" s="10" t="s">
        <v>134</v>
      </c>
      <c r="O16" s="10" t="s">
        <v>145</v>
      </c>
      <c r="P16" s="10" t="s">
        <v>146</v>
      </c>
      <c r="Q16" s="10" t="s">
        <v>125</v>
      </c>
      <c r="R16" s="10" t="s">
        <v>134</v>
      </c>
    </row>
  </sheetData>
  <conditionalFormatting sqref="I5:I216">
    <cfRule type="expression" dxfId="9" priority="1">
      <formula>ISNUMBER(SEARCH("Crítico",I5))</formula>
    </cfRule>
    <cfRule type="expression" dxfId="8" priority="2">
      <formula>ISNUMBER(SEARCH("Alto",I5))</formula>
    </cfRule>
    <cfRule type="expression" dxfId="7" priority="3">
      <formula>ISNUMBER(SEARCH("Médio",I5))</formula>
    </cfRule>
    <cfRule type="expression" dxfId="6" priority="4">
      <formula>ISNUMBER(SEARCH("Baixo",I5))</formula>
    </cfRule>
  </conditionalFormatting>
  <conditionalFormatting sqref="Q5:Q216">
    <cfRule type="expression" dxfId="5" priority="5">
      <formula>ISNUMBER(SEARCH("Não eficaz",Q5))</formula>
    </cfRule>
    <cfRule type="expression" dxfId="4" priority="6">
      <formula>ISNUMBER(SEARCH("Eficaz",Q5))</formula>
    </cfRule>
    <cfRule type="expression" dxfId="3" priority="7">
      <formula>ISNUMBER(SEARCH("Por avaliar",Q5))</formula>
    </cfRule>
  </conditionalFormatting>
  <dataValidations count="4">
    <dataValidation type="list" allowBlank="1" showErrorMessage="1" errorTitle="Valor inválido" error="Valor fora da lista controlada (ver folha Listas)." sqref="F5:G216" xr:uid="{00000000-0002-0000-0100-000000000000}">
      <formula1>lst_Escala</formula1>
    </dataValidation>
    <dataValidation type="list" allowBlank="1" showErrorMessage="1" errorTitle="Valor inválido" error="Valor fora da lista controlada (ver folha Listas)." sqref="J5:J216" xr:uid="{00000000-0002-0000-0100-000002000000}">
      <formula1>lst_Opcao</formula1>
    </dataValidation>
    <dataValidation type="list" allowBlank="1" showErrorMessage="1" errorTitle="Valor inválido" error="Valor fora da lista controlada (ver folha Listas)." sqref="O5:O216" xr:uid="{00000000-0002-0000-0100-000003000000}">
      <formula1>lst_Funcao</formula1>
    </dataValidation>
    <dataValidation type="list" allowBlank="1" showErrorMessage="1" errorTitle="Valor inválido" error="Valor fora da lista controlada (ver folha Listas)." sqref="Q5:Q216" xr:uid="{00000000-0002-0000-0100-000004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0" customWidth="1"/>
    <col min="3" max="3" width="44" customWidth="1"/>
    <col min="4" max="4" width="30" customWidth="1"/>
    <col min="5" max="6" width="7" customWidth="1"/>
    <col min="7" max="7" width="6" customWidth="1"/>
    <col min="8" max="9" width="9" customWidth="1"/>
    <col min="10" max="10" width="20" customWidth="1"/>
    <col min="11" max="11" width="30" customWidth="1"/>
    <col min="12" max="12" width="8" customWidth="1"/>
    <col min="13" max="13" width="22" customWidth="1"/>
    <col min="14" max="14" width="12" customWidth="1"/>
  </cols>
  <sheetData>
    <row r="1" spans="1:14" ht="17.399999999999999" x14ac:dyDescent="0.3">
      <c r="A1" s="1" t="s">
        <v>211</v>
      </c>
    </row>
    <row r="2" spans="1:14" x14ac:dyDescent="0.3">
      <c r="A2" s="2" t="s">
        <v>212</v>
      </c>
    </row>
    <row r="4" spans="1:14" ht="39.6" x14ac:dyDescent="0.3">
      <c r="A4" s="8" t="s">
        <v>213</v>
      </c>
      <c r="B4" s="8" t="s">
        <v>73</v>
      </c>
      <c r="C4" s="8" t="s">
        <v>74</v>
      </c>
      <c r="D4" s="8" t="s">
        <v>214</v>
      </c>
      <c r="E4" s="8" t="s">
        <v>77</v>
      </c>
      <c r="F4" s="8" t="s">
        <v>215</v>
      </c>
      <c r="G4" s="9" t="s">
        <v>79</v>
      </c>
      <c r="H4" s="9" t="s">
        <v>80</v>
      </c>
      <c r="I4" s="8" t="s">
        <v>216</v>
      </c>
      <c r="J4" s="8" t="s">
        <v>217</v>
      </c>
      <c r="K4" s="8" t="s">
        <v>84</v>
      </c>
      <c r="L4" s="8" t="s">
        <v>85</v>
      </c>
      <c r="M4" s="8" t="s">
        <v>86</v>
      </c>
      <c r="N4" s="8" t="s">
        <v>88</v>
      </c>
    </row>
    <row r="5" spans="1:14" ht="40.049999999999997" customHeight="1" x14ac:dyDescent="0.3">
      <c r="A5" s="10" t="s">
        <v>218</v>
      </c>
      <c r="B5" s="10" t="s">
        <v>219</v>
      </c>
      <c r="C5" s="10" t="s">
        <v>220</v>
      </c>
      <c r="D5" s="10" t="s">
        <v>221</v>
      </c>
      <c r="E5" s="11">
        <v>4</v>
      </c>
      <c r="F5" s="11">
        <v>4</v>
      </c>
      <c r="G5" s="12">
        <f t="shared" ref="G5:G10" si="0">IF(A5="","",E5*F5)</f>
        <v>16</v>
      </c>
      <c r="H5" s="13" t="str">
        <f t="shared" ref="H5:H10" si="1">IF(A5="","",IF(G5&gt;=12,"Alta",IF(G5&gt;=6,"Média","Baixa")))</f>
        <v>Alta</v>
      </c>
      <c r="I5" s="10" t="s">
        <v>222</v>
      </c>
      <c r="J5" s="10" t="s">
        <v>223</v>
      </c>
      <c r="K5" s="10" t="s">
        <v>224</v>
      </c>
      <c r="L5" s="10" t="s">
        <v>169</v>
      </c>
      <c r="M5" s="10" t="s">
        <v>113</v>
      </c>
      <c r="N5" s="10" t="s">
        <v>125</v>
      </c>
    </row>
    <row r="6" spans="1:14" ht="40.049999999999997" customHeight="1" x14ac:dyDescent="0.3">
      <c r="A6" s="10" t="s">
        <v>225</v>
      </c>
      <c r="B6" s="10" t="s">
        <v>226</v>
      </c>
      <c r="C6" s="10" t="s">
        <v>227</v>
      </c>
      <c r="D6" s="10" t="s">
        <v>228</v>
      </c>
      <c r="E6" s="11">
        <v>4</v>
      </c>
      <c r="F6" s="11">
        <v>4</v>
      </c>
      <c r="G6" s="12">
        <f t="shared" si="0"/>
        <v>16</v>
      </c>
      <c r="H6" s="13" t="str">
        <f t="shared" si="1"/>
        <v>Alta</v>
      </c>
      <c r="I6" s="10" t="s">
        <v>222</v>
      </c>
      <c r="J6" s="10" t="s">
        <v>182</v>
      </c>
      <c r="K6" s="10" t="s">
        <v>229</v>
      </c>
      <c r="L6" s="10" t="s">
        <v>230</v>
      </c>
      <c r="M6" s="10" t="s">
        <v>135</v>
      </c>
      <c r="N6" s="10" t="s">
        <v>125</v>
      </c>
    </row>
    <row r="7" spans="1:14" ht="40.049999999999997" customHeight="1" x14ac:dyDescent="0.3">
      <c r="A7" s="10" t="s">
        <v>231</v>
      </c>
      <c r="B7" s="10" t="s">
        <v>105</v>
      </c>
      <c r="C7" s="10" t="s">
        <v>232</v>
      </c>
      <c r="D7" s="10" t="s">
        <v>233</v>
      </c>
      <c r="E7" s="11">
        <v>3</v>
      </c>
      <c r="F7" s="11">
        <v>3</v>
      </c>
      <c r="G7" s="12">
        <f t="shared" si="0"/>
        <v>9</v>
      </c>
      <c r="H7" s="13" t="str">
        <f t="shared" si="1"/>
        <v>Média</v>
      </c>
      <c r="I7" s="10" t="s">
        <v>222</v>
      </c>
      <c r="J7" s="10" t="s">
        <v>234</v>
      </c>
      <c r="K7" s="10" t="s">
        <v>235</v>
      </c>
      <c r="L7" s="10" t="s">
        <v>134</v>
      </c>
      <c r="M7" s="10" t="s">
        <v>135</v>
      </c>
      <c r="N7" s="10" t="s">
        <v>125</v>
      </c>
    </row>
    <row r="8" spans="1:14" ht="40.049999999999997" customHeight="1" x14ac:dyDescent="0.3">
      <c r="A8" s="10" t="s">
        <v>236</v>
      </c>
      <c r="B8" s="10" t="s">
        <v>105</v>
      </c>
      <c r="C8" s="10" t="s">
        <v>237</v>
      </c>
      <c r="D8" s="10" t="s">
        <v>238</v>
      </c>
      <c r="E8" s="11">
        <v>3</v>
      </c>
      <c r="F8" s="11">
        <v>3</v>
      </c>
      <c r="G8" s="12">
        <f t="shared" si="0"/>
        <v>9</v>
      </c>
      <c r="H8" s="13" t="str">
        <f t="shared" si="1"/>
        <v>Média</v>
      </c>
      <c r="I8" s="10" t="s">
        <v>222</v>
      </c>
      <c r="J8" s="10" t="s">
        <v>239</v>
      </c>
      <c r="K8" s="10" t="s">
        <v>240</v>
      </c>
      <c r="L8" s="10" t="s">
        <v>134</v>
      </c>
      <c r="M8" s="10" t="s">
        <v>241</v>
      </c>
      <c r="N8" s="10" t="s">
        <v>125</v>
      </c>
    </row>
    <row r="9" spans="1:14" ht="40.049999999999997" customHeight="1" x14ac:dyDescent="0.3">
      <c r="A9" s="10" t="s">
        <v>242</v>
      </c>
      <c r="B9" s="10" t="s">
        <v>105</v>
      </c>
      <c r="C9" s="10" t="s">
        <v>243</v>
      </c>
      <c r="D9" s="10" t="s">
        <v>244</v>
      </c>
      <c r="E9" s="11">
        <v>3</v>
      </c>
      <c r="F9" s="11">
        <v>3</v>
      </c>
      <c r="G9" s="12">
        <f t="shared" si="0"/>
        <v>9</v>
      </c>
      <c r="H9" s="13" t="str">
        <f t="shared" si="1"/>
        <v>Média</v>
      </c>
      <c r="I9" s="10" t="s">
        <v>222</v>
      </c>
      <c r="J9" s="10" t="s">
        <v>103</v>
      </c>
      <c r="K9" s="10" t="s">
        <v>245</v>
      </c>
      <c r="L9" s="10" t="s">
        <v>134</v>
      </c>
      <c r="M9" s="10" t="s">
        <v>113</v>
      </c>
      <c r="N9" s="10" t="s">
        <v>125</v>
      </c>
    </row>
    <row r="10" spans="1:14" ht="40.049999999999997" customHeight="1" x14ac:dyDescent="0.3">
      <c r="A10" s="10" t="s">
        <v>246</v>
      </c>
      <c r="B10" s="10" t="s">
        <v>105</v>
      </c>
      <c r="C10" s="10" t="s">
        <v>247</v>
      </c>
      <c r="D10" s="10" t="s">
        <v>248</v>
      </c>
      <c r="E10" s="11">
        <v>3</v>
      </c>
      <c r="F10" s="11">
        <v>2</v>
      </c>
      <c r="G10" s="12">
        <f t="shared" si="0"/>
        <v>6</v>
      </c>
      <c r="H10" s="13" t="str">
        <f t="shared" si="1"/>
        <v>Média</v>
      </c>
      <c r="I10" s="10" t="s">
        <v>222</v>
      </c>
      <c r="J10" s="10" t="s">
        <v>134</v>
      </c>
      <c r="K10" s="10" t="s">
        <v>249</v>
      </c>
      <c r="L10" s="10" t="s">
        <v>134</v>
      </c>
      <c r="M10" s="10" t="s">
        <v>250</v>
      </c>
      <c r="N10" s="10" t="s">
        <v>125</v>
      </c>
    </row>
  </sheetData>
  <conditionalFormatting sqref="H5:H210">
    <cfRule type="expression" dxfId="2" priority="1">
      <formula>ISNUMBER(SEARCH("Alta",H5))</formula>
    </cfRule>
    <cfRule type="expression" dxfId="1" priority="2">
      <formula>ISNUMBER(SEARCH("Média",H5))</formula>
    </cfRule>
    <cfRule type="expression" dxfId="0" priority="3">
      <formula>ISNUMBER(SEARCH("Baixa",H5))</formula>
    </cfRule>
  </conditionalFormatting>
  <dataValidations count="4">
    <dataValidation type="list" allowBlank="1" showErrorMessage="1" errorTitle="Valor inválido" error="Valor fora da lista controlada (ver folha Listas)." sqref="E5:F210" xr:uid="{00000000-0002-0000-0200-000000000000}">
      <formula1>lst_Escala</formula1>
    </dataValidation>
    <dataValidation type="list" allowBlank="1" showErrorMessage="1" errorTitle="Valor inválido" error="Valor fora da lista controlada (ver folha Listas)." sqref="I5:I210" xr:uid="{00000000-0002-0000-0200-000002000000}">
      <formula1>lst_Opcao</formula1>
    </dataValidation>
    <dataValidation type="list" allowBlank="1" showErrorMessage="1" errorTitle="Valor inválido" error="Valor fora da lista controlada (ver folha Listas)." sqref="M5:M210" xr:uid="{00000000-0002-0000-0200-000003000000}">
      <formula1>lst_Funcao</formula1>
    </dataValidation>
    <dataValidation type="list" allowBlank="1" showErrorMessage="1" errorTitle="Valor inválido" error="Valor fora da lista controlada (ver folha Listas)." sqref="N5:N210" xr:uid="{00000000-0002-0000-0200-000004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F8"/>
  <sheetViews>
    <sheetView showGridLines="0" workbookViewId="0"/>
  </sheetViews>
  <sheetFormatPr defaultRowHeight="14.4" x14ac:dyDescent="0.3"/>
  <cols>
    <col min="1" max="1" width="10" customWidth="1"/>
    <col min="2" max="6" width="8" customWidth="1"/>
  </cols>
  <sheetData>
    <row r="1" spans="1:6" ht="17.399999999999999" x14ac:dyDescent="0.3">
      <c r="A1" s="1" t="s">
        <v>251</v>
      </c>
    </row>
    <row r="2" spans="1:6" x14ac:dyDescent="0.3">
      <c r="A2" s="2" t="s">
        <v>252</v>
      </c>
    </row>
    <row r="3" spans="1:6" x14ac:dyDescent="0.3">
      <c r="A3" s="8" t="s">
        <v>253</v>
      </c>
      <c r="B3" s="8" t="s">
        <v>254</v>
      </c>
      <c r="C3" s="8" t="s">
        <v>255</v>
      </c>
      <c r="D3" s="8" t="s">
        <v>256</v>
      </c>
      <c r="E3" s="8" t="s">
        <v>257</v>
      </c>
      <c r="F3" s="8" t="s">
        <v>258</v>
      </c>
    </row>
    <row r="4" spans="1:6" x14ac:dyDescent="0.3">
      <c r="A4" s="14">
        <v>5</v>
      </c>
      <c r="B4" s="15">
        <f>COUNTIFS(tbl_riscos_e[Probabilidade],5,tbl_riscos_e[Impacto],1)</f>
        <v>0</v>
      </c>
      <c r="C4" s="16">
        <f>COUNTIFS(tbl_riscos_e[Probabilidade],5,tbl_riscos_e[Impacto],2)</f>
        <v>0</v>
      </c>
      <c r="D4" s="17">
        <f>COUNTIFS(tbl_riscos_e[Probabilidade],5,tbl_riscos_e[Impacto],3)</f>
        <v>0</v>
      </c>
      <c r="E4" s="17">
        <f>COUNTIFS(tbl_riscos_e[Probabilidade],5,tbl_riscos_e[Impacto],4)</f>
        <v>0</v>
      </c>
      <c r="F4" s="17">
        <f>COUNTIFS(tbl_riscos_e[Probabilidade],5,tbl_riscos_e[Impacto],5)</f>
        <v>0</v>
      </c>
    </row>
    <row r="5" spans="1:6" x14ac:dyDescent="0.3">
      <c r="A5" s="14">
        <v>4</v>
      </c>
      <c r="B5" s="18">
        <f>COUNTIFS(tbl_riscos_e[Probabilidade],4,tbl_riscos_e[Impacto],1)</f>
        <v>0</v>
      </c>
      <c r="C5" s="15">
        <f>COUNTIFS(tbl_riscos_e[Probabilidade],4,tbl_riscos_e[Impacto],2)</f>
        <v>0</v>
      </c>
      <c r="D5" s="16">
        <f>COUNTIFS(tbl_riscos_e[Probabilidade],4,tbl_riscos_e[Impacto],3)</f>
        <v>2</v>
      </c>
      <c r="E5" s="17">
        <f>COUNTIFS(tbl_riscos_e[Probabilidade],4,tbl_riscos_e[Impacto],4)</f>
        <v>2</v>
      </c>
      <c r="F5" s="17">
        <f>COUNTIFS(tbl_riscos_e[Probabilidade],4,tbl_riscos_e[Impacto],5)</f>
        <v>0</v>
      </c>
    </row>
    <row r="6" spans="1:6" x14ac:dyDescent="0.3">
      <c r="A6" s="14">
        <v>3</v>
      </c>
      <c r="B6" s="18">
        <f>COUNTIFS(tbl_riscos_e[Probabilidade],3,tbl_riscos_e[Impacto],1)</f>
        <v>0</v>
      </c>
      <c r="C6" s="15">
        <f>COUNTIFS(tbl_riscos_e[Probabilidade],3,tbl_riscos_e[Impacto],2)</f>
        <v>1</v>
      </c>
      <c r="D6" s="15">
        <f>COUNTIFS(tbl_riscos_e[Probabilidade],3,tbl_riscos_e[Impacto],3)</f>
        <v>2</v>
      </c>
      <c r="E6" s="16">
        <f>COUNTIFS(tbl_riscos_e[Probabilidade],3,tbl_riscos_e[Impacto],4)</f>
        <v>2</v>
      </c>
      <c r="F6" s="17">
        <f>COUNTIFS(tbl_riscos_e[Probabilidade],3,tbl_riscos_e[Impacto],5)</f>
        <v>0</v>
      </c>
    </row>
    <row r="7" spans="1:6" x14ac:dyDescent="0.3">
      <c r="A7" s="14">
        <v>2</v>
      </c>
      <c r="B7" s="18">
        <f>COUNTIFS(tbl_riscos_e[Probabilidade],2,tbl_riscos_e[Impacto],1)</f>
        <v>0</v>
      </c>
      <c r="C7" s="18">
        <f>COUNTIFS(tbl_riscos_e[Probabilidade],2,tbl_riscos_e[Impacto],2)</f>
        <v>0</v>
      </c>
      <c r="D7" s="15">
        <f>COUNTIFS(tbl_riscos_e[Probabilidade],2,tbl_riscos_e[Impacto],3)</f>
        <v>2</v>
      </c>
      <c r="E7" s="15">
        <f>COUNTIFS(tbl_riscos_e[Probabilidade],2,tbl_riscos_e[Impacto],4)</f>
        <v>1</v>
      </c>
      <c r="F7" s="16">
        <f>COUNTIFS(tbl_riscos_e[Probabilidade],2,tbl_riscos_e[Impacto],5)</f>
        <v>0</v>
      </c>
    </row>
    <row r="8" spans="1:6" x14ac:dyDescent="0.3">
      <c r="A8" s="14">
        <v>1</v>
      </c>
      <c r="B8" s="18">
        <f>COUNTIFS(tbl_riscos_e[Probabilidade],1,tbl_riscos_e[Impacto],1)</f>
        <v>0</v>
      </c>
      <c r="C8" s="18">
        <f>COUNTIFS(tbl_riscos_e[Probabilidade],1,tbl_riscos_e[Impacto],2)</f>
        <v>0</v>
      </c>
      <c r="D8" s="18">
        <f>COUNTIFS(tbl_riscos_e[Probabilidade],1,tbl_riscos_e[Impacto],3)</f>
        <v>0</v>
      </c>
      <c r="E8" s="18">
        <f>COUNTIFS(tbl_riscos_e[Probabilidade],1,tbl_riscos_e[Impacto],4)</f>
        <v>0</v>
      </c>
      <c r="F8" s="15">
        <f>COUNTIFS(tbl_riscos_e[Probabilidade],1,tbl_riscos_e[Impacto],5)</f>
        <v>0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4" width="16" customWidth="1"/>
    <col min="5" max="5" width="21" customWidth="1"/>
  </cols>
  <sheetData>
    <row r="1" spans="1:5" x14ac:dyDescent="0.3">
      <c r="A1" s="19" t="s">
        <v>259</v>
      </c>
    </row>
    <row r="2" spans="1:5" x14ac:dyDescent="0.3">
      <c r="A2" s="20" t="s">
        <v>260</v>
      </c>
      <c r="B2" s="20" t="s">
        <v>261</v>
      </c>
      <c r="C2" s="20" t="s">
        <v>262</v>
      </c>
      <c r="D2" s="20" t="s">
        <v>263</v>
      </c>
      <c r="E2" s="20" t="s">
        <v>264</v>
      </c>
    </row>
    <row r="3" spans="1:5" x14ac:dyDescent="0.3">
      <c r="A3" s="21">
        <v>46387</v>
      </c>
      <c r="B3" s="6" t="s">
        <v>241</v>
      </c>
      <c r="C3" s="6" t="s">
        <v>95</v>
      </c>
      <c r="D3" s="6">
        <v>1</v>
      </c>
      <c r="E3" s="6" t="s">
        <v>171</v>
      </c>
    </row>
    <row r="4" spans="1:5" x14ac:dyDescent="0.3">
      <c r="B4" s="6" t="s">
        <v>145</v>
      </c>
      <c r="C4" s="6" t="s">
        <v>265</v>
      </c>
      <c r="D4" s="6">
        <v>2</v>
      </c>
      <c r="E4" s="6" t="s">
        <v>102</v>
      </c>
    </row>
    <row r="5" spans="1:5" ht="26.4" x14ac:dyDescent="0.3">
      <c r="B5" s="6" t="s">
        <v>113</v>
      </c>
      <c r="C5" s="6" t="s">
        <v>266</v>
      </c>
      <c r="D5" s="6">
        <v>3</v>
      </c>
      <c r="E5" s="6" t="s">
        <v>137</v>
      </c>
    </row>
    <row r="6" spans="1:5" x14ac:dyDescent="0.3">
      <c r="B6" s="6" t="s">
        <v>191</v>
      </c>
      <c r="C6" s="6" t="s">
        <v>267</v>
      </c>
      <c r="D6" s="6">
        <v>4</v>
      </c>
      <c r="E6" s="6" t="s">
        <v>125</v>
      </c>
    </row>
    <row r="7" spans="1:5" x14ac:dyDescent="0.3">
      <c r="B7" s="6" t="s">
        <v>250</v>
      </c>
      <c r="C7" s="6" t="s">
        <v>222</v>
      </c>
      <c r="D7" s="6">
        <v>5</v>
      </c>
    </row>
    <row r="8" spans="1:5" x14ac:dyDescent="0.3">
      <c r="B8" s="6" t="s">
        <v>170</v>
      </c>
      <c r="C8" s="6" t="s">
        <v>268</v>
      </c>
    </row>
    <row r="9" spans="1:5" x14ac:dyDescent="0.3">
      <c r="B9" s="6" t="s">
        <v>269</v>
      </c>
      <c r="C9" s="6" t="s">
        <v>270</v>
      </c>
    </row>
    <row r="10" spans="1:5" x14ac:dyDescent="0.3">
      <c r="B10" s="6" t="s">
        <v>271</v>
      </c>
    </row>
    <row r="11" spans="1:5" x14ac:dyDescent="0.3">
      <c r="B11" s="6" t="s">
        <v>135</v>
      </c>
    </row>
    <row r="12" spans="1:5" x14ac:dyDescent="0.3">
      <c r="B12" s="6" t="s">
        <v>272</v>
      </c>
    </row>
    <row r="13" spans="1:5" x14ac:dyDescent="0.3">
      <c r="B13" s="6" t="s">
        <v>273</v>
      </c>
    </row>
    <row r="14" spans="1:5" x14ac:dyDescent="0.3">
      <c r="B14" s="6" t="s">
        <v>154</v>
      </c>
    </row>
    <row r="15" spans="1:5" x14ac:dyDescent="0.3">
      <c r="B15" s="6" t="s">
        <v>100</v>
      </c>
    </row>
    <row r="16" spans="1:5" x14ac:dyDescent="0.3">
      <c r="B16" s="6" t="s">
        <v>274</v>
      </c>
    </row>
    <row r="17" spans="2:2" x14ac:dyDescent="0.3">
      <c r="B17" s="6" t="s">
        <v>275</v>
      </c>
    </row>
    <row r="18" spans="2:2" x14ac:dyDescent="0.3">
      <c r="B18" s="6" t="s">
        <v>276</v>
      </c>
    </row>
    <row r="19" spans="2:2" x14ac:dyDescent="0.3">
      <c r="B19" s="6" t="s">
        <v>277</v>
      </c>
    </row>
    <row r="20" spans="2:2" x14ac:dyDescent="0.3">
      <c r="B20" s="6" t="s">
        <v>278</v>
      </c>
    </row>
    <row r="21" spans="2:2" x14ac:dyDescent="0.3">
      <c r="B21" s="6" t="s">
        <v>279</v>
      </c>
    </row>
    <row r="22" spans="2:2" x14ac:dyDescent="0.3">
      <c r="B22" s="6" t="s">
        <v>280</v>
      </c>
    </row>
    <row r="23" spans="2:2" x14ac:dyDescent="0.3">
      <c r="B23" s="6" t="s">
        <v>281</v>
      </c>
    </row>
    <row r="24" spans="2:2" x14ac:dyDescent="0.3">
      <c r="B24" s="6" t="s">
        <v>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283</v>
      </c>
      <c r="B1" s="8" t="s">
        <v>284</v>
      </c>
      <c r="C1" s="8" t="s">
        <v>285</v>
      </c>
      <c r="D1" s="8" t="s">
        <v>286</v>
      </c>
      <c r="E1" s="8" t="s">
        <v>287</v>
      </c>
      <c r="F1" s="8" t="s">
        <v>74</v>
      </c>
      <c r="G1" s="8" t="s">
        <v>288</v>
      </c>
      <c r="H1" s="8" t="s">
        <v>289</v>
      </c>
      <c r="I1" s="8" t="s">
        <v>290</v>
      </c>
    </row>
    <row r="2" spans="1:9" x14ac:dyDescent="0.3">
      <c r="A2" s="22" t="s">
        <v>40</v>
      </c>
      <c r="B2" s="22" t="s">
        <v>291</v>
      </c>
      <c r="C2" s="22" t="s">
        <v>72</v>
      </c>
      <c r="D2" s="22" t="s">
        <v>292</v>
      </c>
      <c r="E2" s="22" t="s">
        <v>293</v>
      </c>
      <c r="F2" s="22" t="s">
        <v>294</v>
      </c>
      <c r="G2" s="22"/>
      <c r="H2" s="22" t="s">
        <v>295</v>
      </c>
      <c r="I2" s="22" t="s">
        <v>296</v>
      </c>
    </row>
    <row r="3" spans="1:9" x14ac:dyDescent="0.3">
      <c r="A3" s="22" t="s">
        <v>40</v>
      </c>
      <c r="B3" s="22" t="s">
        <v>291</v>
      </c>
      <c r="C3" s="22" t="s">
        <v>73</v>
      </c>
      <c r="D3" s="22" t="s">
        <v>292</v>
      </c>
      <c r="E3" s="22" t="s">
        <v>293</v>
      </c>
      <c r="F3" s="22" t="s">
        <v>297</v>
      </c>
      <c r="G3" s="22"/>
      <c r="H3" s="22" t="s">
        <v>295</v>
      </c>
      <c r="I3" s="22"/>
    </row>
    <row r="4" spans="1:9" x14ac:dyDescent="0.3">
      <c r="A4" s="22" t="s">
        <v>40</v>
      </c>
      <c r="B4" s="22" t="s">
        <v>291</v>
      </c>
      <c r="C4" s="22" t="s">
        <v>74</v>
      </c>
      <c r="D4" s="22" t="s">
        <v>292</v>
      </c>
      <c r="E4" s="22" t="s">
        <v>293</v>
      </c>
      <c r="F4" s="22" t="s">
        <v>298</v>
      </c>
      <c r="G4" s="22"/>
      <c r="H4" s="22" t="s">
        <v>295</v>
      </c>
      <c r="I4" s="22"/>
    </row>
    <row r="5" spans="1:9" x14ac:dyDescent="0.3">
      <c r="A5" s="22" t="s">
        <v>40</v>
      </c>
      <c r="B5" s="22" t="s">
        <v>291</v>
      </c>
      <c r="C5" s="22" t="s">
        <v>75</v>
      </c>
      <c r="D5" s="22" t="s">
        <v>292</v>
      </c>
      <c r="E5" s="22" t="s">
        <v>293</v>
      </c>
      <c r="F5" s="22" t="s">
        <v>299</v>
      </c>
      <c r="G5" s="22"/>
      <c r="H5" s="22" t="s">
        <v>295</v>
      </c>
      <c r="I5" s="22"/>
    </row>
    <row r="6" spans="1:9" x14ac:dyDescent="0.3">
      <c r="A6" s="22" t="s">
        <v>40</v>
      </c>
      <c r="B6" s="22" t="s">
        <v>291</v>
      </c>
      <c r="C6" s="22" t="s">
        <v>76</v>
      </c>
      <c r="D6" s="22" t="s">
        <v>292</v>
      </c>
      <c r="E6" s="22" t="s">
        <v>293</v>
      </c>
      <c r="F6" s="22" t="s">
        <v>300</v>
      </c>
      <c r="G6" s="22"/>
      <c r="H6" s="22" t="s">
        <v>295</v>
      </c>
      <c r="I6" s="22"/>
    </row>
    <row r="7" spans="1:9" x14ac:dyDescent="0.3">
      <c r="A7" s="22" t="s">
        <v>40</v>
      </c>
      <c r="B7" s="22" t="s">
        <v>291</v>
      </c>
      <c r="C7" s="22" t="s">
        <v>77</v>
      </c>
      <c r="D7" s="22" t="s">
        <v>301</v>
      </c>
      <c r="E7" s="22" t="s">
        <v>293</v>
      </c>
      <c r="F7" s="22" t="s">
        <v>302</v>
      </c>
      <c r="G7" s="22" t="s">
        <v>303</v>
      </c>
      <c r="H7" s="22" t="s">
        <v>295</v>
      </c>
      <c r="I7" s="22"/>
    </row>
    <row r="8" spans="1:9" x14ac:dyDescent="0.3">
      <c r="A8" s="22" t="s">
        <v>40</v>
      </c>
      <c r="B8" s="22" t="s">
        <v>291</v>
      </c>
      <c r="C8" s="22" t="s">
        <v>78</v>
      </c>
      <c r="D8" s="22" t="s">
        <v>301</v>
      </c>
      <c r="E8" s="22" t="s">
        <v>293</v>
      </c>
      <c r="F8" s="22" t="s">
        <v>302</v>
      </c>
      <c r="G8" s="22" t="s">
        <v>303</v>
      </c>
      <c r="H8" s="22" t="s">
        <v>295</v>
      </c>
      <c r="I8" s="22"/>
    </row>
    <row r="9" spans="1:9" x14ac:dyDescent="0.3">
      <c r="A9" s="22" t="s">
        <v>40</v>
      </c>
      <c r="B9" s="22" t="s">
        <v>291</v>
      </c>
      <c r="C9" s="22" t="s">
        <v>79</v>
      </c>
      <c r="D9" s="22" t="s">
        <v>301</v>
      </c>
      <c r="E9" s="22" t="s">
        <v>304</v>
      </c>
      <c r="F9" s="22" t="s">
        <v>305</v>
      </c>
      <c r="G9" s="22"/>
      <c r="H9" s="22" t="s">
        <v>295</v>
      </c>
      <c r="I9" s="22"/>
    </row>
    <row r="10" spans="1:9" x14ac:dyDescent="0.3">
      <c r="A10" s="22" t="s">
        <v>40</v>
      </c>
      <c r="B10" s="22" t="s">
        <v>291</v>
      </c>
      <c r="C10" s="22" t="s">
        <v>80</v>
      </c>
      <c r="D10" s="22" t="s">
        <v>292</v>
      </c>
      <c r="E10" s="22" t="s">
        <v>304</v>
      </c>
      <c r="F10" s="22" t="s">
        <v>306</v>
      </c>
      <c r="G10" s="22"/>
      <c r="H10" s="22" t="s">
        <v>295</v>
      </c>
      <c r="I10" s="22"/>
    </row>
    <row r="11" spans="1:9" x14ac:dyDescent="0.3">
      <c r="A11" s="22" t="s">
        <v>40</v>
      </c>
      <c r="B11" s="22" t="s">
        <v>291</v>
      </c>
      <c r="C11" s="22" t="s">
        <v>81</v>
      </c>
      <c r="D11" s="22" t="s">
        <v>292</v>
      </c>
      <c r="E11" s="22" t="s">
        <v>293</v>
      </c>
      <c r="F11" s="22" t="s">
        <v>307</v>
      </c>
      <c r="G11" s="22" t="s">
        <v>308</v>
      </c>
      <c r="H11" s="22" t="s">
        <v>295</v>
      </c>
      <c r="I11" s="22"/>
    </row>
    <row r="12" spans="1:9" x14ac:dyDescent="0.3">
      <c r="A12" s="22" t="s">
        <v>40</v>
      </c>
      <c r="B12" s="22" t="s">
        <v>291</v>
      </c>
      <c r="C12" s="22" t="s">
        <v>82</v>
      </c>
      <c r="D12" s="22" t="s">
        <v>292</v>
      </c>
      <c r="E12" s="22" t="s">
        <v>293</v>
      </c>
      <c r="F12" s="22" t="s">
        <v>309</v>
      </c>
      <c r="G12" s="22"/>
      <c r="H12" s="22" t="s">
        <v>295</v>
      </c>
      <c r="I12" s="22"/>
    </row>
    <row r="13" spans="1:9" x14ac:dyDescent="0.3">
      <c r="A13" s="22" t="s">
        <v>40</v>
      </c>
      <c r="B13" s="22" t="s">
        <v>291</v>
      </c>
      <c r="C13" s="22" t="s">
        <v>83</v>
      </c>
      <c r="D13" s="22" t="s">
        <v>292</v>
      </c>
      <c r="E13" s="22" t="s">
        <v>293</v>
      </c>
      <c r="F13" s="22" t="s">
        <v>310</v>
      </c>
      <c r="G13" s="22"/>
      <c r="H13" s="22" t="s">
        <v>295</v>
      </c>
      <c r="I13" s="22"/>
    </row>
    <row r="14" spans="1:9" x14ac:dyDescent="0.3">
      <c r="A14" s="22" t="s">
        <v>40</v>
      </c>
      <c r="B14" s="22" t="s">
        <v>291</v>
      </c>
      <c r="C14" s="22" t="s">
        <v>84</v>
      </c>
      <c r="D14" s="22" t="s">
        <v>292</v>
      </c>
      <c r="E14" s="22" t="s">
        <v>293</v>
      </c>
      <c r="F14" s="22" t="s">
        <v>311</v>
      </c>
      <c r="G14" s="22"/>
      <c r="H14" s="22" t="s">
        <v>295</v>
      </c>
      <c r="I14" s="22"/>
    </row>
    <row r="15" spans="1:9" ht="39.6" x14ac:dyDescent="0.3">
      <c r="A15" s="22" t="s">
        <v>40</v>
      </c>
      <c r="B15" s="22" t="s">
        <v>291</v>
      </c>
      <c r="C15" s="22" t="s">
        <v>85</v>
      </c>
      <c r="D15" s="22" t="s">
        <v>292</v>
      </c>
      <c r="E15" s="22" t="s">
        <v>293</v>
      </c>
      <c r="F15" s="22" t="s">
        <v>312</v>
      </c>
      <c r="G15" s="22"/>
      <c r="H15" s="22" t="s">
        <v>313</v>
      </c>
      <c r="I15" s="22" t="s">
        <v>314</v>
      </c>
    </row>
    <row r="16" spans="1:9" x14ac:dyDescent="0.3">
      <c r="A16" s="22" t="s">
        <v>40</v>
      </c>
      <c r="B16" s="22" t="s">
        <v>291</v>
      </c>
      <c r="C16" s="22" t="s">
        <v>86</v>
      </c>
      <c r="D16" s="22" t="s">
        <v>292</v>
      </c>
      <c r="E16" s="22" t="s">
        <v>293</v>
      </c>
      <c r="F16" s="22" t="s">
        <v>315</v>
      </c>
      <c r="G16" s="22" t="s">
        <v>316</v>
      </c>
      <c r="H16" s="22" t="s">
        <v>295</v>
      </c>
      <c r="I16" s="22"/>
    </row>
    <row r="17" spans="1:9" x14ac:dyDescent="0.3">
      <c r="A17" s="22" t="s">
        <v>40</v>
      </c>
      <c r="B17" s="22" t="s">
        <v>291</v>
      </c>
      <c r="C17" s="22" t="s">
        <v>87</v>
      </c>
      <c r="D17" s="22" t="s">
        <v>292</v>
      </c>
      <c r="E17" s="22" t="s">
        <v>293</v>
      </c>
      <c r="F17" s="22" t="s">
        <v>317</v>
      </c>
      <c r="G17" s="22"/>
      <c r="H17" s="22" t="s">
        <v>295</v>
      </c>
      <c r="I17" s="22"/>
    </row>
    <row r="18" spans="1:9" x14ac:dyDescent="0.3">
      <c r="A18" s="22" t="s">
        <v>40</v>
      </c>
      <c r="B18" s="22" t="s">
        <v>291</v>
      </c>
      <c r="C18" s="22" t="s">
        <v>88</v>
      </c>
      <c r="D18" s="22" t="s">
        <v>292</v>
      </c>
      <c r="E18" s="22" t="s">
        <v>293</v>
      </c>
      <c r="F18" s="22" t="s">
        <v>318</v>
      </c>
      <c r="G18" s="22" t="s">
        <v>319</v>
      </c>
      <c r="H18" s="22" t="s">
        <v>295</v>
      </c>
      <c r="I18" s="22"/>
    </row>
    <row r="19" spans="1:9" x14ac:dyDescent="0.3">
      <c r="A19" s="22" t="s">
        <v>40</v>
      </c>
      <c r="B19" s="22" t="s">
        <v>291</v>
      </c>
      <c r="C19" s="22" t="s">
        <v>89</v>
      </c>
      <c r="D19" s="22" t="s">
        <v>292</v>
      </c>
      <c r="E19" s="22" t="s">
        <v>293</v>
      </c>
      <c r="F19" s="22" t="s">
        <v>320</v>
      </c>
      <c r="G19" s="22"/>
      <c r="H19" s="22" t="s">
        <v>313</v>
      </c>
      <c r="I19" s="22"/>
    </row>
    <row r="20" spans="1:9" x14ac:dyDescent="0.3">
      <c r="A20" s="22" t="s">
        <v>42</v>
      </c>
      <c r="B20" s="22" t="s">
        <v>321</v>
      </c>
      <c r="C20" s="22" t="s">
        <v>213</v>
      </c>
      <c r="D20" s="22" t="s">
        <v>292</v>
      </c>
      <c r="E20" s="22" t="s">
        <v>293</v>
      </c>
      <c r="F20" s="22" t="s">
        <v>322</v>
      </c>
      <c r="G20" s="22"/>
      <c r="H20" s="22" t="s">
        <v>295</v>
      </c>
      <c r="I20" s="22" t="s">
        <v>296</v>
      </c>
    </row>
    <row r="21" spans="1:9" x14ac:dyDescent="0.3">
      <c r="A21" s="22" t="s">
        <v>42</v>
      </c>
      <c r="B21" s="22" t="s">
        <v>321</v>
      </c>
      <c r="C21" s="22" t="s">
        <v>73</v>
      </c>
      <c r="D21" s="22" t="s">
        <v>292</v>
      </c>
      <c r="E21" s="22" t="s">
        <v>293</v>
      </c>
      <c r="F21" s="22" t="s">
        <v>323</v>
      </c>
      <c r="G21" s="22"/>
      <c r="H21" s="22" t="s">
        <v>295</v>
      </c>
      <c r="I21" s="22"/>
    </row>
    <row r="22" spans="1:9" x14ac:dyDescent="0.3">
      <c r="A22" s="22" t="s">
        <v>42</v>
      </c>
      <c r="B22" s="22" t="s">
        <v>321</v>
      </c>
      <c r="C22" s="22" t="s">
        <v>74</v>
      </c>
      <c r="D22" s="22" t="s">
        <v>292</v>
      </c>
      <c r="E22" s="22" t="s">
        <v>293</v>
      </c>
      <c r="F22" s="22" t="s">
        <v>324</v>
      </c>
      <c r="G22" s="22"/>
      <c r="H22" s="22" t="s">
        <v>295</v>
      </c>
      <c r="I22" s="22"/>
    </row>
    <row r="23" spans="1:9" x14ac:dyDescent="0.3">
      <c r="A23" s="22" t="s">
        <v>42</v>
      </c>
      <c r="B23" s="22" t="s">
        <v>321</v>
      </c>
      <c r="C23" s="22" t="s">
        <v>214</v>
      </c>
      <c r="D23" s="22" t="s">
        <v>292</v>
      </c>
      <c r="E23" s="22" t="s">
        <v>293</v>
      </c>
      <c r="F23" s="22" t="s">
        <v>325</v>
      </c>
      <c r="G23" s="22"/>
      <c r="H23" s="22" t="s">
        <v>295</v>
      </c>
      <c r="I23" s="22"/>
    </row>
    <row r="24" spans="1:9" x14ac:dyDescent="0.3">
      <c r="A24" s="22" t="s">
        <v>42</v>
      </c>
      <c r="B24" s="22" t="s">
        <v>321</v>
      </c>
      <c r="C24" s="22" t="s">
        <v>77</v>
      </c>
      <c r="D24" s="22" t="s">
        <v>301</v>
      </c>
      <c r="E24" s="22" t="s">
        <v>293</v>
      </c>
      <c r="F24" s="22" t="s">
        <v>302</v>
      </c>
      <c r="G24" s="22" t="s">
        <v>303</v>
      </c>
      <c r="H24" s="22" t="s">
        <v>295</v>
      </c>
      <c r="I24" s="22"/>
    </row>
    <row r="25" spans="1:9" x14ac:dyDescent="0.3">
      <c r="A25" s="22" t="s">
        <v>42</v>
      </c>
      <c r="B25" s="22" t="s">
        <v>321</v>
      </c>
      <c r="C25" s="22" t="s">
        <v>215</v>
      </c>
      <c r="D25" s="22" t="s">
        <v>301</v>
      </c>
      <c r="E25" s="22" t="s">
        <v>293</v>
      </c>
      <c r="F25" s="22" t="s">
        <v>302</v>
      </c>
      <c r="G25" s="22" t="s">
        <v>303</v>
      </c>
      <c r="H25" s="22" t="s">
        <v>295</v>
      </c>
      <c r="I25" s="22"/>
    </row>
    <row r="26" spans="1:9" x14ac:dyDescent="0.3">
      <c r="A26" s="22" t="s">
        <v>42</v>
      </c>
      <c r="B26" s="22" t="s">
        <v>321</v>
      </c>
      <c r="C26" s="22" t="s">
        <v>79</v>
      </c>
      <c r="D26" s="22" t="s">
        <v>301</v>
      </c>
      <c r="E26" s="22" t="s">
        <v>304</v>
      </c>
      <c r="F26" s="22" t="s">
        <v>326</v>
      </c>
      <c r="G26" s="22"/>
      <c r="H26" s="22" t="s">
        <v>295</v>
      </c>
      <c r="I26" s="22"/>
    </row>
    <row r="27" spans="1:9" x14ac:dyDescent="0.3">
      <c r="A27" s="22" t="s">
        <v>42</v>
      </c>
      <c r="B27" s="22" t="s">
        <v>321</v>
      </c>
      <c r="C27" s="22" t="s">
        <v>80</v>
      </c>
      <c r="D27" s="22" t="s">
        <v>292</v>
      </c>
      <c r="E27" s="22" t="s">
        <v>304</v>
      </c>
      <c r="F27" s="22" t="s">
        <v>327</v>
      </c>
      <c r="G27" s="22"/>
      <c r="H27" s="22" t="s">
        <v>295</v>
      </c>
      <c r="I27" s="22"/>
    </row>
    <row r="28" spans="1:9" x14ac:dyDescent="0.3">
      <c r="A28" s="22" t="s">
        <v>42</v>
      </c>
      <c r="B28" s="22" t="s">
        <v>321</v>
      </c>
      <c r="C28" s="22" t="s">
        <v>216</v>
      </c>
      <c r="D28" s="22" t="s">
        <v>292</v>
      </c>
      <c r="E28" s="22" t="s">
        <v>293</v>
      </c>
      <c r="F28" s="22" t="s">
        <v>328</v>
      </c>
      <c r="G28" s="22" t="s">
        <v>308</v>
      </c>
      <c r="H28" s="22" t="s">
        <v>295</v>
      </c>
      <c r="I28" s="22"/>
    </row>
    <row r="29" spans="1:9" x14ac:dyDescent="0.3">
      <c r="A29" s="22" t="s">
        <v>42</v>
      </c>
      <c r="B29" s="22" t="s">
        <v>321</v>
      </c>
      <c r="C29" s="22" t="s">
        <v>217</v>
      </c>
      <c r="D29" s="22" t="s">
        <v>292</v>
      </c>
      <c r="E29" s="22" t="s">
        <v>293</v>
      </c>
      <c r="F29" s="22" t="s">
        <v>329</v>
      </c>
      <c r="G29" s="22"/>
      <c r="H29" s="22" t="s">
        <v>295</v>
      </c>
      <c r="I29" s="22"/>
    </row>
    <row r="30" spans="1:9" x14ac:dyDescent="0.3">
      <c r="A30" s="22" t="s">
        <v>42</v>
      </c>
      <c r="B30" s="22" t="s">
        <v>321</v>
      </c>
      <c r="C30" s="22" t="s">
        <v>84</v>
      </c>
      <c r="D30" s="22" t="s">
        <v>292</v>
      </c>
      <c r="E30" s="22" t="s">
        <v>293</v>
      </c>
      <c r="F30" s="22" t="s">
        <v>330</v>
      </c>
      <c r="G30" s="22"/>
      <c r="H30" s="22" t="s">
        <v>295</v>
      </c>
      <c r="I30" s="22"/>
    </row>
    <row r="31" spans="1:9" x14ac:dyDescent="0.3">
      <c r="A31" s="22" t="s">
        <v>42</v>
      </c>
      <c r="B31" s="22" t="s">
        <v>321</v>
      </c>
      <c r="C31" s="22" t="s">
        <v>85</v>
      </c>
      <c r="D31" s="22" t="s">
        <v>292</v>
      </c>
      <c r="E31" s="22" t="s">
        <v>293</v>
      </c>
      <c r="F31" s="22" t="s">
        <v>312</v>
      </c>
      <c r="G31" s="22"/>
      <c r="H31" s="22" t="s">
        <v>313</v>
      </c>
      <c r="I31" s="22"/>
    </row>
    <row r="32" spans="1:9" x14ac:dyDescent="0.3">
      <c r="A32" s="22" t="s">
        <v>42</v>
      </c>
      <c r="B32" s="22" t="s">
        <v>321</v>
      </c>
      <c r="C32" s="22" t="s">
        <v>86</v>
      </c>
      <c r="D32" s="22" t="s">
        <v>292</v>
      </c>
      <c r="E32" s="22" t="s">
        <v>293</v>
      </c>
      <c r="F32" s="22" t="s">
        <v>315</v>
      </c>
      <c r="G32" s="22" t="s">
        <v>316</v>
      </c>
      <c r="H32" s="22" t="s">
        <v>295</v>
      </c>
      <c r="I32" s="22"/>
    </row>
    <row r="33" spans="1:9" x14ac:dyDescent="0.3">
      <c r="A33" s="22" t="s">
        <v>42</v>
      </c>
      <c r="B33" s="22" t="s">
        <v>321</v>
      </c>
      <c r="C33" s="22" t="s">
        <v>88</v>
      </c>
      <c r="D33" s="22" t="s">
        <v>292</v>
      </c>
      <c r="E33" s="22" t="s">
        <v>293</v>
      </c>
      <c r="F33" s="22" t="s">
        <v>331</v>
      </c>
      <c r="G33" s="22" t="s">
        <v>319</v>
      </c>
      <c r="H33" s="22" t="s">
        <v>295</v>
      </c>
      <c r="I33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8</vt:i4>
      </vt:variant>
    </vt:vector>
  </HeadingPairs>
  <TitlesOfParts>
    <vt:vector size="14" baseType="lpstr">
      <vt:lpstr>00_LEIA-ME</vt:lpstr>
      <vt:lpstr>Riscos_SGE</vt:lpstr>
      <vt:lpstr>Oportunidades_SGE</vt:lpstr>
      <vt:lpstr>Matriz_Risco</vt:lpstr>
      <vt:lpstr>Listas</vt:lpstr>
      <vt:lpstr>Dicionario_Dados</vt:lpstr>
      <vt:lpstr>DataRef</vt:lpstr>
      <vt:lpstr>lst_DataReferencia</vt:lpstr>
      <vt:lpstr>lst_Eficacia</vt:lpstr>
      <vt:lpstr>lst_Escala</vt:lpstr>
      <vt:lpstr>lst_Funcao</vt:lpstr>
      <vt:lpstr>lst_Opcao</vt:lpstr>
      <vt:lpstr>Oportunidades_SGE!Títulos_de_Impressão</vt:lpstr>
      <vt:lpstr>Riscos_SGE!Títulos_de_Impressão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RG-SGE-03 Riscos e Oportunidades do SGE</dc:title>
  <dc:subject>SGE NP EN ISO 50001:2019 (ISO 50001:2018 + Amd 1:2024) — Plasticom</dc:subject>
  <dc:creator>Gestor(a) de Energia</dc:creator>
  <cp:lastModifiedBy>Aline Meireles</cp:lastModifiedBy>
  <dcterms:created xsi:type="dcterms:W3CDTF">2026-09-30T16:50:17Z</dcterms:created>
  <dcterms:modified xsi:type="dcterms:W3CDTF">2026-09-30T16:50:24Z</dcterms:modified>
</cp:coreProperties>
</file>