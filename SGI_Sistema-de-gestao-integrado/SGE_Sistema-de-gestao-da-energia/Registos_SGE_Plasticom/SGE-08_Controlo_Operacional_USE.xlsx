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E_Sistema-de-gestao-da-energia\Registos_SGE_Plasticom\"/>
    </mc:Choice>
  </mc:AlternateContent>
  <xr:revisionPtr revIDLastSave="0" documentId="13_ncr:1_{2FCD66EC-F57C-42C7-B549-A5021F2D01EB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Criterios_Operacionais" sheetId="2" r:id="rId2"/>
    <sheet name="Rondas_Energia" sheetId="3" r:id="rId3"/>
    <sheet name="Alteracoes_Nao_Intencionais" sheetId="4" r:id="rId4"/>
    <sheet name="Listas" sheetId="5" r:id="rId5"/>
    <sheet name="Dicionario_Dados" sheetId="6" r:id="rId6"/>
  </sheets>
  <definedNames>
    <definedName name="DataRef">Listas!$A$3</definedName>
    <definedName name="lst_DataReferencia">Listas!$A$3:$A$3</definedName>
    <definedName name="lst_Funcao">Listas!$B$3:$B$24</definedName>
    <definedName name="lst_ResultadoRonda">Listas!$C$3:$C$5</definedName>
    <definedName name="_xlnm.Print_Titles" localSheetId="1">Criterios_Operacionais!$4:$4</definedName>
    <definedName name="_xlnm.Print_Titles" localSheetId="2">Rondas_Energia!$4:$4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6" i="3" l="1"/>
  <c r="I186" i="3"/>
  <c r="J185" i="3"/>
  <c r="I185" i="3"/>
  <c r="J184" i="3"/>
  <c r="I184" i="3"/>
  <c r="J183" i="3"/>
  <c r="I183" i="3"/>
  <c r="J182" i="3"/>
  <c r="I182" i="3"/>
  <c r="J181" i="3"/>
  <c r="I181" i="3"/>
  <c r="J180" i="3"/>
  <c r="I180" i="3"/>
  <c r="J179" i="3"/>
  <c r="I179" i="3"/>
  <c r="J178" i="3"/>
  <c r="I178" i="3"/>
  <c r="J177" i="3"/>
  <c r="I177" i="3"/>
  <c r="J176" i="3"/>
  <c r="I176" i="3"/>
  <c r="J175" i="3"/>
  <c r="I175" i="3"/>
  <c r="J174" i="3"/>
  <c r="I174" i="3"/>
  <c r="J173" i="3"/>
  <c r="I173" i="3"/>
  <c r="J172" i="3"/>
  <c r="I172" i="3"/>
  <c r="J171" i="3"/>
  <c r="I171" i="3"/>
  <c r="J170" i="3"/>
  <c r="I170" i="3"/>
  <c r="J169" i="3"/>
  <c r="I169" i="3"/>
  <c r="J168" i="3"/>
  <c r="I168" i="3"/>
  <c r="J167" i="3"/>
  <c r="I167" i="3"/>
  <c r="J166" i="3"/>
  <c r="I166" i="3"/>
  <c r="J165" i="3"/>
  <c r="I165" i="3"/>
  <c r="J164" i="3"/>
  <c r="I164" i="3"/>
  <c r="J163" i="3"/>
  <c r="I163" i="3"/>
  <c r="J162" i="3"/>
  <c r="I162" i="3"/>
  <c r="J161" i="3"/>
  <c r="I161" i="3"/>
  <c r="J160" i="3"/>
  <c r="I160" i="3"/>
  <c r="J159" i="3"/>
  <c r="I159" i="3"/>
  <c r="J158" i="3"/>
  <c r="I158" i="3"/>
  <c r="J157" i="3"/>
  <c r="I157" i="3"/>
  <c r="J156" i="3"/>
  <c r="I156" i="3"/>
  <c r="J155" i="3"/>
  <c r="I155" i="3"/>
  <c r="J154" i="3"/>
  <c r="I154" i="3"/>
  <c r="J153" i="3"/>
  <c r="I153" i="3"/>
  <c r="J152" i="3"/>
  <c r="I152" i="3"/>
  <c r="J151" i="3"/>
  <c r="I151" i="3"/>
  <c r="J150" i="3"/>
  <c r="I150" i="3"/>
  <c r="J149" i="3"/>
  <c r="I149" i="3"/>
  <c r="J148" i="3"/>
  <c r="I148" i="3"/>
  <c r="J147" i="3"/>
  <c r="I147" i="3"/>
  <c r="J146" i="3"/>
  <c r="I146" i="3"/>
  <c r="J145" i="3"/>
  <c r="I145" i="3"/>
  <c r="J144" i="3"/>
  <c r="I144" i="3"/>
  <c r="J143" i="3"/>
  <c r="I143" i="3"/>
  <c r="J142" i="3"/>
  <c r="I142" i="3"/>
  <c r="J141" i="3"/>
  <c r="I141" i="3"/>
  <c r="J140" i="3"/>
  <c r="I140" i="3"/>
  <c r="J139" i="3"/>
  <c r="I139" i="3"/>
  <c r="J138" i="3"/>
  <c r="I138" i="3"/>
  <c r="J137" i="3"/>
  <c r="I137" i="3"/>
  <c r="J136" i="3"/>
  <c r="I136" i="3"/>
  <c r="J135" i="3"/>
  <c r="I135" i="3"/>
  <c r="J134" i="3"/>
  <c r="I134" i="3"/>
  <c r="J133" i="3"/>
  <c r="I133" i="3"/>
  <c r="J132" i="3"/>
  <c r="I132" i="3"/>
  <c r="J131" i="3"/>
  <c r="I131" i="3"/>
  <c r="J130" i="3"/>
  <c r="I130" i="3"/>
  <c r="J129" i="3"/>
  <c r="I129" i="3"/>
  <c r="J128" i="3"/>
  <c r="I128" i="3"/>
  <c r="J127" i="3"/>
  <c r="I127" i="3"/>
  <c r="J126" i="3"/>
  <c r="I126" i="3"/>
  <c r="J125" i="3"/>
  <c r="I125" i="3"/>
  <c r="J124" i="3"/>
  <c r="I124" i="3"/>
  <c r="J123" i="3"/>
  <c r="I123" i="3"/>
  <c r="J122" i="3"/>
  <c r="I122" i="3"/>
  <c r="J121" i="3"/>
  <c r="I121" i="3"/>
  <c r="J120" i="3"/>
  <c r="I120" i="3"/>
  <c r="J119" i="3"/>
  <c r="I119" i="3"/>
  <c r="J118" i="3"/>
  <c r="I118" i="3"/>
  <c r="J117" i="3"/>
  <c r="I117" i="3"/>
  <c r="J116" i="3"/>
  <c r="I116" i="3"/>
  <c r="J115" i="3"/>
  <c r="I115" i="3"/>
  <c r="J114" i="3"/>
  <c r="I114" i="3"/>
  <c r="J113" i="3"/>
  <c r="I113" i="3"/>
  <c r="J112" i="3"/>
  <c r="I112" i="3"/>
  <c r="J111" i="3"/>
  <c r="I111" i="3"/>
  <c r="J110" i="3"/>
  <c r="I110" i="3"/>
  <c r="J109" i="3"/>
  <c r="I109" i="3"/>
  <c r="J108" i="3"/>
  <c r="I108" i="3"/>
  <c r="J107" i="3"/>
  <c r="I107" i="3"/>
  <c r="J106" i="3"/>
  <c r="I106" i="3"/>
  <c r="J105" i="3"/>
  <c r="I105" i="3"/>
  <c r="J104" i="3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J96" i="3"/>
  <c r="I96" i="3"/>
  <c r="J95" i="3"/>
  <c r="I95" i="3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M20" i="2"/>
  <c r="N20" i="2" s="1"/>
  <c r="O20" i="2" s="1"/>
  <c r="M19" i="2"/>
  <c r="N19" i="2" s="1"/>
  <c r="O19" i="2" s="1"/>
  <c r="M18" i="2"/>
  <c r="N18" i="2" s="1"/>
  <c r="O18" i="2" s="1"/>
  <c r="M17" i="2"/>
  <c r="N17" i="2" s="1"/>
  <c r="O17" i="2" s="1"/>
  <c r="M16" i="2"/>
  <c r="N16" i="2" s="1"/>
  <c r="O16" i="2" s="1"/>
  <c r="M15" i="2"/>
  <c r="N15" i="2" s="1"/>
  <c r="O15" i="2" s="1"/>
  <c r="M14" i="2"/>
  <c r="N14" i="2" s="1"/>
  <c r="O14" i="2" s="1"/>
  <c r="M13" i="2"/>
  <c r="N13" i="2" s="1"/>
  <c r="O13" i="2" s="1"/>
  <c r="M12" i="2"/>
  <c r="N12" i="2" s="1"/>
  <c r="O12" i="2" s="1"/>
  <c r="M11" i="2"/>
  <c r="N11" i="2" s="1"/>
  <c r="O11" i="2" s="1"/>
  <c r="N10" i="2"/>
  <c r="O10" i="2" s="1"/>
  <c r="M10" i="2"/>
  <c r="M9" i="2"/>
  <c r="N9" i="2" s="1"/>
  <c r="O9" i="2" s="1"/>
  <c r="M8" i="2"/>
  <c r="N8" i="2" s="1"/>
  <c r="O8" i="2" s="1"/>
  <c r="M7" i="2"/>
  <c r="N7" i="2" s="1"/>
  <c r="O7" i="2" s="1"/>
  <c r="M6" i="2"/>
  <c r="N6" i="2" s="1"/>
  <c r="O6" i="2" s="1"/>
  <c r="M5" i="2"/>
  <c r="N5" i="2" s="1"/>
  <c r="O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Critério operacional.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USE (RG-SGE-04).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Equipamento.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Parâmetro controlado.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Critério de operação / manutenção (8.1 a).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O que é desvio significativo (Nota de 8.1).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Como se verifica (8.1 c).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Frequência.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A quem é comunicado (8.1 b).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Onde está escrito (8.1 d).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Operação / manutenção.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Verificações registadas.
[calculado]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Conformes ÷ verificações.
[calculado]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&lt; 80% rever.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Ronda.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Data.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Turno.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Critério.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Conforme / não conforme.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Observação.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Ação imediata.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Quem verificou.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Chave única (ronda|critério).
[calculado]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1 = não conforme (para gráficos e ML).
[calculado]</t>
        </r>
      </text>
    </comment>
  </commentList>
</comments>
</file>

<file path=xl/sharedStrings.xml><?xml version="1.0" encoding="utf-8"?>
<sst xmlns="http://schemas.openxmlformats.org/spreadsheetml/2006/main" count="1385" uniqueCount="339">
  <si>
    <t>RG-SGE-08 — Controlo Operacional dos Usos Significativos de Energia</t>
  </si>
  <si>
    <t>Sistema de Gestão da Energia NP EN ISO 50001:2019 (ISO 50001:2018 + Amd 1:2024) · Plasticom — Unidade 1 (Marinha Grande, Portugal) · Registo do SGE (fábrica simulada)</t>
  </si>
  <si>
    <t>CONTROLO DO DOCUMENTO (7.5 — informação documentada)</t>
  </si>
  <si>
    <t>Código do registo</t>
  </si>
  <si>
    <t>RG-SGE-08</t>
  </si>
  <si>
    <t>Título</t>
  </si>
  <si>
    <t>Controlo Operacional dos Usos Significativos de Energia</t>
  </si>
  <si>
    <t>Versão / Revisão</t>
  </si>
  <si>
    <t>01</t>
  </si>
  <si>
    <t>Data de emissão</t>
  </si>
  <si>
    <t>Elaborado por</t>
  </si>
  <si>
    <t>Gestor(a) de Energia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</si>
  <si>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</si>
  <si>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</si>
  <si>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</si>
  <si>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</si>
  <si>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</si>
  <si>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</si>
  <si>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</si>
  <si>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SGE &gt; Registos_SGE_Plasticom (a versão eletrónica é a controlada; cópias impressas são não controladas). Controlo da informação documentada comum ao SGI: PR-SGA-08 (7.5.3 — distribuição, acesso, versão, retenção).</t>
  </si>
  <si>
    <t>FINALIDADE E ÂMBITO</t>
  </si>
  <si>
    <t>Finalidade</t>
  </si>
  <si>
    <t>16 critérios operacionais (CO-xx) por USE com o limite de desvio significativo, método e frequência de verificação; rondas de energia semanais jul–dez/2026 (simuladas) com taxa de conformidade por critério calculada.</t>
  </si>
  <si>
    <t>Utilização / atividades</t>
  </si>
  <si>
    <t>Estabelecer critérios de operação e manutenção dos USE cuja ausência pode levar a desvio significativo do desempenho energético, comunicá-los, controlar os processos segundo esses critérios e manter evidência; controlar alterações planeadas e rever as não intencionais.</t>
  </si>
  <si>
    <t>Requisitos ISO 50001:2018</t>
  </si>
  <si>
    <t>8.1 a) critérios de operação e manutenção (desvio significativo definido pela organização); b) comunicação dos critérios; c) controlo dos processos; d) informação documentada (na medida necessária); controlo de alterações planeadas e consequências das não intencionais; USE subcontratados controlados (8.3).</t>
  </si>
  <si>
    <t>NORMAS DE ORIENTAÇÃO E REFERÊNCIAS APLICADAS (orientação — não são requisitos auditáveis da ISO 50001)</t>
  </si>
  <si>
    <t>ISO 50004:2020 §8.1</t>
  </si>
  <si>
    <t>Exemplos de critérios de operação e manutenção para USE.</t>
  </si>
  <si>
    <t>ISO 11011:2013</t>
  </si>
  <si>
    <t>Pressão, fugas e secadores da central de ar.</t>
  </si>
  <si>
    <t>Kent/BPF</t>
  </si>
  <si>
    <t>Standby, isolamento de canhões, setpoint da água gelada (+1 °C ≈ −3%), filtros com ΔP ≤ 0,4 bar.</t>
  </si>
  <si>
    <t>M-8 Operação (curso Bureau Veritas)</t>
  </si>
  <si>
    <t>Interpretação de 8.1–8.3 (critérios, alterações e USE subcontratados).</t>
  </si>
  <si>
    <t>REQUISITOS LEGAIS E OUTROS REQUISITOS APLICADOS (4.2, 9.1.2 — lista completa no RG-SGE-11)</t>
  </si>
  <si>
    <t>Reg. (UE) 2024/573 (gases fluorados)</t>
  </si>
  <si>
    <t>Manutenção e deteção de fugas do chiller CH-01 (R410A) — tratado no RG-SGA-10; aqui só o setpoint e a eficiência.</t>
  </si>
  <si>
    <t>ESTRUTURA DO FICHEIRO</t>
  </si>
  <si>
    <t>Criterios_Operacionais</t>
  </si>
  <si>
    <t>Critérios de operação e manutenção dos USE (8.1).</t>
  </si>
  <si>
    <t>Rondas_Energia</t>
  </si>
  <si>
    <t>Rondas de energia semanais (8.1 c–d) jul–dez/2026 — simuladas.</t>
  </si>
  <si>
    <t>Alteracoes_Nao_Intencionais</t>
  </si>
  <si>
    <t>Revisão das consequências de alterações não intencionais e controlo das planeadas (8.1, último parágrafo).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</si>
  <si>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</si>
  <si>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</si>
  <si>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</si>
  <si>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</si>
  <si>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</si>
  <si>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</si>
  <si>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</si>
  <si>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</si>
  <si>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</si>
  <si>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</si>
  <si>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</si>
  <si>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</si>
  <si>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SGE, do SGA e do SGQ — ver SGE-00_Indice_Modelo_Dados.xlsx.</t>
  </si>
  <si>
    <t>Datas e unidades</t>
  </si>
  <si>
    <t>Datas em formato data (aaaa-mm-dd); energia em kWh (MWh quando indicado); a unidade está no nome da coluna ou no dicionário. Data de referência do SGE: 2026-12-31.</t>
  </si>
  <si>
    <t>Dados</t>
  </si>
  <si>
    <t>Fábrica simulada Plasticom. Eletricidade mensal por uso: fonte única RG-SGA-13 (tbl_dados_ambientais, mar/2025 a dez/2026, já com o efeito das ações de energia de out–dez/2026). Produção e horas de marcha por máquina: dataset do projeto (datasets/silver). Dados que o dataset não tem (campanha de medição por máquina, faturas por período tarifário, gasóleo, compressores, SGCIE) são simulação didática coerente com esses dados e estão marcados como tal.</t>
  </si>
  <si>
    <t>LIGAÇÕES A OUTROS REGISTOS</t>
  </si>
  <si>
    <t>RG-SGE-04 tbl_use</t>
  </si>
  <si>
    <t>USE e pessoas que os influenciam.</t>
  </si>
  <si>
    <t>RG-SGA-10</t>
  </si>
  <si>
    <t>Rondas ambientais (RON-10 — máquinas e iluminação em paragens) — mesma ronda integrada no SGI.</t>
  </si>
  <si>
    <t>RG-SGA-18 / PR-SGA-06</t>
  </si>
  <si>
    <t>Controlo das alterações planeadas (secção de energia).</t>
  </si>
  <si>
    <t>RG-SGE-11</t>
  </si>
  <si>
    <t>Desvios significativos do desempenho investigados.</t>
  </si>
  <si>
    <t>CRITÉRIOS OPERACIONAIS DOS USE (8.1)</t>
  </si>
  <si>
    <t>Desvio significativo definido por critério · Comunicação aos operadores nas IT-SGE-01 a 03 e no quadro SQDC</t>
  </si>
  <si>
    <t>ID_Criterio</t>
  </si>
  <si>
    <t>ID_USE</t>
  </si>
  <si>
    <t>Equipamento</t>
  </si>
  <si>
    <t>Parametro</t>
  </si>
  <si>
    <t>Criterio</t>
  </si>
  <si>
    <t>Desvio_Significativo</t>
  </si>
  <si>
    <t>Metodo_Verificacao</t>
  </si>
  <si>
    <t>Frequencia</t>
  </si>
  <si>
    <t>Responsavel</t>
  </si>
  <si>
    <t>Comunicado_A</t>
  </si>
  <si>
    <t>Documento</t>
  </si>
  <si>
    <t>Tipo</t>
  </si>
  <si>
    <t>N_Verificacoes</t>
  </si>
  <si>
    <t>Taxa_Conformidade</t>
  </si>
  <si>
    <t>Alerta</t>
  </si>
  <si>
    <t>CO-01</t>
  </si>
  <si>
    <t>USE-01</t>
  </si>
  <si>
    <t>ISBM (todas)</t>
  </si>
  <si>
    <t>Standby em paragens &gt; 30 min e pausas</t>
  </si>
  <si>
    <t>Fornos de pré-forma a 60%, bomba hidráulica desligada</t>
  </si>
  <si>
    <t>Máquina aquecida em vazio &gt; 30 min</t>
  </si>
  <si>
    <t>Ronda de energia</t>
  </si>
  <si>
    <t>Semanal</t>
  </si>
  <si>
    <t>Chefe de Turno</t>
  </si>
  <si>
    <t>Operadores de sopro</t>
  </si>
  <si>
    <t>IT-SGE-01</t>
  </si>
  <si>
    <t>Operação</t>
  </si>
  <si>
    <t>CO-02</t>
  </si>
  <si>
    <t>Pressão de sopro</t>
  </si>
  <si>
    <t>Pressão mínima validada por SKU (ficha de parâmetros)</t>
  </si>
  <si>
    <t>&gt; 2 bar acima da ficha</t>
  </si>
  <si>
    <t>Leitura no HMI</t>
  </si>
  <si>
    <t>Por arranque</t>
  </si>
  <si>
    <t>Operador de Sopro (ISBM)</t>
  </si>
  <si>
    <t>Ficha de parâmetros</t>
  </si>
  <si>
    <t>CO-03</t>
  </si>
  <si>
    <t>ISBM hidráulicas</t>
  </si>
  <si>
    <t>Manutenção hidráulica</t>
  </si>
  <si>
    <t>Filtros e óleo no prazo; sem fugas de óleo</t>
  </si>
  <si>
    <t>Plano atrasado &gt; 15 dias</t>
  </si>
  <si>
    <t>SAP PM</t>
  </si>
  <si>
    <t>Mensal</t>
  </si>
  <si>
    <t>Gerente de Manutenção</t>
  </si>
  <si>
    <t>Manutenção</t>
  </si>
  <si>
    <t>Plano de manutenção</t>
  </si>
  <si>
    <t>CO-04</t>
  </si>
  <si>
    <t>ISBM elétricas</t>
  </si>
  <si>
    <t>Recuperação de ar</t>
  </si>
  <si>
    <t>Sistema de recuperação ativo</t>
  </si>
  <si>
    <t>Recuperação desativada</t>
  </si>
  <si>
    <t>Técnico de Utilidades</t>
  </si>
  <si>
    <t>IT-SGE-02</t>
  </si>
  <si>
    <t>CO-05</t>
  </si>
  <si>
    <t>USE-02</t>
  </si>
  <si>
    <t>Injetoras (todas)</t>
  </si>
  <si>
    <t>Resistências a 60%, bomba desligada (hidráulicas)</t>
  </si>
  <si>
    <t>Operadores de injeção</t>
  </si>
  <si>
    <t>CO-06</t>
  </si>
  <si>
    <t>Temperaturas do canhão</t>
  </si>
  <si>
    <t>Dentro de ±5 °C do setpoint da ficha do molde</t>
  </si>
  <si>
    <t>&gt; 10 °C acima</t>
  </si>
  <si>
    <t>Operador de Injeção</t>
  </si>
  <si>
    <t>Ficha do molde</t>
  </si>
  <si>
    <t>CO-07</t>
  </si>
  <si>
    <t>Isolamento dos canhões</t>
  </si>
  <si>
    <t>Mantas instaladas e sem danos</t>
  </si>
  <si>
    <t>Manta em falta/danificada</t>
  </si>
  <si>
    <t>Técnico de Manutenção</t>
  </si>
  <si>
    <t>CO-08</t>
  </si>
  <si>
    <t>IM-002, IM-004</t>
  </si>
  <si>
    <t>Bomba hidráulica</t>
  </si>
  <si>
    <t>Pressão do sistema dentro da ficha; sem sobreaquecimento do óleo</t>
  </si>
  <si>
    <t>Óleo &gt; 55 °C</t>
  </si>
  <si>
    <t>CO-09</t>
  </si>
  <si>
    <t>USE-03</t>
  </si>
  <si>
    <t>Rede de ar</t>
  </si>
  <si>
    <t>Pressão de serviço</t>
  </si>
  <si>
    <t>6,8–7,2 bar (setpoint 6,8 desde 16/11/2026)</t>
  </si>
  <si>
    <t>&gt; 7,2 bar</t>
  </si>
  <si>
    <t>Controlador dos compressores</t>
  </si>
  <si>
    <t>Diária</t>
  </si>
  <si>
    <t>Utilidades</t>
  </si>
  <si>
    <t>CO-10</t>
  </si>
  <si>
    <t>Fugas</t>
  </si>
  <si>
    <t>Fugas ≤ 10% no teste de vazio; etiquetas reparadas em ≤ 5 dias</t>
  </si>
  <si>
    <t>Fugas &gt; 15% ou etiqueta &gt; 10 dias</t>
  </si>
  <si>
    <t>Teste de vazio + ultrassom</t>
  </si>
  <si>
    <t>CO-11</t>
  </si>
  <si>
    <t>Ramais ao fim de semana</t>
  </si>
  <si>
    <t>Válvulas das áreas paradas fechadas à sexta às 22 h</t>
  </si>
  <si>
    <t>Válvula aberta sem produção</t>
  </si>
  <si>
    <t>Ronda de sexta</t>
  </si>
  <si>
    <t>Chefes de turno</t>
  </si>
  <si>
    <t>CO-12</t>
  </si>
  <si>
    <t>Secadores e filtros</t>
  </si>
  <si>
    <t>Perda de carga dos filtros</t>
  </si>
  <si>
    <t>ΔP ≤ 0,4 bar</t>
  </si>
  <si>
    <t>ΔP &gt; 0,4 bar</t>
  </si>
  <si>
    <t>Manómetro diferencial</t>
  </si>
  <si>
    <t>CO-13</t>
  </si>
  <si>
    <t>USE-04</t>
  </si>
  <si>
    <t>Chiller CH-01</t>
  </si>
  <si>
    <t>Setpoint da água gelada</t>
  </si>
  <si>
    <t>≥ 10 °C (desde 01/12/2026, validado por DOE; 11 °C em ensaio)</t>
  </si>
  <si>
    <t>&lt; 9 °C sem justificação</t>
  </si>
  <si>
    <t>Controlador</t>
  </si>
  <si>
    <t>IT-SGE-03</t>
  </si>
  <si>
    <t>CO-14</t>
  </si>
  <si>
    <t>Circuito de frio</t>
  </si>
  <si>
    <t>ΔT ida/retorno</t>
  </si>
  <si>
    <t>4–6 °C</t>
  </si>
  <si>
    <t>&lt; 3 °C (caudal excessivo)</t>
  </si>
  <si>
    <t>Sondas</t>
  </si>
  <si>
    <t>CO-15</t>
  </si>
  <si>
    <t>Torre TR-01</t>
  </si>
  <si>
    <t>Limpeza dos permutadores</t>
  </si>
  <si>
    <t>Limpeza antes do verão e sempre que ΔT cai &gt; 1 °C</t>
  </si>
  <si>
    <t>ΔT caiu &gt; 1 °C</t>
  </si>
  <si>
    <t>Registo de manutenção</t>
  </si>
  <si>
    <t>Anual / condição</t>
  </si>
  <si>
    <t>CO-16</t>
  </si>
  <si>
    <t>Serviços</t>
  </si>
  <si>
    <t>Iluminação e AVAC</t>
  </si>
  <si>
    <t>Luzes e AVAC desligados em zonas sem atividade</t>
  </si>
  <si>
    <t>Zonas vazias com luzes apagadas; AVAC 21–25 °C</t>
  </si>
  <si>
    <t>Zona vazia iluminada</t>
  </si>
  <si>
    <t>Todos</t>
  </si>
  <si>
    <t>RONDAS DE ENERGIA SEMANAIS (8.1) — SIMULADAS</t>
  </si>
  <si>
    <t>7 pontos por ronda · CO-01/05 melhoram com a consciencialização (jul) e o standby obrigatório (05/10) · CO-09 conforme desde 16/11 · CO-13 desde 01/12</t>
  </si>
  <si>
    <t>ID_Ronda</t>
  </si>
  <si>
    <t>Data</t>
  </si>
  <si>
    <t>Turno</t>
  </si>
  <si>
    <t>Resultado</t>
  </si>
  <si>
    <t>Observacao</t>
  </si>
  <si>
    <t>Acao_Imediata</t>
  </si>
  <si>
    <t>Verificador</t>
  </si>
  <si>
    <t>Chave</t>
  </si>
  <si>
    <t>NC_Flag</t>
  </si>
  <si>
    <t>RE-26-01</t>
  </si>
  <si>
    <t>Não conforme</t>
  </si>
  <si>
    <t>ISBM-005 aquecida em vazio na pausa</t>
  </si>
  <si>
    <t>Corrigido no momento</t>
  </si>
  <si>
    <t>Gestor(a) de Energia (líder da equipa de gestão de energia)</t>
  </si>
  <si>
    <t>Conforme</t>
  </si>
  <si>
    <t>Pressão a 7,4 bar (setpoint ainda não alterado — PA-E-02)</t>
  </si>
  <si>
    <t>Aguarda plano de ação</t>
  </si>
  <si>
    <t>Setpoint 7 °C (aguarda validação DOE — PA-E-06)</t>
  </si>
  <si>
    <t>RE-26-02</t>
  </si>
  <si>
    <t>RE-26-03</t>
  </si>
  <si>
    <t>RE-26-04</t>
  </si>
  <si>
    <t>RE-26-05</t>
  </si>
  <si>
    <t>Luzes da expedição ligadas sem atividade</t>
  </si>
  <si>
    <t>RE-26-06</t>
  </si>
  <si>
    <t>Manta do canhão da IM-006 rasgada</t>
  </si>
  <si>
    <t>RE-26-07</t>
  </si>
  <si>
    <t>IM-004 com resistências a 100% na paragem por falta de molde</t>
  </si>
  <si>
    <t>RE-26-08</t>
  </si>
  <si>
    <t>RE-26-09</t>
  </si>
  <si>
    <t>RE-26-10</t>
  </si>
  <si>
    <t>RE-26-11</t>
  </si>
  <si>
    <t>RE-26-12</t>
  </si>
  <si>
    <t>RE-26-13</t>
  </si>
  <si>
    <t>RE-26-14</t>
  </si>
  <si>
    <t>RE-26-15</t>
  </si>
  <si>
    <t>RE-26-16</t>
  </si>
  <si>
    <t>RE-26-17</t>
  </si>
  <si>
    <t>RE-26-18</t>
  </si>
  <si>
    <t>RE-26-19</t>
  </si>
  <si>
    <t>RE-26-20</t>
  </si>
  <si>
    <t>RE-26-21</t>
  </si>
  <si>
    <t>RE-26-22</t>
  </si>
  <si>
    <t>RE-26-23</t>
  </si>
  <si>
    <t>Ramal da decoração aberto</t>
  </si>
  <si>
    <t>RE-26-24</t>
  </si>
  <si>
    <t>RE-26-25</t>
  </si>
  <si>
    <t>RE-26-26</t>
  </si>
  <si>
    <t>ALTERAÇÕES PLANEADAS E NÃO INTENCIONAIS COM EFEITO NA ENERGIA (8.1)</t>
  </si>
  <si>
    <t>ID</t>
  </si>
  <si>
    <t>Descrição</t>
  </si>
  <si>
    <t>Consequência no desempenho energético</t>
  </si>
  <si>
    <t>Ação para mitigar</t>
  </si>
  <si>
    <t>Registo</t>
  </si>
  <si>
    <t>ANI-01</t>
  </si>
  <si>
    <t>Planeada</t>
  </si>
  <si>
    <t>Entrada em serviço de IM-007/008 e ISBM-009/010 (ALT-2026-03)</t>
  </si>
  <si>
    <t>Potência tomada +25%; LBE-01 ajustada (ALE-01)</t>
  </si>
  <si>
    <t>Ajuste não rotineiro; alarme de potência (RE-03)</t>
  </si>
  <si>
    <t>RG-SGA-18; RG-SGE-05</t>
  </si>
  <si>
    <t>ANI-02</t>
  </si>
  <si>
    <t>Não intencional</t>
  </si>
  <si>
    <t>Setpoint do chiller baixado para 6 °C por um operador para resolver empenos num molde</t>
  </si>
  <si>
    <t>≈ +3% no consumo do frio durante 9 dias</t>
  </si>
  <si>
    <t>Reposto 7 °C; causa tratada com a qualidade; CO-13 reforçado</t>
  </si>
  <si>
    <t>RG-SGE-14 NCE-26-03</t>
  </si>
  <si>
    <t>ANI-03</t>
  </si>
  <si>
    <t>Compressores VSD (ALT-2026-01)</t>
  </si>
  <si>
    <t>Potência específica −14,8% (RG-SGE-11)</t>
  </si>
  <si>
    <t>M&amp;V opção B</t>
  </si>
  <si>
    <t>LISTAS CONTROLADAS (domínios de validação de dados) — editar aqui para alterar opções</t>
  </si>
  <si>
    <t>DataReferencia</t>
  </si>
  <si>
    <t>Funcao</t>
  </si>
  <si>
    <t>ResultadoRonda</t>
  </si>
  <si>
    <t>Diretor Geral (Gestão de Topo)</t>
  </si>
  <si>
    <t>Diretor Industrial</t>
  </si>
  <si>
    <t>N/A</t>
  </si>
  <si>
    <t>Gerente de Produção</t>
  </si>
  <si>
    <t>Gestor do SGA / EHS (Responsável Ambiental)</t>
  </si>
  <si>
    <t>Gerente da Qualidade</t>
  </si>
  <si>
    <t>Diretor Financeiro</t>
  </si>
  <si>
    <t>Responsável de Compras</t>
  </si>
  <si>
    <t>Responsável de R&amp;D</t>
  </si>
  <si>
    <t>Responsável de Recursos Humanos</t>
  </si>
  <si>
    <t>Gerente de Dados / TI</t>
  </si>
  <si>
    <t>Engenheiro(a) de Processo</t>
  </si>
  <si>
    <t>Operador de Serigrafia</t>
  </si>
  <si>
    <t>Operador de Hot Foil</t>
  </si>
  <si>
    <t>Auditor(a) Interno(a) do SGE</t>
  </si>
  <si>
    <t>Responsável de Armazém e Logística</t>
  </si>
  <si>
    <t>Folha</t>
  </si>
  <si>
    <t>Tabela</t>
  </si>
  <si>
    <t>Coluna</t>
  </si>
  <si>
    <t>Origem</t>
  </si>
  <si>
    <t>Descricao</t>
  </si>
  <si>
    <t>Dominio_Unidade</t>
  </si>
  <si>
    <t>Obrigatorio</t>
  </si>
  <si>
    <t>tbl_criterios_operacionais</t>
  </si>
  <si>
    <t>Texto</t>
  </si>
  <si>
    <t>Entrada</t>
  </si>
  <si>
    <t>Critério operacional.</t>
  </si>
  <si>
    <t>Sim</t>
  </si>
  <si>
    <t>PK</t>
  </si>
  <si>
    <t>USE (RG-SGE-04).</t>
  </si>
  <si>
    <t>FK → RG-SGE-04 tbl_use</t>
  </si>
  <si>
    <t>Equipamento.</t>
  </si>
  <si>
    <t>Parâmetro controlado.</t>
  </si>
  <si>
    <t>Critério de operação / manutenção (8.1 a).</t>
  </si>
  <si>
    <t>O que é desvio significativo (Nota de 8.1).</t>
  </si>
  <si>
    <t>Como se verifica (8.1 c).</t>
  </si>
  <si>
    <t>Frequência.</t>
  </si>
  <si>
    <t>Responsável.</t>
  </si>
  <si>
    <t>Lista lst_Funcao</t>
  </si>
  <si>
    <t>A quem é comunicado (8.1 b).</t>
  </si>
  <si>
    <t>Onde está escrito (8.1 d).</t>
  </si>
  <si>
    <t>Operação / manutenção.</t>
  </si>
  <si>
    <t>Inteiro</t>
  </si>
  <si>
    <t>Calculado (fórmula)</t>
  </si>
  <si>
    <t>Verificações registadas.</t>
  </si>
  <si>
    <t>Percentagem (fração 0-1)</t>
  </si>
  <si>
    <t>Conformes ÷ verificações.</t>
  </si>
  <si>
    <t>&lt; 80% rever.</t>
  </si>
  <si>
    <t>tbl_rondas_energia</t>
  </si>
  <si>
    <t>Ronda.</t>
  </si>
  <si>
    <t>Data (aaaa-mm-dd)</t>
  </si>
  <si>
    <t>Data.</t>
  </si>
  <si>
    <t>Turno.</t>
  </si>
  <si>
    <t>Critério.</t>
  </si>
  <si>
    <t>FK → tbl_criterios_operacionais</t>
  </si>
  <si>
    <t>Conforme / não conforme.</t>
  </si>
  <si>
    <t>Lista lst_ResultadoRonda</t>
  </si>
  <si>
    <t>Observação.</t>
  </si>
  <si>
    <t>Não</t>
  </si>
  <si>
    <t>Ação imediata.</t>
  </si>
  <si>
    <t>Quem verificou.</t>
  </si>
  <si>
    <t>Chave única (ronda|critério).</t>
  </si>
  <si>
    <t>1 = não conforme (para gráficos e ML).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</si>
</sst>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9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5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riterios_operacionais" displayName="tbl_criterios_operacionais" ref="A4:O20">
  <autoFilter ref="A4:O20" xr:uid="{00000000-0009-0000-0100-000001000000}"/>
  <tableColumns count="15">
    <tableColumn id="1" xr3:uid="{00000000-0010-0000-0000-000001000000}" name="ID_Criterio"/>
    <tableColumn id="2" xr3:uid="{00000000-0010-0000-0000-000002000000}" name="ID_USE"/>
    <tableColumn id="3" xr3:uid="{00000000-0010-0000-0000-000003000000}" name="Equipamento"/>
    <tableColumn id="4" xr3:uid="{00000000-0010-0000-0000-000004000000}" name="Parametro"/>
    <tableColumn id="5" xr3:uid="{00000000-0010-0000-0000-000005000000}" name="Criterio"/>
    <tableColumn id="6" xr3:uid="{00000000-0010-0000-0000-000006000000}" name="Desvio_Significativo"/>
    <tableColumn id="7" xr3:uid="{00000000-0010-0000-0000-000007000000}" name="Metodo_Verificacao"/>
    <tableColumn id="8" xr3:uid="{00000000-0010-0000-0000-000008000000}" name="Frequencia"/>
    <tableColumn id="9" xr3:uid="{00000000-0010-0000-0000-000009000000}" name="Responsavel"/>
    <tableColumn id="10" xr3:uid="{00000000-0010-0000-0000-00000A000000}" name="Comunicado_A"/>
    <tableColumn id="11" xr3:uid="{00000000-0010-0000-0000-00000B000000}" name="Documento"/>
    <tableColumn id="12" xr3:uid="{00000000-0010-0000-0000-00000C000000}" name="Tipo"/>
    <tableColumn id="13" xr3:uid="{00000000-0010-0000-0000-00000D000000}" name="N_Verificacoes"/>
    <tableColumn id="14" xr3:uid="{00000000-0010-0000-0000-00000E000000}" name="Taxa_Conformidade"/>
    <tableColumn id="15" xr3:uid="{00000000-0010-0000-0000-00000F000000}" name="Alert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rondas_energia" displayName="tbl_rondas_energia" ref="A4:J186">
  <autoFilter ref="A4:J186" xr:uid="{00000000-0009-0000-0100-000002000000}"/>
  <tableColumns count="10">
    <tableColumn id="1" xr3:uid="{00000000-0010-0000-0100-000001000000}" name="ID_Ronda"/>
    <tableColumn id="2" xr3:uid="{00000000-0010-0000-0100-000002000000}" name="Data"/>
    <tableColumn id="3" xr3:uid="{00000000-0010-0000-0100-000003000000}" name="Turno"/>
    <tableColumn id="4" xr3:uid="{00000000-0010-0000-0100-000004000000}" name="ID_Criterio"/>
    <tableColumn id="5" xr3:uid="{00000000-0010-0000-0100-000005000000}" name="Resultado"/>
    <tableColumn id="6" xr3:uid="{00000000-0010-0000-0100-000006000000}" name="Observacao"/>
    <tableColumn id="7" xr3:uid="{00000000-0010-0000-0100-000007000000}" name="Acao_Imediata"/>
    <tableColumn id="8" xr3:uid="{00000000-0010-0000-0100-000008000000}" name="Verificador"/>
    <tableColumn id="9" xr3:uid="{00000000-0010-0000-0100-000009000000}" name="Chave"/>
    <tableColumn id="10" xr3:uid="{00000000-0010-0000-0100-00000A000000}" name="NC_Flag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dicionario" displayName="tbl_dicionario" ref="A1:I26">
  <autoFilter ref="A1:I26" xr:uid="{00000000-0009-0000-0100-000003000000}"/>
  <tableColumns count="9">
    <tableColumn id="1" xr3:uid="{00000000-0010-0000-0200-000001000000}" name="Folha"/>
    <tableColumn id="2" xr3:uid="{00000000-0010-0000-0200-000002000000}" name="Tabela"/>
    <tableColumn id="3" xr3:uid="{00000000-0010-0000-0200-000003000000}" name="Coluna"/>
    <tableColumn id="4" xr3:uid="{00000000-0010-0000-0200-000004000000}" name="Tipo"/>
    <tableColumn id="5" xr3:uid="{00000000-0010-0000-0200-000005000000}" name="Origem"/>
    <tableColumn id="6" xr3:uid="{00000000-0010-0000-0200-000006000000}" name="Descricao"/>
    <tableColumn id="7" xr3:uid="{00000000-0010-0000-0200-000007000000}" name="Dominio_Unidade"/>
    <tableColumn id="8" xr3:uid="{00000000-0010-0000-0200-000008000000}" name="Obrigatorio"/>
    <tableColumn id="9" xr3:uid="{00000000-0010-0000-02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8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26.4" x14ac:dyDescent="0.3">
      <c r="A16" s="5" t="s">
        <v>21</v>
      </c>
      <c r="B16" s="6" t="s">
        <v>22</v>
      </c>
    </row>
    <row r="17" spans="1:2" ht="39.6" x14ac:dyDescent="0.3">
      <c r="A17" s="5" t="s">
        <v>23</v>
      </c>
      <c r="B17" s="6" t="s">
        <v>24</v>
      </c>
    </row>
    <row r="18" spans="1:2" ht="39.6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ht="26.4" x14ac:dyDescent="0.3">
      <c r="A24" s="5" t="s">
        <v>34</v>
      </c>
      <c r="B24" s="6" t="s">
        <v>35</v>
      </c>
    </row>
    <row r="26" spans="1:2" x14ac:dyDescent="0.3">
      <c r="A26" s="3" t="s">
        <v>36</v>
      </c>
      <c r="B26" s="4"/>
    </row>
    <row r="27" spans="1:2" ht="26.4" x14ac:dyDescent="0.3">
      <c r="A27" s="5" t="s">
        <v>37</v>
      </c>
      <c r="B27" s="6" t="s">
        <v>38</v>
      </c>
    </row>
    <row r="29" spans="1:2" x14ac:dyDescent="0.3">
      <c r="A29" s="3" t="s">
        <v>39</v>
      </c>
      <c r="B29" s="4"/>
    </row>
    <row r="30" spans="1:2" x14ac:dyDescent="0.3">
      <c r="A30" s="5" t="s">
        <v>40</v>
      </c>
      <c r="B30" s="6" t="s">
        <v>41</v>
      </c>
    </row>
    <row r="31" spans="1:2" x14ac:dyDescent="0.3">
      <c r="A31" s="5" t="s">
        <v>42</v>
      </c>
      <c r="B31" s="6" t="s">
        <v>43</v>
      </c>
    </row>
    <row r="32" spans="1:2" x14ac:dyDescent="0.3">
      <c r="A32" s="5" t="s">
        <v>44</v>
      </c>
      <c r="B32" s="6" t="s">
        <v>45</v>
      </c>
    </row>
    <row r="33" spans="1:2" x14ac:dyDescent="0.3">
      <c r="A33" s="5" t="s">
        <v>46</v>
      </c>
      <c r="B33" s="6" t="s">
        <v>47</v>
      </c>
    </row>
    <row r="34" spans="1:2" x14ac:dyDescent="0.3">
      <c r="A34" s="5" t="s">
        <v>48</v>
      </c>
      <c r="B34" s="6" t="s">
        <v>49</v>
      </c>
    </row>
    <row r="36" spans="1:2" x14ac:dyDescent="0.3">
      <c r="A36" s="3" t="s">
        <v>50</v>
      </c>
      <c r="B36" s="4"/>
    </row>
    <row r="37" spans="1:2" ht="26.4" x14ac:dyDescent="0.3">
      <c r="A37" s="5" t="s">
        <v>51</v>
      </c>
      <c r="B37" s="6" t="s">
        <v>52</v>
      </c>
    </row>
    <row r="38" spans="1:2" x14ac:dyDescent="0.3">
      <c r="A38" s="5" t="s">
        <v>53</v>
      </c>
      <c r="B38" s="6" t="s">
        <v>54</v>
      </c>
    </row>
    <row r="39" spans="1:2" x14ac:dyDescent="0.3">
      <c r="A39" s="5" t="s">
        <v>55</v>
      </c>
      <c r="B39" s="6" t="s">
        <v>56</v>
      </c>
    </row>
    <row r="40" spans="1:2" ht="26.4" x14ac:dyDescent="0.3">
      <c r="A40" s="5" t="s">
        <v>57</v>
      </c>
      <c r="B40" s="6" t="s">
        <v>58</v>
      </c>
    </row>
    <row r="41" spans="1:2" ht="26.4" x14ac:dyDescent="0.3">
      <c r="A41" s="5" t="s">
        <v>59</v>
      </c>
      <c r="B41" s="6" t="s">
        <v>60</v>
      </c>
    </row>
    <row r="42" spans="1:2" ht="52.8" x14ac:dyDescent="0.3">
      <c r="A42" s="5" t="s">
        <v>61</v>
      </c>
      <c r="B42" s="6" t="s">
        <v>62</v>
      </c>
    </row>
    <row r="44" spans="1:2" x14ac:dyDescent="0.3">
      <c r="A44" s="3" t="s">
        <v>63</v>
      </c>
      <c r="B44" s="4"/>
    </row>
    <row r="45" spans="1:2" x14ac:dyDescent="0.3">
      <c r="A45" s="5" t="s">
        <v>64</v>
      </c>
      <c r="B45" s="6" t="s">
        <v>65</v>
      </c>
    </row>
    <row r="46" spans="1:2" x14ac:dyDescent="0.3">
      <c r="A46" s="5" t="s">
        <v>66</v>
      </c>
      <c r="B46" s="6" t="s">
        <v>67</v>
      </c>
    </row>
    <row r="47" spans="1:2" x14ac:dyDescent="0.3">
      <c r="A47" s="5" t="s">
        <v>68</v>
      </c>
      <c r="B47" s="6" t="s">
        <v>69</v>
      </c>
    </row>
    <row r="48" spans="1:2" x14ac:dyDescent="0.3">
      <c r="A48" s="5" t="s">
        <v>70</v>
      </c>
      <c r="B48" s="6" t="s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20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9" customWidth="1"/>
    <col min="3" max="3" width="18" customWidth="1"/>
    <col min="4" max="4" width="28" customWidth="1"/>
    <col min="5" max="5" width="40" customWidth="1"/>
    <col min="6" max="6" width="26" customWidth="1"/>
    <col min="7" max="7" width="22" customWidth="1"/>
    <col min="8" max="8" width="14" customWidth="1"/>
    <col min="9" max="10" width="22" customWidth="1"/>
    <col min="11" max="11" width="16" customWidth="1"/>
    <col min="12" max="12" width="11" customWidth="1"/>
    <col min="13" max="13" width="8" customWidth="1"/>
    <col min="14" max="14" width="9" customWidth="1"/>
    <col min="15" max="15" width="10" customWidth="1"/>
  </cols>
  <sheetData>
    <row r="1" spans="1:15" ht="17.399999999999999" x14ac:dyDescent="0.3">
      <c r="A1" s="1" t="s">
        <v>72</v>
      </c>
    </row>
    <row r="2" spans="1:15" x14ac:dyDescent="0.3">
      <c r="A2" s="2" t="s">
        <v>73</v>
      </c>
    </row>
    <row r="4" spans="1:15" ht="39.6" x14ac:dyDescent="0.3">
      <c r="A4" s="8" t="s">
        <v>74</v>
      </c>
      <c r="B4" s="8" t="s">
        <v>75</v>
      </c>
      <c r="C4" s="8" t="s">
        <v>76</v>
      </c>
      <c r="D4" s="8" t="s">
        <v>77</v>
      </c>
      <c r="E4" s="8" t="s">
        <v>78</v>
      </c>
      <c r="F4" s="8" t="s">
        <v>79</v>
      </c>
      <c r="G4" s="8" t="s">
        <v>80</v>
      </c>
      <c r="H4" s="8" t="s">
        <v>81</v>
      </c>
      <c r="I4" s="8" t="s">
        <v>82</v>
      </c>
      <c r="J4" s="8" t="s">
        <v>83</v>
      </c>
      <c r="K4" s="8" t="s">
        <v>84</v>
      </c>
      <c r="L4" s="8" t="s">
        <v>85</v>
      </c>
      <c r="M4" s="9" t="s">
        <v>86</v>
      </c>
      <c r="N4" s="9" t="s">
        <v>87</v>
      </c>
      <c r="O4" s="9" t="s">
        <v>88</v>
      </c>
    </row>
    <row r="5" spans="1:15" ht="36" customHeight="1" x14ac:dyDescent="0.3">
      <c r="A5" s="10" t="s">
        <v>89</v>
      </c>
      <c r="B5" s="10" t="s">
        <v>90</v>
      </c>
      <c r="C5" s="10" t="s">
        <v>91</v>
      </c>
      <c r="D5" s="10" t="s">
        <v>92</v>
      </c>
      <c r="E5" s="10" t="s">
        <v>93</v>
      </c>
      <c r="F5" s="10" t="s">
        <v>94</v>
      </c>
      <c r="G5" s="10" t="s">
        <v>95</v>
      </c>
      <c r="H5" s="10" t="s">
        <v>96</v>
      </c>
      <c r="I5" s="10" t="s">
        <v>97</v>
      </c>
      <c r="J5" s="10" t="s">
        <v>98</v>
      </c>
      <c r="K5" s="10" t="s">
        <v>99</v>
      </c>
      <c r="L5" s="10" t="s">
        <v>100</v>
      </c>
      <c r="M5" s="11">
        <f>IF(A5="","",COUNTIFS(tbl_rondas_energia[ID_Criterio],A5,tbl_rondas_energia[Resultado],"&lt;&gt;N/A"))</f>
        <v>26</v>
      </c>
      <c r="N5" s="12">
        <f>IF(OR(A5="",M5=0),"",COUNTIFS(tbl_rondas_energia[ID_Criterio],A5,tbl_rondas_energia[Resultado],"Conforme")/M5)</f>
        <v>0.57692307692307687</v>
      </c>
      <c r="O5" s="13" t="str">
        <f t="shared" ref="O5:O20" si="0">IF(OR(A5="",N5=""),"",IF(N5&lt;0.8,"Rever",IF(N5&lt;0.95,"Atenção","OK")))</f>
        <v>Rever</v>
      </c>
    </row>
    <row r="6" spans="1:15" ht="36" customHeight="1" x14ac:dyDescent="0.3">
      <c r="A6" s="10" t="s">
        <v>101</v>
      </c>
      <c r="B6" s="10" t="s">
        <v>90</v>
      </c>
      <c r="C6" s="10" t="s">
        <v>91</v>
      </c>
      <c r="D6" s="10" t="s">
        <v>102</v>
      </c>
      <c r="E6" s="10" t="s">
        <v>103</v>
      </c>
      <c r="F6" s="10" t="s">
        <v>104</v>
      </c>
      <c r="G6" s="10" t="s">
        <v>105</v>
      </c>
      <c r="H6" s="10" t="s">
        <v>106</v>
      </c>
      <c r="I6" s="10" t="s">
        <v>107</v>
      </c>
      <c r="J6" s="10" t="s">
        <v>98</v>
      </c>
      <c r="K6" s="10" t="s">
        <v>108</v>
      </c>
      <c r="L6" s="10" t="s">
        <v>100</v>
      </c>
      <c r="M6" s="11">
        <f>IF(A6="","",COUNTIFS(tbl_rondas_energia[ID_Criterio],A6,tbl_rondas_energia[Resultado],"&lt;&gt;N/A"))</f>
        <v>0</v>
      </c>
      <c r="N6" s="12" t="str">
        <f>IF(OR(A6="",M6=0),"",COUNTIFS(tbl_rondas_energia[ID_Criterio],A6,tbl_rondas_energia[Resultado],"Conforme")/M6)</f>
        <v/>
      </c>
      <c r="O6" s="13" t="str">
        <f t="shared" si="0"/>
        <v/>
      </c>
    </row>
    <row r="7" spans="1:15" ht="36" customHeight="1" x14ac:dyDescent="0.3">
      <c r="A7" s="10" t="s">
        <v>109</v>
      </c>
      <c r="B7" s="10" t="s">
        <v>90</v>
      </c>
      <c r="C7" s="10" t="s">
        <v>110</v>
      </c>
      <c r="D7" s="10" t="s">
        <v>111</v>
      </c>
      <c r="E7" s="10" t="s">
        <v>112</v>
      </c>
      <c r="F7" s="10" t="s">
        <v>113</v>
      </c>
      <c r="G7" s="10" t="s">
        <v>114</v>
      </c>
      <c r="H7" s="10" t="s">
        <v>115</v>
      </c>
      <c r="I7" s="10" t="s">
        <v>116</v>
      </c>
      <c r="J7" s="10" t="s">
        <v>117</v>
      </c>
      <c r="K7" s="10" t="s">
        <v>118</v>
      </c>
      <c r="L7" s="10" t="s">
        <v>117</v>
      </c>
      <c r="M7" s="11">
        <f>IF(A7="","",COUNTIFS(tbl_rondas_energia[ID_Criterio],A7,tbl_rondas_energia[Resultado],"&lt;&gt;N/A"))</f>
        <v>0</v>
      </c>
      <c r="N7" s="12" t="str">
        <f>IF(OR(A7="",M7=0),"",COUNTIFS(tbl_rondas_energia[ID_Criterio],A7,tbl_rondas_energia[Resultado],"Conforme")/M7)</f>
        <v/>
      </c>
      <c r="O7" s="13" t="str">
        <f t="shared" si="0"/>
        <v/>
      </c>
    </row>
    <row r="8" spans="1:15" ht="36" customHeight="1" x14ac:dyDescent="0.3">
      <c r="A8" s="10" t="s">
        <v>119</v>
      </c>
      <c r="B8" s="10" t="s">
        <v>90</v>
      </c>
      <c r="C8" s="10" t="s">
        <v>120</v>
      </c>
      <c r="D8" s="10" t="s">
        <v>121</v>
      </c>
      <c r="E8" s="10" t="s">
        <v>122</v>
      </c>
      <c r="F8" s="10" t="s">
        <v>123</v>
      </c>
      <c r="G8" s="10" t="s">
        <v>95</v>
      </c>
      <c r="H8" s="10" t="s">
        <v>96</v>
      </c>
      <c r="I8" s="10" t="s">
        <v>124</v>
      </c>
      <c r="J8" s="10" t="s">
        <v>117</v>
      </c>
      <c r="K8" s="10" t="s">
        <v>125</v>
      </c>
      <c r="L8" s="10" t="s">
        <v>100</v>
      </c>
      <c r="M8" s="11">
        <f>IF(A8="","",COUNTIFS(tbl_rondas_energia[ID_Criterio],A8,tbl_rondas_energia[Resultado],"&lt;&gt;N/A"))</f>
        <v>0</v>
      </c>
      <c r="N8" s="12" t="str">
        <f>IF(OR(A8="",M8=0),"",COUNTIFS(tbl_rondas_energia[ID_Criterio],A8,tbl_rondas_energia[Resultado],"Conforme")/M8)</f>
        <v/>
      </c>
      <c r="O8" s="13" t="str">
        <f t="shared" si="0"/>
        <v/>
      </c>
    </row>
    <row r="9" spans="1:15" ht="36" customHeight="1" x14ac:dyDescent="0.3">
      <c r="A9" s="10" t="s">
        <v>126</v>
      </c>
      <c r="B9" s="10" t="s">
        <v>127</v>
      </c>
      <c r="C9" s="10" t="s">
        <v>128</v>
      </c>
      <c r="D9" s="10" t="s">
        <v>92</v>
      </c>
      <c r="E9" s="10" t="s">
        <v>129</v>
      </c>
      <c r="F9" s="10" t="s">
        <v>94</v>
      </c>
      <c r="G9" s="10" t="s">
        <v>95</v>
      </c>
      <c r="H9" s="10" t="s">
        <v>96</v>
      </c>
      <c r="I9" s="10" t="s">
        <v>97</v>
      </c>
      <c r="J9" s="10" t="s">
        <v>130</v>
      </c>
      <c r="K9" s="10" t="s">
        <v>99</v>
      </c>
      <c r="L9" s="10" t="s">
        <v>100</v>
      </c>
      <c r="M9" s="11">
        <f>IF(A9="","",COUNTIFS(tbl_rondas_energia[ID_Criterio],A9,tbl_rondas_energia[Resultado],"&lt;&gt;N/A"))</f>
        <v>26</v>
      </c>
      <c r="N9" s="12">
        <f>IF(OR(A9="",M9=0),"",COUNTIFS(tbl_rondas_energia[ID_Criterio],A9,tbl_rondas_energia[Resultado],"Conforme")/M9)</f>
        <v>0.92307692307692313</v>
      </c>
      <c r="O9" s="13" t="str">
        <f t="shared" si="0"/>
        <v>Atenção</v>
      </c>
    </row>
    <row r="10" spans="1:15" ht="36" customHeight="1" x14ac:dyDescent="0.3">
      <c r="A10" s="10" t="s">
        <v>131</v>
      </c>
      <c r="B10" s="10" t="s">
        <v>127</v>
      </c>
      <c r="C10" s="10" t="s">
        <v>128</v>
      </c>
      <c r="D10" s="10" t="s">
        <v>132</v>
      </c>
      <c r="E10" s="10" t="s">
        <v>133</v>
      </c>
      <c r="F10" s="10" t="s">
        <v>134</v>
      </c>
      <c r="G10" s="10" t="s">
        <v>105</v>
      </c>
      <c r="H10" s="10" t="s">
        <v>106</v>
      </c>
      <c r="I10" s="10" t="s">
        <v>135</v>
      </c>
      <c r="J10" s="10" t="s">
        <v>130</v>
      </c>
      <c r="K10" s="10" t="s">
        <v>136</v>
      </c>
      <c r="L10" s="10" t="s">
        <v>100</v>
      </c>
      <c r="M10" s="11">
        <f>IF(A10="","",COUNTIFS(tbl_rondas_energia[ID_Criterio],A10,tbl_rondas_energia[Resultado],"&lt;&gt;N/A"))</f>
        <v>0</v>
      </c>
      <c r="N10" s="12" t="str">
        <f>IF(OR(A10="",M10=0),"",COUNTIFS(tbl_rondas_energia[ID_Criterio],A10,tbl_rondas_energia[Resultado],"Conforme")/M10)</f>
        <v/>
      </c>
      <c r="O10" s="13" t="str">
        <f t="shared" si="0"/>
        <v/>
      </c>
    </row>
    <row r="11" spans="1:15" ht="36" customHeight="1" x14ac:dyDescent="0.3">
      <c r="A11" s="10" t="s">
        <v>137</v>
      </c>
      <c r="B11" s="10" t="s">
        <v>127</v>
      </c>
      <c r="C11" s="10" t="s">
        <v>128</v>
      </c>
      <c r="D11" s="10" t="s">
        <v>138</v>
      </c>
      <c r="E11" s="10" t="s">
        <v>139</v>
      </c>
      <c r="F11" s="10" t="s">
        <v>140</v>
      </c>
      <c r="G11" s="10" t="s">
        <v>95</v>
      </c>
      <c r="H11" s="10" t="s">
        <v>115</v>
      </c>
      <c r="I11" s="10" t="s">
        <v>141</v>
      </c>
      <c r="J11" s="10" t="s">
        <v>117</v>
      </c>
      <c r="K11" s="10" t="s">
        <v>99</v>
      </c>
      <c r="L11" s="10" t="s">
        <v>117</v>
      </c>
      <c r="M11" s="11">
        <f>IF(A11="","",COUNTIFS(tbl_rondas_energia[ID_Criterio],A11,tbl_rondas_energia[Resultado],"&lt;&gt;N/A"))</f>
        <v>26</v>
      </c>
      <c r="N11" s="12">
        <f>IF(OR(A11="",M11=0),"",COUNTIFS(tbl_rondas_energia[ID_Criterio],A11,tbl_rondas_energia[Resultado],"Conforme")/M11)</f>
        <v>0.84615384615384615</v>
      </c>
      <c r="O11" s="13" t="str">
        <f t="shared" si="0"/>
        <v>Atenção</v>
      </c>
    </row>
    <row r="12" spans="1:15" ht="36" customHeight="1" x14ac:dyDescent="0.3">
      <c r="A12" s="10" t="s">
        <v>142</v>
      </c>
      <c r="B12" s="10" t="s">
        <v>127</v>
      </c>
      <c r="C12" s="10" t="s">
        <v>143</v>
      </c>
      <c r="D12" s="10" t="s">
        <v>144</v>
      </c>
      <c r="E12" s="10" t="s">
        <v>145</v>
      </c>
      <c r="F12" s="10" t="s">
        <v>146</v>
      </c>
      <c r="G12" s="10" t="s">
        <v>105</v>
      </c>
      <c r="H12" s="10" t="s">
        <v>96</v>
      </c>
      <c r="I12" s="10" t="s">
        <v>116</v>
      </c>
      <c r="J12" s="10" t="s">
        <v>117</v>
      </c>
      <c r="K12" s="10" t="s">
        <v>118</v>
      </c>
      <c r="L12" s="10" t="s">
        <v>117</v>
      </c>
      <c r="M12" s="11">
        <f>IF(A12="","",COUNTIFS(tbl_rondas_energia[ID_Criterio],A12,tbl_rondas_energia[Resultado],"&lt;&gt;N/A"))</f>
        <v>0</v>
      </c>
      <c r="N12" s="12" t="str">
        <f>IF(OR(A12="",M12=0),"",COUNTIFS(tbl_rondas_energia[ID_Criterio],A12,tbl_rondas_energia[Resultado],"Conforme")/M12)</f>
        <v/>
      </c>
      <c r="O12" s="13" t="str">
        <f t="shared" si="0"/>
        <v/>
      </c>
    </row>
    <row r="13" spans="1:15" ht="36" customHeight="1" x14ac:dyDescent="0.3">
      <c r="A13" s="10" t="s">
        <v>147</v>
      </c>
      <c r="B13" s="10" t="s">
        <v>148</v>
      </c>
      <c r="C13" s="10" t="s">
        <v>149</v>
      </c>
      <c r="D13" s="10" t="s">
        <v>150</v>
      </c>
      <c r="E13" s="10" t="s">
        <v>151</v>
      </c>
      <c r="F13" s="10" t="s">
        <v>152</v>
      </c>
      <c r="G13" s="10" t="s">
        <v>153</v>
      </c>
      <c r="H13" s="10" t="s">
        <v>154</v>
      </c>
      <c r="I13" s="10" t="s">
        <v>124</v>
      </c>
      <c r="J13" s="10" t="s">
        <v>155</v>
      </c>
      <c r="K13" s="10" t="s">
        <v>125</v>
      </c>
      <c r="L13" s="10" t="s">
        <v>100</v>
      </c>
      <c r="M13" s="11">
        <f>IF(A13="","",COUNTIFS(tbl_rondas_energia[ID_Criterio],A13,tbl_rondas_energia[Resultado],"&lt;&gt;N/A"))</f>
        <v>26</v>
      </c>
      <c r="N13" s="12">
        <f>IF(OR(A13="",M13=0),"",COUNTIFS(tbl_rondas_energia[ID_Criterio],A13,tbl_rondas_energia[Resultado],"Conforme")/M13)</f>
        <v>0.34615384615384615</v>
      </c>
      <c r="O13" s="13" t="str">
        <f t="shared" si="0"/>
        <v>Rever</v>
      </c>
    </row>
    <row r="14" spans="1:15" ht="36" customHeight="1" x14ac:dyDescent="0.3">
      <c r="A14" s="10" t="s">
        <v>156</v>
      </c>
      <c r="B14" s="10" t="s">
        <v>148</v>
      </c>
      <c r="C14" s="10" t="s">
        <v>149</v>
      </c>
      <c r="D14" s="10" t="s">
        <v>157</v>
      </c>
      <c r="E14" s="10" t="s">
        <v>158</v>
      </c>
      <c r="F14" s="10" t="s">
        <v>159</v>
      </c>
      <c r="G14" s="10" t="s">
        <v>160</v>
      </c>
      <c r="H14" s="10" t="s">
        <v>115</v>
      </c>
      <c r="I14" s="10" t="s">
        <v>124</v>
      </c>
      <c r="J14" s="10" t="s">
        <v>117</v>
      </c>
      <c r="K14" s="10" t="s">
        <v>125</v>
      </c>
      <c r="L14" s="10" t="s">
        <v>117</v>
      </c>
      <c r="M14" s="11">
        <f>IF(A14="","",COUNTIFS(tbl_rondas_energia[ID_Criterio],A14,tbl_rondas_energia[Resultado],"&lt;&gt;N/A"))</f>
        <v>0</v>
      </c>
      <c r="N14" s="12" t="str">
        <f>IF(OR(A14="",M14=0),"",COUNTIFS(tbl_rondas_energia[ID_Criterio],A14,tbl_rondas_energia[Resultado],"Conforme")/M14)</f>
        <v/>
      </c>
      <c r="O14" s="13" t="str">
        <f t="shared" si="0"/>
        <v/>
      </c>
    </row>
    <row r="15" spans="1:15" ht="36" customHeight="1" x14ac:dyDescent="0.3">
      <c r="A15" s="10" t="s">
        <v>161</v>
      </c>
      <c r="B15" s="10" t="s">
        <v>148</v>
      </c>
      <c r="C15" s="10" t="s">
        <v>149</v>
      </c>
      <c r="D15" s="10" t="s">
        <v>162</v>
      </c>
      <c r="E15" s="10" t="s">
        <v>163</v>
      </c>
      <c r="F15" s="10" t="s">
        <v>164</v>
      </c>
      <c r="G15" s="10" t="s">
        <v>165</v>
      </c>
      <c r="H15" s="10" t="s">
        <v>96</v>
      </c>
      <c r="I15" s="10" t="s">
        <v>97</v>
      </c>
      <c r="J15" s="10" t="s">
        <v>166</v>
      </c>
      <c r="K15" s="10" t="s">
        <v>125</v>
      </c>
      <c r="L15" s="10" t="s">
        <v>100</v>
      </c>
      <c r="M15" s="11">
        <f>IF(A15="","",COUNTIFS(tbl_rondas_energia[ID_Criterio],A15,tbl_rondas_energia[Resultado],"&lt;&gt;N/A"))</f>
        <v>26</v>
      </c>
      <c r="N15" s="12">
        <f>IF(OR(A15="",M15=0),"",COUNTIFS(tbl_rondas_energia[ID_Criterio],A15,tbl_rondas_energia[Resultado],"Conforme")/M15)</f>
        <v>0.96153846153846156</v>
      </c>
      <c r="O15" s="13" t="str">
        <f t="shared" si="0"/>
        <v>OK</v>
      </c>
    </row>
    <row r="16" spans="1:15" ht="36" customHeight="1" x14ac:dyDescent="0.3">
      <c r="A16" s="10" t="s">
        <v>167</v>
      </c>
      <c r="B16" s="10" t="s">
        <v>148</v>
      </c>
      <c r="C16" s="10" t="s">
        <v>168</v>
      </c>
      <c r="D16" s="10" t="s">
        <v>169</v>
      </c>
      <c r="E16" s="10" t="s">
        <v>170</v>
      </c>
      <c r="F16" s="10" t="s">
        <v>171</v>
      </c>
      <c r="G16" s="10" t="s">
        <v>172</v>
      </c>
      <c r="H16" s="10" t="s">
        <v>96</v>
      </c>
      <c r="I16" s="10" t="s">
        <v>124</v>
      </c>
      <c r="J16" s="10" t="s">
        <v>155</v>
      </c>
      <c r="K16" s="10" t="s">
        <v>118</v>
      </c>
      <c r="L16" s="10" t="s">
        <v>117</v>
      </c>
      <c r="M16" s="11">
        <f>IF(A16="","",COUNTIFS(tbl_rondas_energia[ID_Criterio],A16,tbl_rondas_energia[Resultado],"&lt;&gt;N/A"))</f>
        <v>0</v>
      </c>
      <c r="N16" s="12" t="str">
        <f>IF(OR(A16="",M16=0),"",COUNTIFS(tbl_rondas_energia[ID_Criterio],A16,tbl_rondas_energia[Resultado],"Conforme")/M16)</f>
        <v/>
      </c>
      <c r="O16" s="13" t="str">
        <f t="shared" si="0"/>
        <v/>
      </c>
    </row>
    <row r="17" spans="1:15" ht="36" customHeight="1" x14ac:dyDescent="0.3">
      <c r="A17" s="10" t="s">
        <v>173</v>
      </c>
      <c r="B17" s="10" t="s">
        <v>174</v>
      </c>
      <c r="C17" s="10" t="s">
        <v>175</v>
      </c>
      <c r="D17" s="10" t="s">
        <v>176</v>
      </c>
      <c r="E17" s="10" t="s">
        <v>177</v>
      </c>
      <c r="F17" s="10" t="s">
        <v>178</v>
      </c>
      <c r="G17" s="10" t="s">
        <v>179</v>
      </c>
      <c r="H17" s="10" t="s">
        <v>154</v>
      </c>
      <c r="I17" s="10" t="s">
        <v>124</v>
      </c>
      <c r="J17" s="10" t="s">
        <v>155</v>
      </c>
      <c r="K17" s="10" t="s">
        <v>180</v>
      </c>
      <c r="L17" s="10" t="s">
        <v>100</v>
      </c>
      <c r="M17" s="11">
        <f>IF(A17="","",COUNTIFS(tbl_rondas_energia[ID_Criterio],A17,tbl_rondas_energia[Resultado],"&lt;&gt;N/A"))</f>
        <v>26</v>
      </c>
      <c r="N17" s="12">
        <f>IF(OR(A17="",M17=0),"",COUNTIFS(tbl_rondas_energia[ID_Criterio],A17,tbl_rondas_energia[Resultado],"Conforme")/M17)</f>
        <v>0.19230769230769232</v>
      </c>
      <c r="O17" s="13" t="str">
        <f t="shared" si="0"/>
        <v>Rever</v>
      </c>
    </row>
    <row r="18" spans="1:15" ht="36" customHeight="1" x14ac:dyDescent="0.3">
      <c r="A18" s="10" t="s">
        <v>181</v>
      </c>
      <c r="B18" s="10" t="s">
        <v>174</v>
      </c>
      <c r="C18" s="10" t="s">
        <v>182</v>
      </c>
      <c r="D18" s="10" t="s">
        <v>183</v>
      </c>
      <c r="E18" s="10" t="s">
        <v>184</v>
      </c>
      <c r="F18" s="10" t="s">
        <v>185</v>
      </c>
      <c r="G18" s="10" t="s">
        <v>186</v>
      </c>
      <c r="H18" s="10" t="s">
        <v>96</v>
      </c>
      <c r="I18" s="10" t="s">
        <v>124</v>
      </c>
      <c r="J18" s="10" t="s">
        <v>155</v>
      </c>
      <c r="K18" s="10" t="s">
        <v>180</v>
      </c>
      <c r="L18" s="10" t="s">
        <v>100</v>
      </c>
      <c r="M18" s="11">
        <f>IF(A18="","",COUNTIFS(tbl_rondas_energia[ID_Criterio],A18,tbl_rondas_energia[Resultado],"&lt;&gt;N/A"))</f>
        <v>0</v>
      </c>
      <c r="N18" s="12" t="str">
        <f>IF(OR(A18="",M18=0),"",COUNTIFS(tbl_rondas_energia[ID_Criterio],A18,tbl_rondas_energia[Resultado],"Conforme")/M18)</f>
        <v/>
      </c>
      <c r="O18" s="13" t="str">
        <f t="shared" si="0"/>
        <v/>
      </c>
    </row>
    <row r="19" spans="1:15" ht="36" customHeight="1" x14ac:dyDescent="0.3">
      <c r="A19" s="10" t="s">
        <v>187</v>
      </c>
      <c r="B19" s="10" t="s">
        <v>174</v>
      </c>
      <c r="C19" s="10" t="s">
        <v>188</v>
      </c>
      <c r="D19" s="10" t="s">
        <v>189</v>
      </c>
      <c r="E19" s="10" t="s">
        <v>190</v>
      </c>
      <c r="F19" s="10" t="s">
        <v>191</v>
      </c>
      <c r="G19" s="10" t="s">
        <v>192</v>
      </c>
      <c r="H19" s="10" t="s">
        <v>193</v>
      </c>
      <c r="I19" s="10" t="s">
        <v>141</v>
      </c>
      <c r="J19" s="10" t="s">
        <v>117</v>
      </c>
      <c r="K19" s="10" t="s">
        <v>118</v>
      </c>
      <c r="L19" s="10" t="s">
        <v>117</v>
      </c>
      <c r="M19" s="11">
        <f>IF(A19="","",COUNTIFS(tbl_rondas_energia[ID_Criterio],A19,tbl_rondas_energia[Resultado],"&lt;&gt;N/A"))</f>
        <v>0</v>
      </c>
      <c r="N19" s="12" t="str">
        <f>IF(OR(A19="",M19=0),"",COUNTIFS(tbl_rondas_energia[ID_Criterio],A19,tbl_rondas_energia[Resultado],"Conforme")/M19)</f>
        <v/>
      </c>
      <c r="O19" s="13" t="str">
        <f t="shared" si="0"/>
        <v/>
      </c>
    </row>
    <row r="20" spans="1:15" ht="36" customHeight="1" x14ac:dyDescent="0.3">
      <c r="A20" s="10" t="s">
        <v>194</v>
      </c>
      <c r="B20" s="10" t="s">
        <v>195</v>
      </c>
      <c r="C20" s="10" t="s">
        <v>196</v>
      </c>
      <c r="D20" s="10" t="s">
        <v>197</v>
      </c>
      <c r="E20" s="10" t="s">
        <v>198</v>
      </c>
      <c r="F20" s="10" t="s">
        <v>199</v>
      </c>
      <c r="G20" s="10" t="s">
        <v>95</v>
      </c>
      <c r="H20" s="10" t="s">
        <v>96</v>
      </c>
      <c r="I20" s="10" t="s">
        <v>97</v>
      </c>
      <c r="J20" s="10" t="s">
        <v>200</v>
      </c>
      <c r="K20" s="10" t="s">
        <v>99</v>
      </c>
      <c r="L20" s="10" t="s">
        <v>100</v>
      </c>
      <c r="M20" s="11">
        <f>IF(A20="","",COUNTIFS(tbl_rondas_energia[ID_Criterio],A20,tbl_rondas_energia[Resultado],"&lt;&gt;N/A"))</f>
        <v>26</v>
      </c>
      <c r="N20" s="12">
        <f>IF(OR(A20="",M20=0),"",COUNTIFS(tbl_rondas_energia[ID_Criterio],A20,tbl_rondas_energia[Resultado],"Conforme")/M20)</f>
        <v>0.88461538461538458</v>
      </c>
      <c r="O20" s="13" t="str">
        <f t="shared" si="0"/>
        <v>Atenção</v>
      </c>
    </row>
  </sheetData>
  <conditionalFormatting sqref="O5:O220">
    <cfRule type="expression" dxfId="4" priority="1">
      <formula>ISNUMBER(SEARCH("Rever",O5))</formula>
    </cfRule>
    <cfRule type="expression" dxfId="3" priority="2">
      <formula>ISNUMBER(SEARCH("Atenção",O5))</formula>
    </cfRule>
    <cfRule type="expression" dxfId="2" priority="3">
      <formula>ISNUMBER(SEARCH("OK",O5))</formula>
    </cfRule>
  </conditionalFormatting>
  <dataValidations count="1">
    <dataValidation type="list" allowBlank="1" showErrorMessage="1" errorTitle="Valor inválido" error="Valor fora da lista controlada (ver folha Listas)." sqref="I5:I220" xr:uid="{00000000-0002-0000-0100-000000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86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1" customWidth="1"/>
    <col min="3" max="3" width="6" customWidth="1"/>
    <col min="4" max="4" width="8" customWidth="1"/>
    <col min="5" max="5" width="12" customWidth="1"/>
    <col min="6" max="6" width="44" customWidth="1"/>
    <col min="7" max="8" width="22" customWidth="1"/>
    <col min="9" max="9" width="16" customWidth="1"/>
    <col min="10" max="10" width="6" customWidth="1"/>
  </cols>
  <sheetData>
    <row r="1" spans="1:10" ht="17.399999999999999" x14ac:dyDescent="0.3">
      <c r="A1" s="1" t="s">
        <v>201</v>
      </c>
    </row>
    <row r="2" spans="1:10" x14ac:dyDescent="0.3">
      <c r="A2" s="2" t="s">
        <v>202</v>
      </c>
    </row>
    <row r="4" spans="1:10" ht="26.4" x14ac:dyDescent="0.3">
      <c r="A4" s="8" t="s">
        <v>203</v>
      </c>
      <c r="B4" s="8" t="s">
        <v>204</v>
      </c>
      <c r="C4" s="8" t="s">
        <v>205</v>
      </c>
      <c r="D4" s="8" t="s">
        <v>74</v>
      </c>
      <c r="E4" s="8" t="s">
        <v>206</v>
      </c>
      <c r="F4" s="8" t="s">
        <v>207</v>
      </c>
      <c r="G4" s="8" t="s">
        <v>208</v>
      </c>
      <c r="H4" s="8" t="s">
        <v>209</v>
      </c>
      <c r="I4" s="9" t="s">
        <v>210</v>
      </c>
      <c r="J4" s="9" t="s">
        <v>211</v>
      </c>
    </row>
    <row r="5" spans="1:10" ht="16.05" customHeight="1" x14ac:dyDescent="0.3">
      <c r="A5" s="10" t="s">
        <v>212</v>
      </c>
      <c r="B5" s="14">
        <v>46206</v>
      </c>
      <c r="C5" s="15">
        <v>3</v>
      </c>
      <c r="D5" s="10" t="s">
        <v>89</v>
      </c>
      <c r="E5" s="10" t="s">
        <v>213</v>
      </c>
      <c r="F5" s="10" t="s">
        <v>214</v>
      </c>
      <c r="G5" s="10" t="s">
        <v>215</v>
      </c>
      <c r="H5" s="10" t="s">
        <v>216</v>
      </c>
      <c r="I5" s="13" t="str">
        <f t="shared" ref="I5:I36" si="0">IF(A5="","",A5&amp;"|"&amp;D5)</f>
        <v>RE-26-01|CO-01</v>
      </c>
      <c r="J5" s="11">
        <f t="shared" ref="J5:J36" si="1">IF(A5="","",IF(E5="Não conforme",1,0))</f>
        <v>1</v>
      </c>
    </row>
    <row r="6" spans="1:10" ht="16.05" customHeight="1" x14ac:dyDescent="0.3">
      <c r="A6" s="10" t="s">
        <v>212</v>
      </c>
      <c r="B6" s="14">
        <v>46206</v>
      </c>
      <c r="C6" s="15">
        <v>1</v>
      </c>
      <c r="D6" s="10" t="s">
        <v>126</v>
      </c>
      <c r="E6" s="10" t="s">
        <v>217</v>
      </c>
      <c r="F6" s="10"/>
      <c r="G6" s="10"/>
      <c r="H6" s="10" t="s">
        <v>216</v>
      </c>
      <c r="I6" s="13" t="str">
        <f t="shared" si="0"/>
        <v>RE-26-01|CO-05</v>
      </c>
      <c r="J6" s="11">
        <f t="shared" si="1"/>
        <v>0</v>
      </c>
    </row>
    <row r="7" spans="1:10" ht="16.05" customHeight="1" x14ac:dyDescent="0.3">
      <c r="A7" s="10" t="s">
        <v>212</v>
      </c>
      <c r="B7" s="14">
        <v>46206</v>
      </c>
      <c r="C7" s="15">
        <v>2</v>
      </c>
      <c r="D7" s="10" t="s">
        <v>137</v>
      </c>
      <c r="E7" s="10" t="s">
        <v>217</v>
      </c>
      <c r="F7" s="10"/>
      <c r="G7" s="10"/>
      <c r="H7" s="10" t="s">
        <v>216</v>
      </c>
      <c r="I7" s="13" t="str">
        <f t="shared" si="0"/>
        <v>RE-26-01|CO-07</v>
      </c>
      <c r="J7" s="11">
        <f t="shared" si="1"/>
        <v>0</v>
      </c>
    </row>
    <row r="8" spans="1:10" ht="16.05" customHeight="1" x14ac:dyDescent="0.3">
      <c r="A8" s="10" t="s">
        <v>212</v>
      </c>
      <c r="B8" s="14">
        <v>46206</v>
      </c>
      <c r="C8" s="15">
        <v>3</v>
      </c>
      <c r="D8" s="10" t="s">
        <v>147</v>
      </c>
      <c r="E8" s="10" t="s">
        <v>213</v>
      </c>
      <c r="F8" s="10" t="s">
        <v>218</v>
      </c>
      <c r="G8" s="10" t="s">
        <v>219</v>
      </c>
      <c r="H8" s="10" t="s">
        <v>216</v>
      </c>
      <c r="I8" s="13" t="str">
        <f t="shared" si="0"/>
        <v>RE-26-01|CO-09</v>
      </c>
      <c r="J8" s="11">
        <f t="shared" si="1"/>
        <v>1</v>
      </c>
    </row>
    <row r="9" spans="1:10" ht="16.05" customHeight="1" x14ac:dyDescent="0.3">
      <c r="A9" s="10" t="s">
        <v>212</v>
      </c>
      <c r="B9" s="14">
        <v>46206</v>
      </c>
      <c r="C9" s="15">
        <v>1</v>
      </c>
      <c r="D9" s="10" t="s">
        <v>161</v>
      </c>
      <c r="E9" s="10" t="s">
        <v>217</v>
      </c>
      <c r="F9" s="10"/>
      <c r="G9" s="10"/>
      <c r="H9" s="10" t="s">
        <v>216</v>
      </c>
      <c r="I9" s="13" t="str">
        <f t="shared" si="0"/>
        <v>RE-26-01|CO-11</v>
      </c>
      <c r="J9" s="11">
        <f t="shared" si="1"/>
        <v>0</v>
      </c>
    </row>
    <row r="10" spans="1:10" ht="16.05" customHeight="1" x14ac:dyDescent="0.3">
      <c r="A10" s="10" t="s">
        <v>212</v>
      </c>
      <c r="B10" s="14">
        <v>46206</v>
      </c>
      <c r="C10" s="15">
        <v>2</v>
      </c>
      <c r="D10" s="10" t="s">
        <v>173</v>
      </c>
      <c r="E10" s="10" t="s">
        <v>213</v>
      </c>
      <c r="F10" s="10" t="s">
        <v>220</v>
      </c>
      <c r="G10" s="10" t="s">
        <v>219</v>
      </c>
      <c r="H10" s="10" t="s">
        <v>216</v>
      </c>
      <c r="I10" s="13" t="str">
        <f t="shared" si="0"/>
        <v>RE-26-01|CO-13</v>
      </c>
      <c r="J10" s="11">
        <f t="shared" si="1"/>
        <v>1</v>
      </c>
    </row>
    <row r="11" spans="1:10" ht="16.05" customHeight="1" x14ac:dyDescent="0.3">
      <c r="A11" s="10" t="s">
        <v>212</v>
      </c>
      <c r="B11" s="14">
        <v>46206</v>
      </c>
      <c r="C11" s="15">
        <v>2</v>
      </c>
      <c r="D11" s="10" t="s">
        <v>194</v>
      </c>
      <c r="E11" s="10" t="s">
        <v>217</v>
      </c>
      <c r="F11" s="10"/>
      <c r="G11" s="10"/>
      <c r="H11" s="10" t="s">
        <v>216</v>
      </c>
      <c r="I11" s="13" t="str">
        <f t="shared" si="0"/>
        <v>RE-26-01|CO-16</v>
      </c>
      <c r="J11" s="11">
        <f t="shared" si="1"/>
        <v>0</v>
      </c>
    </row>
    <row r="12" spans="1:10" ht="16.05" customHeight="1" x14ac:dyDescent="0.3">
      <c r="A12" s="10" t="s">
        <v>221</v>
      </c>
      <c r="B12" s="14">
        <v>46213</v>
      </c>
      <c r="C12" s="15">
        <v>2</v>
      </c>
      <c r="D12" s="10" t="s">
        <v>89</v>
      </c>
      <c r="E12" s="10" t="s">
        <v>217</v>
      </c>
      <c r="F12" s="10"/>
      <c r="G12" s="10"/>
      <c r="H12" s="10" t="s">
        <v>124</v>
      </c>
      <c r="I12" s="13" t="str">
        <f t="shared" si="0"/>
        <v>RE-26-02|CO-01</v>
      </c>
      <c r="J12" s="11">
        <f t="shared" si="1"/>
        <v>0</v>
      </c>
    </row>
    <row r="13" spans="1:10" ht="16.05" customHeight="1" x14ac:dyDescent="0.3">
      <c r="A13" s="10" t="s">
        <v>221</v>
      </c>
      <c r="B13" s="14">
        <v>46213</v>
      </c>
      <c r="C13" s="15">
        <v>3</v>
      </c>
      <c r="D13" s="10" t="s">
        <v>126</v>
      </c>
      <c r="E13" s="10" t="s">
        <v>217</v>
      </c>
      <c r="F13" s="10"/>
      <c r="G13" s="10"/>
      <c r="H13" s="10" t="s">
        <v>124</v>
      </c>
      <c r="I13" s="13" t="str">
        <f t="shared" si="0"/>
        <v>RE-26-02|CO-05</v>
      </c>
      <c r="J13" s="11">
        <f t="shared" si="1"/>
        <v>0</v>
      </c>
    </row>
    <row r="14" spans="1:10" ht="16.05" customHeight="1" x14ac:dyDescent="0.3">
      <c r="A14" s="10" t="s">
        <v>221</v>
      </c>
      <c r="B14" s="14">
        <v>46213</v>
      </c>
      <c r="C14" s="15">
        <v>1</v>
      </c>
      <c r="D14" s="10" t="s">
        <v>137</v>
      </c>
      <c r="E14" s="10" t="s">
        <v>217</v>
      </c>
      <c r="F14" s="10"/>
      <c r="G14" s="10"/>
      <c r="H14" s="10" t="s">
        <v>124</v>
      </c>
      <c r="I14" s="13" t="str">
        <f t="shared" si="0"/>
        <v>RE-26-02|CO-07</v>
      </c>
      <c r="J14" s="11">
        <f t="shared" si="1"/>
        <v>0</v>
      </c>
    </row>
    <row r="15" spans="1:10" ht="16.05" customHeight="1" x14ac:dyDescent="0.3">
      <c r="A15" s="10" t="s">
        <v>221</v>
      </c>
      <c r="B15" s="14">
        <v>46213</v>
      </c>
      <c r="C15" s="15">
        <v>2</v>
      </c>
      <c r="D15" s="10" t="s">
        <v>147</v>
      </c>
      <c r="E15" s="10" t="s">
        <v>213</v>
      </c>
      <c r="F15" s="10" t="s">
        <v>218</v>
      </c>
      <c r="G15" s="10" t="s">
        <v>219</v>
      </c>
      <c r="H15" s="10" t="s">
        <v>124</v>
      </c>
      <c r="I15" s="13" t="str">
        <f t="shared" si="0"/>
        <v>RE-26-02|CO-09</v>
      </c>
      <c r="J15" s="11">
        <f t="shared" si="1"/>
        <v>1</v>
      </c>
    </row>
    <row r="16" spans="1:10" ht="16.05" customHeight="1" x14ac:dyDescent="0.3">
      <c r="A16" s="10" t="s">
        <v>221</v>
      </c>
      <c r="B16" s="14">
        <v>46213</v>
      </c>
      <c r="C16" s="15">
        <v>3</v>
      </c>
      <c r="D16" s="10" t="s">
        <v>161</v>
      </c>
      <c r="E16" s="10" t="s">
        <v>217</v>
      </c>
      <c r="F16" s="10"/>
      <c r="G16" s="10"/>
      <c r="H16" s="10" t="s">
        <v>124</v>
      </c>
      <c r="I16" s="13" t="str">
        <f t="shared" si="0"/>
        <v>RE-26-02|CO-11</v>
      </c>
      <c r="J16" s="11">
        <f t="shared" si="1"/>
        <v>0</v>
      </c>
    </row>
    <row r="17" spans="1:10" ht="16.05" customHeight="1" x14ac:dyDescent="0.3">
      <c r="A17" s="10" t="s">
        <v>221</v>
      </c>
      <c r="B17" s="14">
        <v>46213</v>
      </c>
      <c r="C17" s="15">
        <v>1</v>
      </c>
      <c r="D17" s="10" t="s">
        <v>173</v>
      </c>
      <c r="E17" s="10" t="s">
        <v>213</v>
      </c>
      <c r="F17" s="10" t="s">
        <v>220</v>
      </c>
      <c r="G17" s="10" t="s">
        <v>219</v>
      </c>
      <c r="H17" s="10" t="s">
        <v>124</v>
      </c>
      <c r="I17" s="13" t="str">
        <f t="shared" si="0"/>
        <v>RE-26-02|CO-13</v>
      </c>
      <c r="J17" s="11">
        <f t="shared" si="1"/>
        <v>1</v>
      </c>
    </row>
    <row r="18" spans="1:10" ht="16.05" customHeight="1" x14ac:dyDescent="0.3">
      <c r="A18" s="10" t="s">
        <v>221</v>
      </c>
      <c r="B18" s="14">
        <v>46213</v>
      </c>
      <c r="C18" s="15">
        <v>2</v>
      </c>
      <c r="D18" s="10" t="s">
        <v>194</v>
      </c>
      <c r="E18" s="10" t="s">
        <v>217</v>
      </c>
      <c r="F18" s="10"/>
      <c r="G18" s="10"/>
      <c r="H18" s="10" t="s">
        <v>124</v>
      </c>
      <c r="I18" s="13" t="str">
        <f t="shared" si="0"/>
        <v>RE-26-02|CO-16</v>
      </c>
      <c r="J18" s="11">
        <f t="shared" si="1"/>
        <v>0</v>
      </c>
    </row>
    <row r="19" spans="1:10" ht="16.05" customHeight="1" x14ac:dyDescent="0.3">
      <c r="A19" s="10" t="s">
        <v>222</v>
      </c>
      <c r="B19" s="14">
        <v>46220</v>
      </c>
      <c r="C19" s="15">
        <v>3</v>
      </c>
      <c r="D19" s="10" t="s">
        <v>89</v>
      </c>
      <c r="E19" s="10" t="s">
        <v>213</v>
      </c>
      <c r="F19" s="10" t="s">
        <v>214</v>
      </c>
      <c r="G19" s="10" t="s">
        <v>215</v>
      </c>
      <c r="H19" s="10" t="s">
        <v>216</v>
      </c>
      <c r="I19" s="13" t="str">
        <f t="shared" si="0"/>
        <v>RE-26-03|CO-01</v>
      </c>
      <c r="J19" s="11">
        <f t="shared" si="1"/>
        <v>1</v>
      </c>
    </row>
    <row r="20" spans="1:10" ht="16.05" customHeight="1" x14ac:dyDescent="0.3">
      <c r="A20" s="10" t="s">
        <v>222</v>
      </c>
      <c r="B20" s="14">
        <v>46220</v>
      </c>
      <c r="C20" s="15">
        <v>2</v>
      </c>
      <c r="D20" s="10" t="s">
        <v>126</v>
      </c>
      <c r="E20" s="10" t="s">
        <v>217</v>
      </c>
      <c r="F20" s="10"/>
      <c r="G20" s="10"/>
      <c r="H20" s="10" t="s">
        <v>216</v>
      </c>
      <c r="I20" s="13" t="str">
        <f t="shared" si="0"/>
        <v>RE-26-03|CO-05</v>
      </c>
      <c r="J20" s="11">
        <f t="shared" si="1"/>
        <v>0</v>
      </c>
    </row>
    <row r="21" spans="1:10" ht="16.05" customHeight="1" x14ac:dyDescent="0.3">
      <c r="A21" s="10" t="s">
        <v>222</v>
      </c>
      <c r="B21" s="14">
        <v>46220</v>
      </c>
      <c r="C21" s="15">
        <v>2</v>
      </c>
      <c r="D21" s="10" t="s">
        <v>137</v>
      </c>
      <c r="E21" s="10" t="s">
        <v>217</v>
      </c>
      <c r="F21" s="10"/>
      <c r="G21" s="10"/>
      <c r="H21" s="10" t="s">
        <v>216</v>
      </c>
      <c r="I21" s="13" t="str">
        <f t="shared" si="0"/>
        <v>RE-26-03|CO-07</v>
      </c>
      <c r="J21" s="11">
        <f t="shared" si="1"/>
        <v>0</v>
      </c>
    </row>
    <row r="22" spans="1:10" ht="16.05" customHeight="1" x14ac:dyDescent="0.3">
      <c r="A22" s="10" t="s">
        <v>222</v>
      </c>
      <c r="B22" s="14">
        <v>46220</v>
      </c>
      <c r="C22" s="15">
        <v>2</v>
      </c>
      <c r="D22" s="10" t="s">
        <v>147</v>
      </c>
      <c r="E22" s="10" t="s">
        <v>213</v>
      </c>
      <c r="F22" s="10" t="s">
        <v>218</v>
      </c>
      <c r="G22" s="10" t="s">
        <v>219</v>
      </c>
      <c r="H22" s="10" t="s">
        <v>216</v>
      </c>
      <c r="I22" s="13" t="str">
        <f t="shared" si="0"/>
        <v>RE-26-03|CO-09</v>
      </c>
      <c r="J22" s="11">
        <f t="shared" si="1"/>
        <v>1</v>
      </c>
    </row>
    <row r="23" spans="1:10" ht="16.05" customHeight="1" x14ac:dyDescent="0.3">
      <c r="A23" s="10" t="s">
        <v>222</v>
      </c>
      <c r="B23" s="14">
        <v>46220</v>
      </c>
      <c r="C23" s="15">
        <v>2</v>
      </c>
      <c r="D23" s="10" t="s">
        <v>161</v>
      </c>
      <c r="E23" s="10" t="s">
        <v>217</v>
      </c>
      <c r="F23" s="10"/>
      <c r="G23" s="10"/>
      <c r="H23" s="10" t="s">
        <v>216</v>
      </c>
      <c r="I23" s="13" t="str">
        <f t="shared" si="0"/>
        <v>RE-26-03|CO-11</v>
      </c>
      <c r="J23" s="11">
        <f t="shared" si="1"/>
        <v>0</v>
      </c>
    </row>
    <row r="24" spans="1:10" ht="16.05" customHeight="1" x14ac:dyDescent="0.3">
      <c r="A24" s="10" t="s">
        <v>222</v>
      </c>
      <c r="B24" s="14">
        <v>46220</v>
      </c>
      <c r="C24" s="15">
        <v>1</v>
      </c>
      <c r="D24" s="10" t="s">
        <v>173</v>
      </c>
      <c r="E24" s="10" t="s">
        <v>213</v>
      </c>
      <c r="F24" s="10" t="s">
        <v>220</v>
      </c>
      <c r="G24" s="10" t="s">
        <v>219</v>
      </c>
      <c r="H24" s="10" t="s">
        <v>216</v>
      </c>
      <c r="I24" s="13" t="str">
        <f t="shared" si="0"/>
        <v>RE-26-03|CO-13</v>
      </c>
      <c r="J24" s="11">
        <f t="shared" si="1"/>
        <v>1</v>
      </c>
    </row>
    <row r="25" spans="1:10" ht="16.05" customHeight="1" x14ac:dyDescent="0.3">
      <c r="A25" s="10" t="s">
        <v>222</v>
      </c>
      <c r="B25" s="14">
        <v>46220</v>
      </c>
      <c r="C25" s="15">
        <v>3</v>
      </c>
      <c r="D25" s="10" t="s">
        <v>194</v>
      </c>
      <c r="E25" s="10" t="s">
        <v>217</v>
      </c>
      <c r="F25" s="10"/>
      <c r="G25" s="10"/>
      <c r="H25" s="10" t="s">
        <v>216</v>
      </c>
      <c r="I25" s="13" t="str">
        <f t="shared" si="0"/>
        <v>RE-26-03|CO-16</v>
      </c>
      <c r="J25" s="11">
        <f t="shared" si="1"/>
        <v>0</v>
      </c>
    </row>
    <row r="26" spans="1:10" ht="16.05" customHeight="1" x14ac:dyDescent="0.3">
      <c r="A26" s="10" t="s">
        <v>223</v>
      </c>
      <c r="B26" s="14">
        <v>46227</v>
      </c>
      <c r="C26" s="15">
        <v>3</v>
      </c>
      <c r="D26" s="10" t="s">
        <v>89</v>
      </c>
      <c r="E26" s="10" t="s">
        <v>217</v>
      </c>
      <c r="F26" s="10"/>
      <c r="G26" s="10"/>
      <c r="H26" s="10" t="s">
        <v>124</v>
      </c>
      <c r="I26" s="13" t="str">
        <f t="shared" si="0"/>
        <v>RE-26-04|CO-01</v>
      </c>
      <c r="J26" s="11">
        <f t="shared" si="1"/>
        <v>0</v>
      </c>
    </row>
    <row r="27" spans="1:10" ht="16.05" customHeight="1" x14ac:dyDescent="0.3">
      <c r="A27" s="10" t="s">
        <v>223</v>
      </c>
      <c r="B27" s="14">
        <v>46227</v>
      </c>
      <c r="C27" s="15">
        <v>3</v>
      </c>
      <c r="D27" s="10" t="s">
        <v>126</v>
      </c>
      <c r="E27" s="10" t="s">
        <v>217</v>
      </c>
      <c r="F27" s="10"/>
      <c r="G27" s="10"/>
      <c r="H27" s="10" t="s">
        <v>124</v>
      </c>
      <c r="I27" s="13" t="str">
        <f t="shared" si="0"/>
        <v>RE-26-04|CO-05</v>
      </c>
      <c r="J27" s="11">
        <f t="shared" si="1"/>
        <v>0</v>
      </c>
    </row>
    <row r="28" spans="1:10" ht="16.05" customHeight="1" x14ac:dyDescent="0.3">
      <c r="A28" s="10" t="s">
        <v>223</v>
      </c>
      <c r="B28" s="14">
        <v>46227</v>
      </c>
      <c r="C28" s="15">
        <v>1</v>
      </c>
      <c r="D28" s="10" t="s">
        <v>137</v>
      </c>
      <c r="E28" s="10" t="s">
        <v>217</v>
      </c>
      <c r="F28" s="10"/>
      <c r="G28" s="10"/>
      <c r="H28" s="10" t="s">
        <v>124</v>
      </c>
      <c r="I28" s="13" t="str">
        <f t="shared" si="0"/>
        <v>RE-26-04|CO-07</v>
      </c>
      <c r="J28" s="11">
        <f t="shared" si="1"/>
        <v>0</v>
      </c>
    </row>
    <row r="29" spans="1:10" ht="16.05" customHeight="1" x14ac:dyDescent="0.3">
      <c r="A29" s="10" t="s">
        <v>223</v>
      </c>
      <c r="B29" s="14">
        <v>46227</v>
      </c>
      <c r="C29" s="15">
        <v>2</v>
      </c>
      <c r="D29" s="10" t="s">
        <v>147</v>
      </c>
      <c r="E29" s="10" t="s">
        <v>213</v>
      </c>
      <c r="F29" s="10" t="s">
        <v>218</v>
      </c>
      <c r="G29" s="10" t="s">
        <v>219</v>
      </c>
      <c r="H29" s="10" t="s">
        <v>124</v>
      </c>
      <c r="I29" s="13" t="str">
        <f t="shared" si="0"/>
        <v>RE-26-04|CO-09</v>
      </c>
      <c r="J29" s="11">
        <f t="shared" si="1"/>
        <v>1</v>
      </c>
    </row>
    <row r="30" spans="1:10" ht="16.05" customHeight="1" x14ac:dyDescent="0.3">
      <c r="A30" s="10" t="s">
        <v>223</v>
      </c>
      <c r="B30" s="14">
        <v>46227</v>
      </c>
      <c r="C30" s="15">
        <v>1</v>
      </c>
      <c r="D30" s="10" t="s">
        <v>161</v>
      </c>
      <c r="E30" s="10" t="s">
        <v>217</v>
      </c>
      <c r="F30" s="10"/>
      <c r="G30" s="10"/>
      <c r="H30" s="10" t="s">
        <v>124</v>
      </c>
      <c r="I30" s="13" t="str">
        <f t="shared" si="0"/>
        <v>RE-26-04|CO-11</v>
      </c>
      <c r="J30" s="11">
        <f t="shared" si="1"/>
        <v>0</v>
      </c>
    </row>
    <row r="31" spans="1:10" ht="16.05" customHeight="1" x14ac:dyDescent="0.3">
      <c r="A31" s="10" t="s">
        <v>223</v>
      </c>
      <c r="B31" s="14">
        <v>46227</v>
      </c>
      <c r="C31" s="15">
        <v>3</v>
      </c>
      <c r="D31" s="10" t="s">
        <v>173</v>
      </c>
      <c r="E31" s="10" t="s">
        <v>213</v>
      </c>
      <c r="F31" s="10" t="s">
        <v>220</v>
      </c>
      <c r="G31" s="10" t="s">
        <v>219</v>
      </c>
      <c r="H31" s="10" t="s">
        <v>124</v>
      </c>
      <c r="I31" s="13" t="str">
        <f t="shared" si="0"/>
        <v>RE-26-04|CO-13</v>
      </c>
      <c r="J31" s="11">
        <f t="shared" si="1"/>
        <v>1</v>
      </c>
    </row>
    <row r="32" spans="1:10" ht="16.05" customHeight="1" x14ac:dyDescent="0.3">
      <c r="A32" s="10" t="s">
        <v>223</v>
      </c>
      <c r="B32" s="14">
        <v>46227</v>
      </c>
      <c r="C32" s="15">
        <v>1</v>
      </c>
      <c r="D32" s="10" t="s">
        <v>194</v>
      </c>
      <c r="E32" s="10" t="s">
        <v>217</v>
      </c>
      <c r="F32" s="10"/>
      <c r="G32" s="10"/>
      <c r="H32" s="10" t="s">
        <v>124</v>
      </c>
      <c r="I32" s="13" t="str">
        <f t="shared" si="0"/>
        <v>RE-26-04|CO-16</v>
      </c>
      <c r="J32" s="11">
        <f t="shared" si="1"/>
        <v>0</v>
      </c>
    </row>
    <row r="33" spans="1:10" ht="16.05" customHeight="1" x14ac:dyDescent="0.3">
      <c r="A33" s="10" t="s">
        <v>224</v>
      </c>
      <c r="B33" s="14">
        <v>46234</v>
      </c>
      <c r="C33" s="15">
        <v>1</v>
      </c>
      <c r="D33" s="10" t="s">
        <v>89</v>
      </c>
      <c r="E33" s="10" t="s">
        <v>213</v>
      </c>
      <c r="F33" s="10" t="s">
        <v>214</v>
      </c>
      <c r="G33" s="10" t="s">
        <v>215</v>
      </c>
      <c r="H33" s="10" t="s">
        <v>216</v>
      </c>
      <c r="I33" s="13" t="str">
        <f t="shared" si="0"/>
        <v>RE-26-05|CO-01</v>
      </c>
      <c r="J33" s="11">
        <f t="shared" si="1"/>
        <v>1</v>
      </c>
    </row>
    <row r="34" spans="1:10" ht="16.05" customHeight="1" x14ac:dyDescent="0.3">
      <c r="A34" s="10" t="s">
        <v>224</v>
      </c>
      <c r="B34" s="14">
        <v>46234</v>
      </c>
      <c r="C34" s="15">
        <v>2</v>
      </c>
      <c r="D34" s="10" t="s">
        <v>126</v>
      </c>
      <c r="E34" s="10" t="s">
        <v>217</v>
      </c>
      <c r="F34" s="10"/>
      <c r="G34" s="10"/>
      <c r="H34" s="10" t="s">
        <v>216</v>
      </c>
      <c r="I34" s="13" t="str">
        <f t="shared" si="0"/>
        <v>RE-26-05|CO-05</v>
      </c>
      <c r="J34" s="11">
        <f t="shared" si="1"/>
        <v>0</v>
      </c>
    </row>
    <row r="35" spans="1:10" ht="16.05" customHeight="1" x14ac:dyDescent="0.3">
      <c r="A35" s="10" t="s">
        <v>224</v>
      </c>
      <c r="B35" s="14">
        <v>46234</v>
      </c>
      <c r="C35" s="15">
        <v>2</v>
      </c>
      <c r="D35" s="10" t="s">
        <v>137</v>
      </c>
      <c r="E35" s="10" t="s">
        <v>217</v>
      </c>
      <c r="F35" s="10"/>
      <c r="G35" s="10"/>
      <c r="H35" s="10" t="s">
        <v>216</v>
      </c>
      <c r="I35" s="13" t="str">
        <f t="shared" si="0"/>
        <v>RE-26-05|CO-07</v>
      </c>
      <c r="J35" s="11">
        <f t="shared" si="1"/>
        <v>0</v>
      </c>
    </row>
    <row r="36" spans="1:10" ht="16.05" customHeight="1" x14ac:dyDescent="0.3">
      <c r="A36" s="10" t="s">
        <v>224</v>
      </c>
      <c r="B36" s="14">
        <v>46234</v>
      </c>
      <c r="C36" s="15">
        <v>1</v>
      </c>
      <c r="D36" s="10" t="s">
        <v>147</v>
      </c>
      <c r="E36" s="10" t="s">
        <v>213</v>
      </c>
      <c r="F36" s="10" t="s">
        <v>218</v>
      </c>
      <c r="G36" s="10" t="s">
        <v>219</v>
      </c>
      <c r="H36" s="10" t="s">
        <v>216</v>
      </c>
      <c r="I36" s="13" t="str">
        <f t="shared" si="0"/>
        <v>RE-26-05|CO-09</v>
      </c>
      <c r="J36" s="11">
        <f t="shared" si="1"/>
        <v>1</v>
      </c>
    </row>
    <row r="37" spans="1:10" ht="16.05" customHeight="1" x14ac:dyDescent="0.3">
      <c r="A37" s="10" t="s">
        <v>224</v>
      </c>
      <c r="B37" s="14">
        <v>46234</v>
      </c>
      <c r="C37" s="15">
        <v>1</v>
      </c>
      <c r="D37" s="10" t="s">
        <v>161</v>
      </c>
      <c r="E37" s="10" t="s">
        <v>217</v>
      </c>
      <c r="F37" s="10"/>
      <c r="G37" s="10"/>
      <c r="H37" s="10" t="s">
        <v>216</v>
      </c>
      <c r="I37" s="13" t="str">
        <f t="shared" ref="I37:I68" si="2">IF(A37="","",A37&amp;"|"&amp;D37)</f>
        <v>RE-26-05|CO-11</v>
      </c>
      <c r="J37" s="11">
        <f t="shared" ref="J37:J68" si="3">IF(A37="","",IF(E37="Não conforme",1,0))</f>
        <v>0</v>
      </c>
    </row>
    <row r="38" spans="1:10" ht="16.05" customHeight="1" x14ac:dyDescent="0.3">
      <c r="A38" s="10" t="s">
        <v>224</v>
      </c>
      <c r="B38" s="14">
        <v>46234</v>
      </c>
      <c r="C38" s="15">
        <v>1</v>
      </c>
      <c r="D38" s="10" t="s">
        <v>173</v>
      </c>
      <c r="E38" s="10" t="s">
        <v>213</v>
      </c>
      <c r="F38" s="10" t="s">
        <v>220</v>
      </c>
      <c r="G38" s="10" t="s">
        <v>219</v>
      </c>
      <c r="H38" s="10" t="s">
        <v>216</v>
      </c>
      <c r="I38" s="13" t="str">
        <f t="shared" si="2"/>
        <v>RE-26-05|CO-13</v>
      </c>
      <c r="J38" s="11">
        <f t="shared" si="3"/>
        <v>1</v>
      </c>
    </row>
    <row r="39" spans="1:10" ht="16.05" customHeight="1" x14ac:dyDescent="0.3">
      <c r="A39" s="10" t="s">
        <v>224</v>
      </c>
      <c r="B39" s="14">
        <v>46234</v>
      </c>
      <c r="C39" s="15">
        <v>2</v>
      </c>
      <c r="D39" s="10" t="s">
        <v>194</v>
      </c>
      <c r="E39" s="10" t="s">
        <v>213</v>
      </c>
      <c r="F39" s="10" t="s">
        <v>225</v>
      </c>
      <c r="G39" s="10" t="s">
        <v>215</v>
      </c>
      <c r="H39" s="10" t="s">
        <v>216</v>
      </c>
      <c r="I39" s="13" t="str">
        <f t="shared" si="2"/>
        <v>RE-26-05|CO-16</v>
      </c>
      <c r="J39" s="11">
        <f t="shared" si="3"/>
        <v>1</v>
      </c>
    </row>
    <row r="40" spans="1:10" ht="16.05" customHeight="1" x14ac:dyDescent="0.3">
      <c r="A40" s="10" t="s">
        <v>226</v>
      </c>
      <c r="B40" s="14">
        <v>46241</v>
      </c>
      <c r="C40" s="15">
        <v>3</v>
      </c>
      <c r="D40" s="10" t="s">
        <v>89</v>
      </c>
      <c r="E40" s="10" t="s">
        <v>213</v>
      </c>
      <c r="F40" s="10" t="s">
        <v>214</v>
      </c>
      <c r="G40" s="10" t="s">
        <v>215</v>
      </c>
      <c r="H40" s="10" t="s">
        <v>124</v>
      </c>
      <c r="I40" s="13" t="str">
        <f t="shared" si="2"/>
        <v>RE-26-06|CO-01</v>
      </c>
      <c r="J40" s="11">
        <f t="shared" si="3"/>
        <v>1</v>
      </c>
    </row>
    <row r="41" spans="1:10" ht="16.05" customHeight="1" x14ac:dyDescent="0.3">
      <c r="A41" s="10" t="s">
        <v>226</v>
      </c>
      <c r="B41" s="14">
        <v>46241</v>
      </c>
      <c r="C41" s="15">
        <v>2</v>
      </c>
      <c r="D41" s="10" t="s">
        <v>126</v>
      </c>
      <c r="E41" s="10" t="s">
        <v>217</v>
      </c>
      <c r="F41" s="10"/>
      <c r="G41" s="10"/>
      <c r="H41" s="10" t="s">
        <v>124</v>
      </c>
      <c r="I41" s="13" t="str">
        <f t="shared" si="2"/>
        <v>RE-26-06|CO-05</v>
      </c>
      <c r="J41" s="11">
        <f t="shared" si="3"/>
        <v>0</v>
      </c>
    </row>
    <row r="42" spans="1:10" ht="16.05" customHeight="1" x14ac:dyDescent="0.3">
      <c r="A42" s="10" t="s">
        <v>226</v>
      </c>
      <c r="B42" s="14">
        <v>46241</v>
      </c>
      <c r="C42" s="15">
        <v>3</v>
      </c>
      <c r="D42" s="10" t="s">
        <v>137</v>
      </c>
      <c r="E42" s="10" t="s">
        <v>213</v>
      </c>
      <c r="F42" s="10" t="s">
        <v>227</v>
      </c>
      <c r="G42" s="10" t="s">
        <v>215</v>
      </c>
      <c r="H42" s="10" t="s">
        <v>124</v>
      </c>
      <c r="I42" s="13" t="str">
        <f t="shared" si="2"/>
        <v>RE-26-06|CO-07</v>
      </c>
      <c r="J42" s="11">
        <f t="shared" si="3"/>
        <v>1</v>
      </c>
    </row>
    <row r="43" spans="1:10" ht="16.05" customHeight="1" x14ac:dyDescent="0.3">
      <c r="A43" s="10" t="s">
        <v>226</v>
      </c>
      <c r="B43" s="14">
        <v>46241</v>
      </c>
      <c r="C43" s="15">
        <v>2</v>
      </c>
      <c r="D43" s="10" t="s">
        <v>147</v>
      </c>
      <c r="E43" s="10" t="s">
        <v>213</v>
      </c>
      <c r="F43" s="10" t="s">
        <v>218</v>
      </c>
      <c r="G43" s="10" t="s">
        <v>219</v>
      </c>
      <c r="H43" s="10" t="s">
        <v>124</v>
      </c>
      <c r="I43" s="13" t="str">
        <f t="shared" si="2"/>
        <v>RE-26-06|CO-09</v>
      </c>
      <c r="J43" s="11">
        <f t="shared" si="3"/>
        <v>1</v>
      </c>
    </row>
    <row r="44" spans="1:10" ht="16.05" customHeight="1" x14ac:dyDescent="0.3">
      <c r="A44" s="10" t="s">
        <v>226</v>
      </c>
      <c r="B44" s="14">
        <v>46241</v>
      </c>
      <c r="C44" s="15">
        <v>2</v>
      </c>
      <c r="D44" s="10" t="s">
        <v>161</v>
      </c>
      <c r="E44" s="10" t="s">
        <v>217</v>
      </c>
      <c r="F44" s="10"/>
      <c r="G44" s="10"/>
      <c r="H44" s="10" t="s">
        <v>124</v>
      </c>
      <c r="I44" s="13" t="str">
        <f t="shared" si="2"/>
        <v>RE-26-06|CO-11</v>
      </c>
      <c r="J44" s="11">
        <f t="shared" si="3"/>
        <v>0</v>
      </c>
    </row>
    <row r="45" spans="1:10" ht="16.05" customHeight="1" x14ac:dyDescent="0.3">
      <c r="A45" s="10" t="s">
        <v>226</v>
      </c>
      <c r="B45" s="14">
        <v>46241</v>
      </c>
      <c r="C45" s="15">
        <v>2</v>
      </c>
      <c r="D45" s="10" t="s">
        <v>173</v>
      </c>
      <c r="E45" s="10" t="s">
        <v>213</v>
      </c>
      <c r="F45" s="10" t="s">
        <v>220</v>
      </c>
      <c r="G45" s="10" t="s">
        <v>219</v>
      </c>
      <c r="H45" s="10" t="s">
        <v>124</v>
      </c>
      <c r="I45" s="13" t="str">
        <f t="shared" si="2"/>
        <v>RE-26-06|CO-13</v>
      </c>
      <c r="J45" s="11">
        <f t="shared" si="3"/>
        <v>1</v>
      </c>
    </row>
    <row r="46" spans="1:10" ht="16.05" customHeight="1" x14ac:dyDescent="0.3">
      <c r="A46" s="10" t="s">
        <v>226</v>
      </c>
      <c r="B46" s="14">
        <v>46241</v>
      </c>
      <c r="C46" s="15">
        <v>3</v>
      </c>
      <c r="D46" s="10" t="s">
        <v>194</v>
      </c>
      <c r="E46" s="10" t="s">
        <v>217</v>
      </c>
      <c r="F46" s="10"/>
      <c r="G46" s="10"/>
      <c r="H46" s="10" t="s">
        <v>124</v>
      </c>
      <c r="I46" s="13" t="str">
        <f t="shared" si="2"/>
        <v>RE-26-06|CO-16</v>
      </c>
      <c r="J46" s="11">
        <f t="shared" si="3"/>
        <v>0</v>
      </c>
    </row>
    <row r="47" spans="1:10" ht="16.05" customHeight="1" x14ac:dyDescent="0.3">
      <c r="A47" s="10" t="s">
        <v>228</v>
      </c>
      <c r="B47" s="14">
        <v>46248</v>
      </c>
      <c r="C47" s="15">
        <v>1</v>
      </c>
      <c r="D47" s="10" t="s">
        <v>89</v>
      </c>
      <c r="E47" s="10" t="s">
        <v>213</v>
      </c>
      <c r="F47" s="10" t="s">
        <v>214</v>
      </c>
      <c r="G47" s="10" t="s">
        <v>215</v>
      </c>
      <c r="H47" s="10" t="s">
        <v>216</v>
      </c>
      <c r="I47" s="13" t="str">
        <f t="shared" si="2"/>
        <v>RE-26-07|CO-01</v>
      </c>
      <c r="J47" s="11">
        <f t="shared" si="3"/>
        <v>1</v>
      </c>
    </row>
    <row r="48" spans="1:10" ht="16.05" customHeight="1" x14ac:dyDescent="0.3">
      <c r="A48" s="10" t="s">
        <v>228</v>
      </c>
      <c r="B48" s="14">
        <v>46248</v>
      </c>
      <c r="C48" s="15">
        <v>1</v>
      </c>
      <c r="D48" s="10" t="s">
        <v>126</v>
      </c>
      <c r="E48" s="10" t="s">
        <v>213</v>
      </c>
      <c r="F48" s="10" t="s">
        <v>229</v>
      </c>
      <c r="G48" s="10" t="s">
        <v>215</v>
      </c>
      <c r="H48" s="10" t="s">
        <v>216</v>
      </c>
      <c r="I48" s="13" t="str">
        <f t="shared" si="2"/>
        <v>RE-26-07|CO-05</v>
      </c>
      <c r="J48" s="11">
        <f t="shared" si="3"/>
        <v>1</v>
      </c>
    </row>
    <row r="49" spans="1:10" ht="16.05" customHeight="1" x14ac:dyDescent="0.3">
      <c r="A49" s="10" t="s">
        <v>228</v>
      </c>
      <c r="B49" s="14">
        <v>46248</v>
      </c>
      <c r="C49" s="15">
        <v>2</v>
      </c>
      <c r="D49" s="10" t="s">
        <v>137</v>
      </c>
      <c r="E49" s="10" t="s">
        <v>217</v>
      </c>
      <c r="F49" s="10"/>
      <c r="G49" s="10"/>
      <c r="H49" s="10" t="s">
        <v>216</v>
      </c>
      <c r="I49" s="13" t="str">
        <f t="shared" si="2"/>
        <v>RE-26-07|CO-07</v>
      </c>
      <c r="J49" s="11">
        <f t="shared" si="3"/>
        <v>0</v>
      </c>
    </row>
    <row r="50" spans="1:10" ht="16.05" customHeight="1" x14ac:dyDescent="0.3">
      <c r="A50" s="10" t="s">
        <v>228</v>
      </c>
      <c r="B50" s="14">
        <v>46248</v>
      </c>
      <c r="C50" s="15">
        <v>2</v>
      </c>
      <c r="D50" s="10" t="s">
        <v>147</v>
      </c>
      <c r="E50" s="10" t="s">
        <v>217</v>
      </c>
      <c r="F50" s="10"/>
      <c r="G50" s="10"/>
      <c r="H50" s="10" t="s">
        <v>216</v>
      </c>
      <c r="I50" s="13" t="str">
        <f t="shared" si="2"/>
        <v>RE-26-07|CO-09</v>
      </c>
      <c r="J50" s="11">
        <f t="shared" si="3"/>
        <v>0</v>
      </c>
    </row>
    <row r="51" spans="1:10" ht="16.05" customHeight="1" x14ac:dyDescent="0.3">
      <c r="A51" s="10" t="s">
        <v>228</v>
      </c>
      <c r="B51" s="14">
        <v>46248</v>
      </c>
      <c r="C51" s="15">
        <v>1</v>
      </c>
      <c r="D51" s="10" t="s">
        <v>161</v>
      </c>
      <c r="E51" s="10" t="s">
        <v>217</v>
      </c>
      <c r="F51" s="10"/>
      <c r="G51" s="10"/>
      <c r="H51" s="10" t="s">
        <v>216</v>
      </c>
      <c r="I51" s="13" t="str">
        <f t="shared" si="2"/>
        <v>RE-26-07|CO-11</v>
      </c>
      <c r="J51" s="11">
        <f t="shared" si="3"/>
        <v>0</v>
      </c>
    </row>
    <row r="52" spans="1:10" ht="16.05" customHeight="1" x14ac:dyDescent="0.3">
      <c r="A52" s="10" t="s">
        <v>228</v>
      </c>
      <c r="B52" s="14">
        <v>46248</v>
      </c>
      <c r="C52" s="15">
        <v>3</v>
      </c>
      <c r="D52" s="10" t="s">
        <v>173</v>
      </c>
      <c r="E52" s="10" t="s">
        <v>213</v>
      </c>
      <c r="F52" s="10" t="s">
        <v>220</v>
      </c>
      <c r="G52" s="10" t="s">
        <v>219</v>
      </c>
      <c r="H52" s="10" t="s">
        <v>216</v>
      </c>
      <c r="I52" s="13" t="str">
        <f t="shared" si="2"/>
        <v>RE-26-07|CO-13</v>
      </c>
      <c r="J52" s="11">
        <f t="shared" si="3"/>
        <v>1</v>
      </c>
    </row>
    <row r="53" spans="1:10" ht="16.05" customHeight="1" x14ac:dyDescent="0.3">
      <c r="A53" s="10" t="s">
        <v>228</v>
      </c>
      <c r="B53" s="14">
        <v>46248</v>
      </c>
      <c r="C53" s="15">
        <v>1</v>
      </c>
      <c r="D53" s="10" t="s">
        <v>194</v>
      </c>
      <c r="E53" s="10" t="s">
        <v>217</v>
      </c>
      <c r="F53" s="10"/>
      <c r="G53" s="10"/>
      <c r="H53" s="10" t="s">
        <v>216</v>
      </c>
      <c r="I53" s="13" t="str">
        <f t="shared" si="2"/>
        <v>RE-26-07|CO-16</v>
      </c>
      <c r="J53" s="11">
        <f t="shared" si="3"/>
        <v>0</v>
      </c>
    </row>
    <row r="54" spans="1:10" ht="16.05" customHeight="1" x14ac:dyDescent="0.3">
      <c r="A54" s="10" t="s">
        <v>230</v>
      </c>
      <c r="B54" s="14">
        <v>46255</v>
      </c>
      <c r="C54" s="15">
        <v>1</v>
      </c>
      <c r="D54" s="10" t="s">
        <v>89</v>
      </c>
      <c r="E54" s="10" t="s">
        <v>217</v>
      </c>
      <c r="F54" s="10"/>
      <c r="G54" s="10"/>
      <c r="H54" s="10" t="s">
        <v>124</v>
      </c>
      <c r="I54" s="13" t="str">
        <f t="shared" si="2"/>
        <v>RE-26-08|CO-01</v>
      </c>
      <c r="J54" s="11">
        <f t="shared" si="3"/>
        <v>0</v>
      </c>
    </row>
    <row r="55" spans="1:10" ht="16.05" customHeight="1" x14ac:dyDescent="0.3">
      <c r="A55" s="10" t="s">
        <v>230</v>
      </c>
      <c r="B55" s="14">
        <v>46255</v>
      </c>
      <c r="C55" s="15">
        <v>1</v>
      </c>
      <c r="D55" s="10" t="s">
        <v>126</v>
      </c>
      <c r="E55" s="10" t="s">
        <v>217</v>
      </c>
      <c r="F55" s="10"/>
      <c r="G55" s="10"/>
      <c r="H55" s="10" t="s">
        <v>124</v>
      </c>
      <c r="I55" s="13" t="str">
        <f t="shared" si="2"/>
        <v>RE-26-08|CO-05</v>
      </c>
      <c r="J55" s="11">
        <f t="shared" si="3"/>
        <v>0</v>
      </c>
    </row>
    <row r="56" spans="1:10" ht="16.05" customHeight="1" x14ac:dyDescent="0.3">
      <c r="A56" s="10" t="s">
        <v>230</v>
      </c>
      <c r="B56" s="14">
        <v>46255</v>
      </c>
      <c r="C56" s="15">
        <v>2</v>
      </c>
      <c r="D56" s="10" t="s">
        <v>137</v>
      </c>
      <c r="E56" s="10" t="s">
        <v>217</v>
      </c>
      <c r="F56" s="10"/>
      <c r="G56" s="10"/>
      <c r="H56" s="10" t="s">
        <v>124</v>
      </c>
      <c r="I56" s="13" t="str">
        <f t="shared" si="2"/>
        <v>RE-26-08|CO-07</v>
      </c>
      <c r="J56" s="11">
        <f t="shared" si="3"/>
        <v>0</v>
      </c>
    </row>
    <row r="57" spans="1:10" ht="16.05" customHeight="1" x14ac:dyDescent="0.3">
      <c r="A57" s="10" t="s">
        <v>230</v>
      </c>
      <c r="B57" s="14">
        <v>46255</v>
      </c>
      <c r="C57" s="15">
        <v>3</v>
      </c>
      <c r="D57" s="10" t="s">
        <v>147</v>
      </c>
      <c r="E57" s="10" t="s">
        <v>213</v>
      </c>
      <c r="F57" s="10" t="s">
        <v>218</v>
      </c>
      <c r="G57" s="10" t="s">
        <v>219</v>
      </c>
      <c r="H57" s="10" t="s">
        <v>124</v>
      </c>
      <c r="I57" s="13" t="str">
        <f t="shared" si="2"/>
        <v>RE-26-08|CO-09</v>
      </c>
      <c r="J57" s="11">
        <f t="shared" si="3"/>
        <v>1</v>
      </c>
    </row>
    <row r="58" spans="1:10" ht="16.05" customHeight="1" x14ac:dyDescent="0.3">
      <c r="A58" s="10" t="s">
        <v>230</v>
      </c>
      <c r="B58" s="14">
        <v>46255</v>
      </c>
      <c r="C58" s="15">
        <v>3</v>
      </c>
      <c r="D58" s="10" t="s">
        <v>161</v>
      </c>
      <c r="E58" s="10" t="s">
        <v>217</v>
      </c>
      <c r="F58" s="10"/>
      <c r="G58" s="10"/>
      <c r="H58" s="10" t="s">
        <v>124</v>
      </c>
      <c r="I58" s="13" t="str">
        <f t="shared" si="2"/>
        <v>RE-26-08|CO-11</v>
      </c>
      <c r="J58" s="11">
        <f t="shared" si="3"/>
        <v>0</v>
      </c>
    </row>
    <row r="59" spans="1:10" ht="16.05" customHeight="1" x14ac:dyDescent="0.3">
      <c r="A59" s="10" t="s">
        <v>230</v>
      </c>
      <c r="B59" s="14">
        <v>46255</v>
      </c>
      <c r="C59" s="15">
        <v>1</v>
      </c>
      <c r="D59" s="10" t="s">
        <v>173</v>
      </c>
      <c r="E59" s="10" t="s">
        <v>213</v>
      </c>
      <c r="F59" s="10" t="s">
        <v>220</v>
      </c>
      <c r="G59" s="10" t="s">
        <v>219</v>
      </c>
      <c r="H59" s="10" t="s">
        <v>124</v>
      </c>
      <c r="I59" s="13" t="str">
        <f t="shared" si="2"/>
        <v>RE-26-08|CO-13</v>
      </c>
      <c r="J59" s="11">
        <f t="shared" si="3"/>
        <v>1</v>
      </c>
    </row>
    <row r="60" spans="1:10" ht="16.05" customHeight="1" x14ac:dyDescent="0.3">
      <c r="A60" s="10" t="s">
        <v>230</v>
      </c>
      <c r="B60" s="14">
        <v>46255</v>
      </c>
      <c r="C60" s="15">
        <v>3</v>
      </c>
      <c r="D60" s="10" t="s">
        <v>194</v>
      </c>
      <c r="E60" s="10" t="s">
        <v>217</v>
      </c>
      <c r="F60" s="10"/>
      <c r="G60" s="10"/>
      <c r="H60" s="10" t="s">
        <v>124</v>
      </c>
      <c r="I60" s="13" t="str">
        <f t="shared" si="2"/>
        <v>RE-26-08|CO-16</v>
      </c>
      <c r="J60" s="11">
        <f t="shared" si="3"/>
        <v>0</v>
      </c>
    </row>
    <row r="61" spans="1:10" ht="16.05" customHeight="1" x14ac:dyDescent="0.3">
      <c r="A61" s="10" t="s">
        <v>231</v>
      </c>
      <c r="B61" s="14">
        <v>46262</v>
      </c>
      <c r="C61" s="15">
        <v>3</v>
      </c>
      <c r="D61" s="10" t="s">
        <v>89</v>
      </c>
      <c r="E61" s="10" t="s">
        <v>217</v>
      </c>
      <c r="F61" s="10"/>
      <c r="G61" s="10"/>
      <c r="H61" s="10" t="s">
        <v>216</v>
      </c>
      <c r="I61" s="13" t="str">
        <f t="shared" si="2"/>
        <v>RE-26-09|CO-01</v>
      </c>
      <c r="J61" s="11">
        <f t="shared" si="3"/>
        <v>0</v>
      </c>
    </row>
    <row r="62" spans="1:10" ht="16.05" customHeight="1" x14ac:dyDescent="0.3">
      <c r="A62" s="10" t="s">
        <v>231</v>
      </c>
      <c r="B62" s="14">
        <v>46262</v>
      </c>
      <c r="C62" s="15">
        <v>3</v>
      </c>
      <c r="D62" s="10" t="s">
        <v>126</v>
      </c>
      <c r="E62" s="10" t="s">
        <v>217</v>
      </c>
      <c r="F62" s="10"/>
      <c r="G62" s="10"/>
      <c r="H62" s="10" t="s">
        <v>216</v>
      </c>
      <c r="I62" s="13" t="str">
        <f t="shared" si="2"/>
        <v>RE-26-09|CO-05</v>
      </c>
      <c r="J62" s="11">
        <f t="shared" si="3"/>
        <v>0</v>
      </c>
    </row>
    <row r="63" spans="1:10" ht="16.05" customHeight="1" x14ac:dyDescent="0.3">
      <c r="A63" s="10" t="s">
        <v>231</v>
      </c>
      <c r="B63" s="14">
        <v>46262</v>
      </c>
      <c r="C63" s="15">
        <v>3</v>
      </c>
      <c r="D63" s="10" t="s">
        <v>137</v>
      </c>
      <c r="E63" s="10" t="s">
        <v>217</v>
      </c>
      <c r="F63" s="10"/>
      <c r="G63" s="10"/>
      <c r="H63" s="10" t="s">
        <v>216</v>
      </c>
      <c r="I63" s="13" t="str">
        <f t="shared" si="2"/>
        <v>RE-26-09|CO-07</v>
      </c>
      <c r="J63" s="11">
        <f t="shared" si="3"/>
        <v>0</v>
      </c>
    </row>
    <row r="64" spans="1:10" ht="16.05" customHeight="1" x14ac:dyDescent="0.3">
      <c r="A64" s="10" t="s">
        <v>231</v>
      </c>
      <c r="B64" s="14">
        <v>46262</v>
      </c>
      <c r="C64" s="15">
        <v>2</v>
      </c>
      <c r="D64" s="10" t="s">
        <v>147</v>
      </c>
      <c r="E64" s="10" t="s">
        <v>213</v>
      </c>
      <c r="F64" s="10" t="s">
        <v>218</v>
      </c>
      <c r="G64" s="10" t="s">
        <v>219</v>
      </c>
      <c r="H64" s="10" t="s">
        <v>216</v>
      </c>
      <c r="I64" s="13" t="str">
        <f t="shared" si="2"/>
        <v>RE-26-09|CO-09</v>
      </c>
      <c r="J64" s="11">
        <f t="shared" si="3"/>
        <v>1</v>
      </c>
    </row>
    <row r="65" spans="1:10" ht="16.05" customHeight="1" x14ac:dyDescent="0.3">
      <c r="A65" s="10" t="s">
        <v>231</v>
      </c>
      <c r="B65" s="14">
        <v>46262</v>
      </c>
      <c r="C65" s="15">
        <v>3</v>
      </c>
      <c r="D65" s="10" t="s">
        <v>161</v>
      </c>
      <c r="E65" s="10" t="s">
        <v>217</v>
      </c>
      <c r="F65" s="10"/>
      <c r="G65" s="10"/>
      <c r="H65" s="10" t="s">
        <v>216</v>
      </c>
      <c r="I65" s="13" t="str">
        <f t="shared" si="2"/>
        <v>RE-26-09|CO-11</v>
      </c>
      <c r="J65" s="11">
        <f t="shared" si="3"/>
        <v>0</v>
      </c>
    </row>
    <row r="66" spans="1:10" ht="16.05" customHeight="1" x14ac:dyDescent="0.3">
      <c r="A66" s="10" t="s">
        <v>231</v>
      </c>
      <c r="B66" s="14">
        <v>46262</v>
      </c>
      <c r="C66" s="15">
        <v>1</v>
      </c>
      <c r="D66" s="10" t="s">
        <v>173</v>
      </c>
      <c r="E66" s="10" t="s">
        <v>213</v>
      </c>
      <c r="F66" s="10" t="s">
        <v>220</v>
      </c>
      <c r="G66" s="10" t="s">
        <v>219</v>
      </c>
      <c r="H66" s="10" t="s">
        <v>216</v>
      </c>
      <c r="I66" s="13" t="str">
        <f t="shared" si="2"/>
        <v>RE-26-09|CO-13</v>
      </c>
      <c r="J66" s="11">
        <f t="shared" si="3"/>
        <v>1</v>
      </c>
    </row>
    <row r="67" spans="1:10" ht="16.05" customHeight="1" x14ac:dyDescent="0.3">
      <c r="A67" s="10" t="s">
        <v>231</v>
      </c>
      <c r="B67" s="14">
        <v>46262</v>
      </c>
      <c r="C67" s="15">
        <v>3</v>
      </c>
      <c r="D67" s="10" t="s">
        <v>194</v>
      </c>
      <c r="E67" s="10" t="s">
        <v>217</v>
      </c>
      <c r="F67" s="10"/>
      <c r="G67" s="10"/>
      <c r="H67" s="10" t="s">
        <v>216</v>
      </c>
      <c r="I67" s="13" t="str">
        <f t="shared" si="2"/>
        <v>RE-26-09|CO-16</v>
      </c>
      <c r="J67" s="11">
        <f t="shared" si="3"/>
        <v>0</v>
      </c>
    </row>
    <row r="68" spans="1:10" ht="16.05" customHeight="1" x14ac:dyDescent="0.3">
      <c r="A68" s="10" t="s">
        <v>232</v>
      </c>
      <c r="B68" s="14">
        <v>46269</v>
      </c>
      <c r="C68" s="15">
        <v>2</v>
      </c>
      <c r="D68" s="10" t="s">
        <v>89</v>
      </c>
      <c r="E68" s="10" t="s">
        <v>217</v>
      </c>
      <c r="F68" s="10"/>
      <c r="G68" s="10"/>
      <c r="H68" s="10" t="s">
        <v>124</v>
      </c>
      <c r="I68" s="13" t="str">
        <f t="shared" si="2"/>
        <v>RE-26-10|CO-01</v>
      </c>
      <c r="J68" s="11">
        <f t="shared" si="3"/>
        <v>0</v>
      </c>
    </row>
    <row r="69" spans="1:10" ht="16.05" customHeight="1" x14ac:dyDescent="0.3">
      <c r="A69" s="10" t="s">
        <v>232</v>
      </c>
      <c r="B69" s="14">
        <v>46269</v>
      </c>
      <c r="C69" s="15">
        <v>1</v>
      </c>
      <c r="D69" s="10" t="s">
        <v>126</v>
      </c>
      <c r="E69" s="10" t="s">
        <v>217</v>
      </c>
      <c r="F69" s="10"/>
      <c r="G69" s="10"/>
      <c r="H69" s="10" t="s">
        <v>124</v>
      </c>
      <c r="I69" s="13" t="str">
        <f t="shared" ref="I69:I100" si="4">IF(A69="","",A69&amp;"|"&amp;D69)</f>
        <v>RE-26-10|CO-05</v>
      </c>
      <c r="J69" s="11">
        <f t="shared" ref="J69:J100" si="5">IF(A69="","",IF(E69="Não conforme",1,0))</f>
        <v>0</v>
      </c>
    </row>
    <row r="70" spans="1:10" ht="16.05" customHeight="1" x14ac:dyDescent="0.3">
      <c r="A70" s="10" t="s">
        <v>232</v>
      </c>
      <c r="B70" s="14">
        <v>46269</v>
      </c>
      <c r="C70" s="15">
        <v>3</v>
      </c>
      <c r="D70" s="10" t="s">
        <v>137</v>
      </c>
      <c r="E70" s="10" t="s">
        <v>217</v>
      </c>
      <c r="F70" s="10"/>
      <c r="G70" s="10"/>
      <c r="H70" s="10" t="s">
        <v>124</v>
      </c>
      <c r="I70" s="13" t="str">
        <f t="shared" si="4"/>
        <v>RE-26-10|CO-07</v>
      </c>
      <c r="J70" s="11">
        <f t="shared" si="5"/>
        <v>0</v>
      </c>
    </row>
    <row r="71" spans="1:10" ht="16.05" customHeight="1" x14ac:dyDescent="0.3">
      <c r="A71" s="10" t="s">
        <v>232</v>
      </c>
      <c r="B71" s="14">
        <v>46269</v>
      </c>
      <c r="C71" s="15">
        <v>2</v>
      </c>
      <c r="D71" s="10" t="s">
        <v>147</v>
      </c>
      <c r="E71" s="10" t="s">
        <v>213</v>
      </c>
      <c r="F71" s="10" t="s">
        <v>218</v>
      </c>
      <c r="G71" s="10" t="s">
        <v>219</v>
      </c>
      <c r="H71" s="10" t="s">
        <v>124</v>
      </c>
      <c r="I71" s="13" t="str">
        <f t="shared" si="4"/>
        <v>RE-26-10|CO-09</v>
      </c>
      <c r="J71" s="11">
        <f t="shared" si="5"/>
        <v>1</v>
      </c>
    </row>
    <row r="72" spans="1:10" ht="16.05" customHeight="1" x14ac:dyDescent="0.3">
      <c r="A72" s="10" t="s">
        <v>232</v>
      </c>
      <c r="B72" s="14">
        <v>46269</v>
      </c>
      <c r="C72" s="15">
        <v>1</v>
      </c>
      <c r="D72" s="10" t="s">
        <v>161</v>
      </c>
      <c r="E72" s="10" t="s">
        <v>217</v>
      </c>
      <c r="F72" s="10"/>
      <c r="G72" s="10"/>
      <c r="H72" s="10" t="s">
        <v>124</v>
      </c>
      <c r="I72" s="13" t="str">
        <f t="shared" si="4"/>
        <v>RE-26-10|CO-11</v>
      </c>
      <c r="J72" s="11">
        <f t="shared" si="5"/>
        <v>0</v>
      </c>
    </row>
    <row r="73" spans="1:10" ht="16.05" customHeight="1" x14ac:dyDescent="0.3">
      <c r="A73" s="10" t="s">
        <v>232</v>
      </c>
      <c r="B73" s="14">
        <v>46269</v>
      </c>
      <c r="C73" s="15">
        <v>2</v>
      </c>
      <c r="D73" s="10" t="s">
        <v>173</v>
      </c>
      <c r="E73" s="10" t="s">
        <v>213</v>
      </c>
      <c r="F73" s="10" t="s">
        <v>220</v>
      </c>
      <c r="G73" s="10" t="s">
        <v>219</v>
      </c>
      <c r="H73" s="10" t="s">
        <v>124</v>
      </c>
      <c r="I73" s="13" t="str">
        <f t="shared" si="4"/>
        <v>RE-26-10|CO-13</v>
      </c>
      <c r="J73" s="11">
        <f t="shared" si="5"/>
        <v>1</v>
      </c>
    </row>
    <row r="74" spans="1:10" ht="16.05" customHeight="1" x14ac:dyDescent="0.3">
      <c r="A74" s="10" t="s">
        <v>232</v>
      </c>
      <c r="B74" s="14">
        <v>46269</v>
      </c>
      <c r="C74" s="15">
        <v>3</v>
      </c>
      <c r="D74" s="10" t="s">
        <v>194</v>
      </c>
      <c r="E74" s="10" t="s">
        <v>217</v>
      </c>
      <c r="F74" s="10"/>
      <c r="G74" s="10"/>
      <c r="H74" s="10" t="s">
        <v>124</v>
      </c>
      <c r="I74" s="13" t="str">
        <f t="shared" si="4"/>
        <v>RE-26-10|CO-16</v>
      </c>
      <c r="J74" s="11">
        <f t="shared" si="5"/>
        <v>0</v>
      </c>
    </row>
    <row r="75" spans="1:10" ht="16.05" customHeight="1" x14ac:dyDescent="0.3">
      <c r="A75" s="10" t="s">
        <v>233</v>
      </c>
      <c r="B75" s="14">
        <v>46276</v>
      </c>
      <c r="C75" s="15">
        <v>1</v>
      </c>
      <c r="D75" s="10" t="s">
        <v>89</v>
      </c>
      <c r="E75" s="10" t="s">
        <v>213</v>
      </c>
      <c r="F75" s="10" t="s">
        <v>214</v>
      </c>
      <c r="G75" s="10" t="s">
        <v>215</v>
      </c>
      <c r="H75" s="10" t="s">
        <v>216</v>
      </c>
      <c r="I75" s="13" t="str">
        <f t="shared" si="4"/>
        <v>RE-26-11|CO-01</v>
      </c>
      <c r="J75" s="11">
        <f t="shared" si="5"/>
        <v>1</v>
      </c>
    </row>
    <row r="76" spans="1:10" ht="16.05" customHeight="1" x14ac:dyDescent="0.3">
      <c r="A76" s="10" t="s">
        <v>233</v>
      </c>
      <c r="B76" s="14">
        <v>46276</v>
      </c>
      <c r="C76" s="15">
        <v>2</v>
      </c>
      <c r="D76" s="10" t="s">
        <v>126</v>
      </c>
      <c r="E76" s="10" t="s">
        <v>217</v>
      </c>
      <c r="F76" s="10"/>
      <c r="G76" s="10"/>
      <c r="H76" s="10" t="s">
        <v>216</v>
      </c>
      <c r="I76" s="13" t="str">
        <f t="shared" si="4"/>
        <v>RE-26-11|CO-05</v>
      </c>
      <c r="J76" s="11">
        <f t="shared" si="5"/>
        <v>0</v>
      </c>
    </row>
    <row r="77" spans="1:10" ht="16.05" customHeight="1" x14ac:dyDescent="0.3">
      <c r="A77" s="10" t="s">
        <v>233</v>
      </c>
      <c r="B77" s="14">
        <v>46276</v>
      </c>
      <c r="C77" s="15">
        <v>3</v>
      </c>
      <c r="D77" s="10" t="s">
        <v>137</v>
      </c>
      <c r="E77" s="10" t="s">
        <v>217</v>
      </c>
      <c r="F77" s="10"/>
      <c r="G77" s="10"/>
      <c r="H77" s="10" t="s">
        <v>216</v>
      </c>
      <c r="I77" s="13" t="str">
        <f t="shared" si="4"/>
        <v>RE-26-11|CO-07</v>
      </c>
      <c r="J77" s="11">
        <f t="shared" si="5"/>
        <v>0</v>
      </c>
    </row>
    <row r="78" spans="1:10" ht="16.05" customHeight="1" x14ac:dyDescent="0.3">
      <c r="A78" s="10" t="s">
        <v>233</v>
      </c>
      <c r="B78" s="14">
        <v>46276</v>
      </c>
      <c r="C78" s="15">
        <v>2</v>
      </c>
      <c r="D78" s="10" t="s">
        <v>147</v>
      </c>
      <c r="E78" s="10" t="s">
        <v>213</v>
      </c>
      <c r="F78" s="10" t="s">
        <v>218</v>
      </c>
      <c r="G78" s="10" t="s">
        <v>219</v>
      </c>
      <c r="H78" s="10" t="s">
        <v>216</v>
      </c>
      <c r="I78" s="13" t="str">
        <f t="shared" si="4"/>
        <v>RE-26-11|CO-09</v>
      </c>
      <c r="J78" s="11">
        <f t="shared" si="5"/>
        <v>1</v>
      </c>
    </row>
    <row r="79" spans="1:10" ht="16.05" customHeight="1" x14ac:dyDescent="0.3">
      <c r="A79" s="10" t="s">
        <v>233</v>
      </c>
      <c r="B79" s="14">
        <v>46276</v>
      </c>
      <c r="C79" s="15">
        <v>1</v>
      </c>
      <c r="D79" s="10" t="s">
        <v>161</v>
      </c>
      <c r="E79" s="10" t="s">
        <v>217</v>
      </c>
      <c r="F79" s="10"/>
      <c r="G79" s="10"/>
      <c r="H79" s="10" t="s">
        <v>216</v>
      </c>
      <c r="I79" s="13" t="str">
        <f t="shared" si="4"/>
        <v>RE-26-11|CO-11</v>
      </c>
      <c r="J79" s="11">
        <f t="shared" si="5"/>
        <v>0</v>
      </c>
    </row>
    <row r="80" spans="1:10" ht="16.05" customHeight="1" x14ac:dyDescent="0.3">
      <c r="A80" s="10" t="s">
        <v>233</v>
      </c>
      <c r="B80" s="14">
        <v>46276</v>
      </c>
      <c r="C80" s="15">
        <v>3</v>
      </c>
      <c r="D80" s="10" t="s">
        <v>173</v>
      </c>
      <c r="E80" s="10" t="s">
        <v>213</v>
      </c>
      <c r="F80" s="10" t="s">
        <v>220</v>
      </c>
      <c r="G80" s="10" t="s">
        <v>219</v>
      </c>
      <c r="H80" s="10" t="s">
        <v>216</v>
      </c>
      <c r="I80" s="13" t="str">
        <f t="shared" si="4"/>
        <v>RE-26-11|CO-13</v>
      </c>
      <c r="J80" s="11">
        <f t="shared" si="5"/>
        <v>1</v>
      </c>
    </row>
    <row r="81" spans="1:10" ht="16.05" customHeight="1" x14ac:dyDescent="0.3">
      <c r="A81" s="10" t="s">
        <v>233</v>
      </c>
      <c r="B81" s="14">
        <v>46276</v>
      </c>
      <c r="C81" s="15">
        <v>2</v>
      </c>
      <c r="D81" s="10" t="s">
        <v>194</v>
      </c>
      <c r="E81" s="10" t="s">
        <v>213</v>
      </c>
      <c r="F81" s="10" t="s">
        <v>225</v>
      </c>
      <c r="G81" s="10" t="s">
        <v>215</v>
      </c>
      <c r="H81" s="10" t="s">
        <v>216</v>
      </c>
      <c r="I81" s="13" t="str">
        <f t="shared" si="4"/>
        <v>RE-26-11|CO-16</v>
      </c>
      <c r="J81" s="11">
        <f t="shared" si="5"/>
        <v>1</v>
      </c>
    </row>
    <row r="82" spans="1:10" ht="16.05" customHeight="1" x14ac:dyDescent="0.3">
      <c r="A82" s="10" t="s">
        <v>234</v>
      </c>
      <c r="B82" s="14">
        <v>46283</v>
      </c>
      <c r="C82" s="15">
        <v>2</v>
      </c>
      <c r="D82" s="10" t="s">
        <v>89</v>
      </c>
      <c r="E82" s="10" t="s">
        <v>213</v>
      </c>
      <c r="F82" s="10" t="s">
        <v>214</v>
      </c>
      <c r="G82" s="10" t="s">
        <v>215</v>
      </c>
      <c r="H82" s="10" t="s">
        <v>124</v>
      </c>
      <c r="I82" s="13" t="str">
        <f t="shared" si="4"/>
        <v>RE-26-12|CO-01</v>
      </c>
      <c r="J82" s="11">
        <f t="shared" si="5"/>
        <v>1</v>
      </c>
    </row>
    <row r="83" spans="1:10" ht="16.05" customHeight="1" x14ac:dyDescent="0.3">
      <c r="A83" s="10" t="s">
        <v>234</v>
      </c>
      <c r="B83" s="14">
        <v>46283</v>
      </c>
      <c r="C83" s="15">
        <v>3</v>
      </c>
      <c r="D83" s="10" t="s">
        <v>126</v>
      </c>
      <c r="E83" s="10" t="s">
        <v>217</v>
      </c>
      <c r="F83" s="10"/>
      <c r="G83" s="10"/>
      <c r="H83" s="10" t="s">
        <v>124</v>
      </c>
      <c r="I83" s="13" t="str">
        <f t="shared" si="4"/>
        <v>RE-26-12|CO-05</v>
      </c>
      <c r="J83" s="11">
        <f t="shared" si="5"/>
        <v>0</v>
      </c>
    </row>
    <row r="84" spans="1:10" ht="16.05" customHeight="1" x14ac:dyDescent="0.3">
      <c r="A84" s="10" t="s">
        <v>234</v>
      </c>
      <c r="B84" s="14">
        <v>46283</v>
      </c>
      <c r="C84" s="15">
        <v>1</v>
      </c>
      <c r="D84" s="10" t="s">
        <v>137</v>
      </c>
      <c r="E84" s="10" t="s">
        <v>217</v>
      </c>
      <c r="F84" s="10"/>
      <c r="G84" s="10"/>
      <c r="H84" s="10" t="s">
        <v>124</v>
      </c>
      <c r="I84" s="13" t="str">
        <f t="shared" si="4"/>
        <v>RE-26-12|CO-07</v>
      </c>
      <c r="J84" s="11">
        <f t="shared" si="5"/>
        <v>0</v>
      </c>
    </row>
    <row r="85" spans="1:10" ht="16.05" customHeight="1" x14ac:dyDescent="0.3">
      <c r="A85" s="10" t="s">
        <v>234</v>
      </c>
      <c r="B85" s="14">
        <v>46283</v>
      </c>
      <c r="C85" s="15">
        <v>1</v>
      </c>
      <c r="D85" s="10" t="s">
        <v>147</v>
      </c>
      <c r="E85" s="10" t="s">
        <v>213</v>
      </c>
      <c r="F85" s="10" t="s">
        <v>218</v>
      </c>
      <c r="G85" s="10" t="s">
        <v>219</v>
      </c>
      <c r="H85" s="10" t="s">
        <v>124</v>
      </c>
      <c r="I85" s="13" t="str">
        <f t="shared" si="4"/>
        <v>RE-26-12|CO-09</v>
      </c>
      <c r="J85" s="11">
        <f t="shared" si="5"/>
        <v>1</v>
      </c>
    </row>
    <row r="86" spans="1:10" ht="16.05" customHeight="1" x14ac:dyDescent="0.3">
      <c r="A86" s="10" t="s">
        <v>234</v>
      </c>
      <c r="B86" s="14">
        <v>46283</v>
      </c>
      <c r="C86" s="15">
        <v>3</v>
      </c>
      <c r="D86" s="10" t="s">
        <v>161</v>
      </c>
      <c r="E86" s="10" t="s">
        <v>217</v>
      </c>
      <c r="F86" s="10"/>
      <c r="G86" s="10"/>
      <c r="H86" s="10" t="s">
        <v>124</v>
      </c>
      <c r="I86" s="13" t="str">
        <f t="shared" si="4"/>
        <v>RE-26-12|CO-11</v>
      </c>
      <c r="J86" s="11">
        <f t="shared" si="5"/>
        <v>0</v>
      </c>
    </row>
    <row r="87" spans="1:10" ht="16.05" customHeight="1" x14ac:dyDescent="0.3">
      <c r="A87" s="10" t="s">
        <v>234</v>
      </c>
      <c r="B87" s="14">
        <v>46283</v>
      </c>
      <c r="C87" s="15">
        <v>2</v>
      </c>
      <c r="D87" s="10" t="s">
        <v>173</v>
      </c>
      <c r="E87" s="10" t="s">
        <v>217</v>
      </c>
      <c r="F87" s="10"/>
      <c r="G87" s="10"/>
      <c r="H87" s="10" t="s">
        <v>124</v>
      </c>
      <c r="I87" s="13" t="str">
        <f t="shared" si="4"/>
        <v>RE-26-12|CO-13</v>
      </c>
      <c r="J87" s="11">
        <f t="shared" si="5"/>
        <v>0</v>
      </c>
    </row>
    <row r="88" spans="1:10" ht="16.05" customHeight="1" x14ac:dyDescent="0.3">
      <c r="A88" s="10" t="s">
        <v>234</v>
      </c>
      <c r="B88" s="14">
        <v>46283</v>
      </c>
      <c r="C88" s="15">
        <v>2</v>
      </c>
      <c r="D88" s="10" t="s">
        <v>194</v>
      </c>
      <c r="E88" s="10" t="s">
        <v>217</v>
      </c>
      <c r="F88" s="10"/>
      <c r="G88" s="10"/>
      <c r="H88" s="10" t="s">
        <v>124</v>
      </c>
      <c r="I88" s="13" t="str">
        <f t="shared" si="4"/>
        <v>RE-26-12|CO-16</v>
      </c>
      <c r="J88" s="11">
        <f t="shared" si="5"/>
        <v>0</v>
      </c>
    </row>
    <row r="89" spans="1:10" ht="16.05" customHeight="1" x14ac:dyDescent="0.3">
      <c r="A89" s="10" t="s">
        <v>235</v>
      </c>
      <c r="B89" s="14">
        <v>46290</v>
      </c>
      <c r="C89" s="15">
        <v>2</v>
      </c>
      <c r="D89" s="10" t="s">
        <v>89</v>
      </c>
      <c r="E89" s="10" t="s">
        <v>213</v>
      </c>
      <c r="F89" s="10" t="s">
        <v>214</v>
      </c>
      <c r="G89" s="10" t="s">
        <v>215</v>
      </c>
      <c r="H89" s="10" t="s">
        <v>216</v>
      </c>
      <c r="I89" s="13" t="str">
        <f t="shared" si="4"/>
        <v>RE-26-13|CO-01</v>
      </c>
      <c r="J89" s="11">
        <f t="shared" si="5"/>
        <v>1</v>
      </c>
    </row>
    <row r="90" spans="1:10" ht="16.05" customHeight="1" x14ac:dyDescent="0.3">
      <c r="A90" s="10" t="s">
        <v>235</v>
      </c>
      <c r="B90" s="14">
        <v>46290</v>
      </c>
      <c r="C90" s="15">
        <v>2</v>
      </c>
      <c r="D90" s="10" t="s">
        <v>126</v>
      </c>
      <c r="E90" s="10" t="s">
        <v>213</v>
      </c>
      <c r="F90" s="10" t="s">
        <v>229</v>
      </c>
      <c r="G90" s="10" t="s">
        <v>215</v>
      </c>
      <c r="H90" s="10" t="s">
        <v>216</v>
      </c>
      <c r="I90" s="13" t="str">
        <f t="shared" si="4"/>
        <v>RE-26-13|CO-05</v>
      </c>
      <c r="J90" s="11">
        <f t="shared" si="5"/>
        <v>1</v>
      </c>
    </row>
    <row r="91" spans="1:10" ht="16.05" customHeight="1" x14ac:dyDescent="0.3">
      <c r="A91" s="10" t="s">
        <v>235</v>
      </c>
      <c r="B91" s="14">
        <v>46290</v>
      </c>
      <c r="C91" s="15">
        <v>3</v>
      </c>
      <c r="D91" s="10" t="s">
        <v>137</v>
      </c>
      <c r="E91" s="10" t="s">
        <v>217</v>
      </c>
      <c r="F91" s="10"/>
      <c r="G91" s="10"/>
      <c r="H91" s="10" t="s">
        <v>216</v>
      </c>
      <c r="I91" s="13" t="str">
        <f t="shared" si="4"/>
        <v>RE-26-13|CO-07</v>
      </c>
      <c r="J91" s="11">
        <f t="shared" si="5"/>
        <v>0</v>
      </c>
    </row>
    <row r="92" spans="1:10" ht="16.05" customHeight="1" x14ac:dyDescent="0.3">
      <c r="A92" s="10" t="s">
        <v>235</v>
      </c>
      <c r="B92" s="14">
        <v>46290</v>
      </c>
      <c r="C92" s="15">
        <v>3</v>
      </c>
      <c r="D92" s="10" t="s">
        <v>147</v>
      </c>
      <c r="E92" s="10" t="s">
        <v>213</v>
      </c>
      <c r="F92" s="10" t="s">
        <v>218</v>
      </c>
      <c r="G92" s="10" t="s">
        <v>219</v>
      </c>
      <c r="H92" s="10" t="s">
        <v>216</v>
      </c>
      <c r="I92" s="13" t="str">
        <f t="shared" si="4"/>
        <v>RE-26-13|CO-09</v>
      </c>
      <c r="J92" s="11">
        <f t="shared" si="5"/>
        <v>1</v>
      </c>
    </row>
    <row r="93" spans="1:10" ht="16.05" customHeight="1" x14ac:dyDescent="0.3">
      <c r="A93" s="10" t="s">
        <v>235</v>
      </c>
      <c r="B93" s="14">
        <v>46290</v>
      </c>
      <c r="C93" s="15">
        <v>3</v>
      </c>
      <c r="D93" s="10" t="s">
        <v>161</v>
      </c>
      <c r="E93" s="10" t="s">
        <v>217</v>
      </c>
      <c r="F93" s="10"/>
      <c r="G93" s="10"/>
      <c r="H93" s="10" t="s">
        <v>216</v>
      </c>
      <c r="I93" s="13" t="str">
        <f t="shared" si="4"/>
        <v>RE-26-13|CO-11</v>
      </c>
      <c r="J93" s="11">
        <f t="shared" si="5"/>
        <v>0</v>
      </c>
    </row>
    <row r="94" spans="1:10" ht="16.05" customHeight="1" x14ac:dyDescent="0.3">
      <c r="A94" s="10" t="s">
        <v>235</v>
      </c>
      <c r="B94" s="14">
        <v>46290</v>
      </c>
      <c r="C94" s="15">
        <v>2</v>
      </c>
      <c r="D94" s="10" t="s">
        <v>173</v>
      </c>
      <c r="E94" s="10" t="s">
        <v>213</v>
      </c>
      <c r="F94" s="10" t="s">
        <v>220</v>
      </c>
      <c r="G94" s="10" t="s">
        <v>219</v>
      </c>
      <c r="H94" s="10" t="s">
        <v>216</v>
      </c>
      <c r="I94" s="13" t="str">
        <f t="shared" si="4"/>
        <v>RE-26-13|CO-13</v>
      </c>
      <c r="J94" s="11">
        <f t="shared" si="5"/>
        <v>1</v>
      </c>
    </row>
    <row r="95" spans="1:10" ht="16.05" customHeight="1" x14ac:dyDescent="0.3">
      <c r="A95" s="10" t="s">
        <v>235</v>
      </c>
      <c r="B95" s="14">
        <v>46290</v>
      </c>
      <c r="C95" s="15">
        <v>1</v>
      </c>
      <c r="D95" s="10" t="s">
        <v>194</v>
      </c>
      <c r="E95" s="10" t="s">
        <v>217</v>
      </c>
      <c r="F95" s="10"/>
      <c r="G95" s="10"/>
      <c r="H95" s="10" t="s">
        <v>216</v>
      </c>
      <c r="I95" s="13" t="str">
        <f t="shared" si="4"/>
        <v>RE-26-13|CO-16</v>
      </c>
      <c r="J95" s="11">
        <f t="shared" si="5"/>
        <v>0</v>
      </c>
    </row>
    <row r="96" spans="1:10" ht="16.05" customHeight="1" x14ac:dyDescent="0.3">
      <c r="A96" s="10" t="s">
        <v>236</v>
      </c>
      <c r="B96" s="14">
        <v>46297</v>
      </c>
      <c r="C96" s="15">
        <v>3</v>
      </c>
      <c r="D96" s="10" t="s">
        <v>89</v>
      </c>
      <c r="E96" s="10" t="s">
        <v>217</v>
      </c>
      <c r="F96" s="10"/>
      <c r="G96" s="10"/>
      <c r="H96" s="10" t="s">
        <v>124</v>
      </c>
      <c r="I96" s="13" t="str">
        <f t="shared" si="4"/>
        <v>RE-26-14|CO-01</v>
      </c>
      <c r="J96" s="11">
        <f t="shared" si="5"/>
        <v>0</v>
      </c>
    </row>
    <row r="97" spans="1:10" ht="16.05" customHeight="1" x14ac:dyDescent="0.3">
      <c r="A97" s="10" t="s">
        <v>236</v>
      </c>
      <c r="B97" s="14">
        <v>46297</v>
      </c>
      <c r="C97" s="15">
        <v>2</v>
      </c>
      <c r="D97" s="10" t="s">
        <v>126</v>
      </c>
      <c r="E97" s="10" t="s">
        <v>217</v>
      </c>
      <c r="F97" s="10"/>
      <c r="G97" s="10"/>
      <c r="H97" s="10" t="s">
        <v>124</v>
      </c>
      <c r="I97" s="13" t="str">
        <f t="shared" si="4"/>
        <v>RE-26-14|CO-05</v>
      </c>
      <c r="J97" s="11">
        <f t="shared" si="5"/>
        <v>0</v>
      </c>
    </row>
    <row r="98" spans="1:10" ht="16.05" customHeight="1" x14ac:dyDescent="0.3">
      <c r="A98" s="10" t="s">
        <v>236</v>
      </c>
      <c r="B98" s="14">
        <v>46297</v>
      </c>
      <c r="C98" s="15">
        <v>2</v>
      </c>
      <c r="D98" s="10" t="s">
        <v>137</v>
      </c>
      <c r="E98" s="10" t="s">
        <v>213</v>
      </c>
      <c r="F98" s="10" t="s">
        <v>227</v>
      </c>
      <c r="G98" s="10" t="s">
        <v>215</v>
      </c>
      <c r="H98" s="10" t="s">
        <v>124</v>
      </c>
      <c r="I98" s="13" t="str">
        <f t="shared" si="4"/>
        <v>RE-26-14|CO-07</v>
      </c>
      <c r="J98" s="11">
        <f t="shared" si="5"/>
        <v>1</v>
      </c>
    </row>
    <row r="99" spans="1:10" ht="16.05" customHeight="1" x14ac:dyDescent="0.3">
      <c r="A99" s="10" t="s">
        <v>236</v>
      </c>
      <c r="B99" s="14">
        <v>46297</v>
      </c>
      <c r="C99" s="15">
        <v>3</v>
      </c>
      <c r="D99" s="10" t="s">
        <v>147</v>
      </c>
      <c r="E99" s="10" t="s">
        <v>213</v>
      </c>
      <c r="F99" s="10" t="s">
        <v>218</v>
      </c>
      <c r="G99" s="10" t="s">
        <v>219</v>
      </c>
      <c r="H99" s="10" t="s">
        <v>124</v>
      </c>
      <c r="I99" s="13" t="str">
        <f t="shared" si="4"/>
        <v>RE-26-14|CO-09</v>
      </c>
      <c r="J99" s="11">
        <f t="shared" si="5"/>
        <v>1</v>
      </c>
    </row>
    <row r="100" spans="1:10" ht="16.05" customHeight="1" x14ac:dyDescent="0.3">
      <c r="A100" s="10" t="s">
        <v>236</v>
      </c>
      <c r="B100" s="14">
        <v>46297</v>
      </c>
      <c r="C100" s="15">
        <v>1</v>
      </c>
      <c r="D100" s="10" t="s">
        <v>161</v>
      </c>
      <c r="E100" s="10" t="s">
        <v>217</v>
      </c>
      <c r="F100" s="10"/>
      <c r="G100" s="10"/>
      <c r="H100" s="10" t="s">
        <v>124</v>
      </c>
      <c r="I100" s="13" t="str">
        <f t="shared" si="4"/>
        <v>RE-26-14|CO-11</v>
      </c>
      <c r="J100" s="11">
        <f t="shared" si="5"/>
        <v>0</v>
      </c>
    </row>
    <row r="101" spans="1:10" ht="16.05" customHeight="1" x14ac:dyDescent="0.3">
      <c r="A101" s="10" t="s">
        <v>236</v>
      </c>
      <c r="B101" s="14">
        <v>46297</v>
      </c>
      <c r="C101" s="15">
        <v>2</v>
      </c>
      <c r="D101" s="10" t="s">
        <v>173</v>
      </c>
      <c r="E101" s="10" t="s">
        <v>213</v>
      </c>
      <c r="F101" s="10" t="s">
        <v>220</v>
      </c>
      <c r="G101" s="10" t="s">
        <v>219</v>
      </c>
      <c r="H101" s="10" t="s">
        <v>124</v>
      </c>
      <c r="I101" s="13" t="str">
        <f t="shared" ref="I101:I132" si="6">IF(A101="","",A101&amp;"|"&amp;D101)</f>
        <v>RE-26-14|CO-13</v>
      </c>
      <c r="J101" s="11">
        <f t="shared" ref="J101:J132" si="7">IF(A101="","",IF(E101="Não conforme",1,0))</f>
        <v>1</v>
      </c>
    </row>
    <row r="102" spans="1:10" ht="16.05" customHeight="1" x14ac:dyDescent="0.3">
      <c r="A102" s="10" t="s">
        <v>236</v>
      </c>
      <c r="B102" s="14">
        <v>46297</v>
      </c>
      <c r="C102" s="15">
        <v>1</v>
      </c>
      <c r="D102" s="10" t="s">
        <v>194</v>
      </c>
      <c r="E102" s="10" t="s">
        <v>217</v>
      </c>
      <c r="F102" s="10"/>
      <c r="G102" s="10"/>
      <c r="H102" s="10" t="s">
        <v>124</v>
      </c>
      <c r="I102" s="13" t="str">
        <f t="shared" si="6"/>
        <v>RE-26-14|CO-16</v>
      </c>
      <c r="J102" s="11">
        <f t="shared" si="7"/>
        <v>0</v>
      </c>
    </row>
    <row r="103" spans="1:10" ht="16.05" customHeight="1" x14ac:dyDescent="0.3">
      <c r="A103" s="10" t="s">
        <v>237</v>
      </c>
      <c r="B103" s="14">
        <v>46304</v>
      </c>
      <c r="C103" s="15">
        <v>1</v>
      </c>
      <c r="D103" s="10" t="s">
        <v>89</v>
      </c>
      <c r="E103" s="10" t="s">
        <v>213</v>
      </c>
      <c r="F103" s="10" t="s">
        <v>214</v>
      </c>
      <c r="G103" s="10" t="s">
        <v>215</v>
      </c>
      <c r="H103" s="10" t="s">
        <v>216</v>
      </c>
      <c r="I103" s="13" t="str">
        <f t="shared" si="6"/>
        <v>RE-26-15|CO-01</v>
      </c>
      <c r="J103" s="11">
        <f t="shared" si="7"/>
        <v>1</v>
      </c>
    </row>
    <row r="104" spans="1:10" ht="16.05" customHeight="1" x14ac:dyDescent="0.3">
      <c r="A104" s="10" t="s">
        <v>237</v>
      </c>
      <c r="B104" s="14">
        <v>46304</v>
      </c>
      <c r="C104" s="15">
        <v>1</v>
      </c>
      <c r="D104" s="10" t="s">
        <v>126</v>
      </c>
      <c r="E104" s="10" t="s">
        <v>217</v>
      </c>
      <c r="F104" s="10"/>
      <c r="G104" s="10"/>
      <c r="H104" s="10" t="s">
        <v>216</v>
      </c>
      <c r="I104" s="13" t="str">
        <f t="shared" si="6"/>
        <v>RE-26-15|CO-05</v>
      </c>
      <c r="J104" s="11">
        <f t="shared" si="7"/>
        <v>0</v>
      </c>
    </row>
    <row r="105" spans="1:10" ht="16.05" customHeight="1" x14ac:dyDescent="0.3">
      <c r="A105" s="10" t="s">
        <v>237</v>
      </c>
      <c r="B105" s="14">
        <v>46304</v>
      </c>
      <c r="C105" s="15">
        <v>3</v>
      </c>
      <c r="D105" s="10" t="s">
        <v>137</v>
      </c>
      <c r="E105" s="10" t="s">
        <v>217</v>
      </c>
      <c r="F105" s="10"/>
      <c r="G105" s="10"/>
      <c r="H105" s="10" t="s">
        <v>216</v>
      </c>
      <c r="I105" s="13" t="str">
        <f t="shared" si="6"/>
        <v>RE-26-15|CO-07</v>
      </c>
      <c r="J105" s="11">
        <f t="shared" si="7"/>
        <v>0</v>
      </c>
    </row>
    <row r="106" spans="1:10" ht="16.05" customHeight="1" x14ac:dyDescent="0.3">
      <c r="A106" s="10" t="s">
        <v>237</v>
      </c>
      <c r="B106" s="14">
        <v>46304</v>
      </c>
      <c r="C106" s="15">
        <v>1</v>
      </c>
      <c r="D106" s="10" t="s">
        <v>147</v>
      </c>
      <c r="E106" s="10" t="s">
        <v>217</v>
      </c>
      <c r="F106" s="10"/>
      <c r="G106" s="10"/>
      <c r="H106" s="10" t="s">
        <v>216</v>
      </c>
      <c r="I106" s="13" t="str">
        <f t="shared" si="6"/>
        <v>RE-26-15|CO-09</v>
      </c>
      <c r="J106" s="11">
        <f t="shared" si="7"/>
        <v>0</v>
      </c>
    </row>
    <row r="107" spans="1:10" ht="16.05" customHeight="1" x14ac:dyDescent="0.3">
      <c r="A107" s="10" t="s">
        <v>237</v>
      </c>
      <c r="B107" s="14">
        <v>46304</v>
      </c>
      <c r="C107" s="15">
        <v>2</v>
      </c>
      <c r="D107" s="10" t="s">
        <v>161</v>
      </c>
      <c r="E107" s="10" t="s">
        <v>217</v>
      </c>
      <c r="F107" s="10"/>
      <c r="G107" s="10"/>
      <c r="H107" s="10" t="s">
        <v>216</v>
      </c>
      <c r="I107" s="13" t="str">
        <f t="shared" si="6"/>
        <v>RE-26-15|CO-11</v>
      </c>
      <c r="J107" s="11">
        <f t="shared" si="7"/>
        <v>0</v>
      </c>
    </row>
    <row r="108" spans="1:10" ht="16.05" customHeight="1" x14ac:dyDescent="0.3">
      <c r="A108" s="10" t="s">
        <v>237</v>
      </c>
      <c r="B108" s="14">
        <v>46304</v>
      </c>
      <c r="C108" s="15">
        <v>3</v>
      </c>
      <c r="D108" s="10" t="s">
        <v>173</v>
      </c>
      <c r="E108" s="10" t="s">
        <v>213</v>
      </c>
      <c r="F108" s="10" t="s">
        <v>220</v>
      </c>
      <c r="G108" s="10" t="s">
        <v>219</v>
      </c>
      <c r="H108" s="10" t="s">
        <v>216</v>
      </c>
      <c r="I108" s="13" t="str">
        <f t="shared" si="6"/>
        <v>RE-26-15|CO-13</v>
      </c>
      <c r="J108" s="11">
        <f t="shared" si="7"/>
        <v>1</v>
      </c>
    </row>
    <row r="109" spans="1:10" ht="16.05" customHeight="1" x14ac:dyDescent="0.3">
      <c r="A109" s="10" t="s">
        <v>237</v>
      </c>
      <c r="B109" s="14">
        <v>46304</v>
      </c>
      <c r="C109" s="15">
        <v>2</v>
      </c>
      <c r="D109" s="10" t="s">
        <v>194</v>
      </c>
      <c r="E109" s="10" t="s">
        <v>217</v>
      </c>
      <c r="F109" s="10"/>
      <c r="G109" s="10"/>
      <c r="H109" s="10" t="s">
        <v>216</v>
      </c>
      <c r="I109" s="13" t="str">
        <f t="shared" si="6"/>
        <v>RE-26-15|CO-16</v>
      </c>
      <c r="J109" s="11">
        <f t="shared" si="7"/>
        <v>0</v>
      </c>
    </row>
    <row r="110" spans="1:10" ht="16.05" customHeight="1" x14ac:dyDescent="0.3">
      <c r="A110" s="10" t="s">
        <v>238</v>
      </c>
      <c r="B110" s="14">
        <v>46311</v>
      </c>
      <c r="C110" s="15">
        <v>2</v>
      </c>
      <c r="D110" s="10" t="s">
        <v>89</v>
      </c>
      <c r="E110" s="10" t="s">
        <v>217</v>
      </c>
      <c r="F110" s="10"/>
      <c r="G110" s="10"/>
      <c r="H110" s="10" t="s">
        <v>124</v>
      </c>
      <c r="I110" s="13" t="str">
        <f t="shared" si="6"/>
        <v>RE-26-16|CO-01</v>
      </c>
      <c r="J110" s="11">
        <f t="shared" si="7"/>
        <v>0</v>
      </c>
    </row>
    <row r="111" spans="1:10" ht="16.05" customHeight="1" x14ac:dyDescent="0.3">
      <c r="A111" s="10" t="s">
        <v>238</v>
      </c>
      <c r="B111" s="14">
        <v>46311</v>
      </c>
      <c r="C111" s="15">
        <v>3</v>
      </c>
      <c r="D111" s="10" t="s">
        <v>126</v>
      </c>
      <c r="E111" s="10" t="s">
        <v>217</v>
      </c>
      <c r="F111" s="10"/>
      <c r="G111" s="10"/>
      <c r="H111" s="10" t="s">
        <v>124</v>
      </c>
      <c r="I111" s="13" t="str">
        <f t="shared" si="6"/>
        <v>RE-26-16|CO-05</v>
      </c>
      <c r="J111" s="11">
        <f t="shared" si="7"/>
        <v>0</v>
      </c>
    </row>
    <row r="112" spans="1:10" ht="16.05" customHeight="1" x14ac:dyDescent="0.3">
      <c r="A112" s="10" t="s">
        <v>238</v>
      </c>
      <c r="B112" s="14">
        <v>46311</v>
      </c>
      <c r="C112" s="15">
        <v>1</v>
      </c>
      <c r="D112" s="10" t="s">
        <v>137</v>
      </c>
      <c r="E112" s="10" t="s">
        <v>217</v>
      </c>
      <c r="F112" s="10"/>
      <c r="G112" s="10"/>
      <c r="H112" s="10" t="s">
        <v>124</v>
      </c>
      <c r="I112" s="13" t="str">
        <f t="shared" si="6"/>
        <v>RE-26-16|CO-07</v>
      </c>
      <c r="J112" s="11">
        <f t="shared" si="7"/>
        <v>0</v>
      </c>
    </row>
    <row r="113" spans="1:10" ht="16.05" customHeight="1" x14ac:dyDescent="0.3">
      <c r="A113" s="10" t="s">
        <v>238</v>
      </c>
      <c r="B113" s="14">
        <v>46311</v>
      </c>
      <c r="C113" s="15">
        <v>1</v>
      </c>
      <c r="D113" s="10" t="s">
        <v>147</v>
      </c>
      <c r="E113" s="10" t="s">
        <v>217</v>
      </c>
      <c r="F113" s="10"/>
      <c r="G113" s="10"/>
      <c r="H113" s="10" t="s">
        <v>124</v>
      </c>
      <c r="I113" s="13" t="str">
        <f t="shared" si="6"/>
        <v>RE-26-16|CO-09</v>
      </c>
      <c r="J113" s="11">
        <f t="shared" si="7"/>
        <v>0</v>
      </c>
    </row>
    <row r="114" spans="1:10" ht="16.05" customHeight="1" x14ac:dyDescent="0.3">
      <c r="A114" s="10" t="s">
        <v>238</v>
      </c>
      <c r="B114" s="14">
        <v>46311</v>
      </c>
      <c r="C114" s="15">
        <v>2</v>
      </c>
      <c r="D114" s="10" t="s">
        <v>161</v>
      </c>
      <c r="E114" s="10" t="s">
        <v>217</v>
      </c>
      <c r="F114" s="10"/>
      <c r="G114" s="10"/>
      <c r="H114" s="10" t="s">
        <v>124</v>
      </c>
      <c r="I114" s="13" t="str">
        <f t="shared" si="6"/>
        <v>RE-26-16|CO-11</v>
      </c>
      <c r="J114" s="11">
        <f t="shared" si="7"/>
        <v>0</v>
      </c>
    </row>
    <row r="115" spans="1:10" ht="16.05" customHeight="1" x14ac:dyDescent="0.3">
      <c r="A115" s="10" t="s">
        <v>238</v>
      </c>
      <c r="B115" s="14">
        <v>46311</v>
      </c>
      <c r="C115" s="15">
        <v>1</v>
      </c>
      <c r="D115" s="10" t="s">
        <v>173</v>
      </c>
      <c r="E115" s="10" t="s">
        <v>213</v>
      </c>
      <c r="F115" s="10" t="s">
        <v>220</v>
      </c>
      <c r="G115" s="10" t="s">
        <v>219</v>
      </c>
      <c r="H115" s="10" t="s">
        <v>124</v>
      </c>
      <c r="I115" s="13" t="str">
        <f t="shared" si="6"/>
        <v>RE-26-16|CO-13</v>
      </c>
      <c r="J115" s="11">
        <f t="shared" si="7"/>
        <v>1</v>
      </c>
    </row>
    <row r="116" spans="1:10" ht="16.05" customHeight="1" x14ac:dyDescent="0.3">
      <c r="A116" s="10" t="s">
        <v>238</v>
      </c>
      <c r="B116" s="14">
        <v>46311</v>
      </c>
      <c r="C116" s="15">
        <v>1</v>
      </c>
      <c r="D116" s="10" t="s">
        <v>194</v>
      </c>
      <c r="E116" s="10" t="s">
        <v>217</v>
      </c>
      <c r="F116" s="10"/>
      <c r="G116" s="10"/>
      <c r="H116" s="10" t="s">
        <v>124</v>
      </c>
      <c r="I116" s="13" t="str">
        <f t="shared" si="6"/>
        <v>RE-26-16|CO-16</v>
      </c>
      <c r="J116" s="11">
        <f t="shared" si="7"/>
        <v>0</v>
      </c>
    </row>
    <row r="117" spans="1:10" ht="16.05" customHeight="1" x14ac:dyDescent="0.3">
      <c r="A117" s="10" t="s">
        <v>239</v>
      </c>
      <c r="B117" s="14">
        <v>46318</v>
      </c>
      <c r="C117" s="15">
        <v>3</v>
      </c>
      <c r="D117" s="10" t="s">
        <v>89</v>
      </c>
      <c r="E117" s="10" t="s">
        <v>217</v>
      </c>
      <c r="F117" s="10"/>
      <c r="G117" s="10"/>
      <c r="H117" s="10" t="s">
        <v>216</v>
      </c>
      <c r="I117" s="13" t="str">
        <f t="shared" si="6"/>
        <v>RE-26-17|CO-01</v>
      </c>
      <c r="J117" s="11">
        <f t="shared" si="7"/>
        <v>0</v>
      </c>
    </row>
    <row r="118" spans="1:10" ht="16.05" customHeight="1" x14ac:dyDescent="0.3">
      <c r="A118" s="10" t="s">
        <v>239</v>
      </c>
      <c r="B118" s="14">
        <v>46318</v>
      </c>
      <c r="C118" s="15">
        <v>1</v>
      </c>
      <c r="D118" s="10" t="s">
        <v>126</v>
      </c>
      <c r="E118" s="10" t="s">
        <v>217</v>
      </c>
      <c r="F118" s="10"/>
      <c r="G118" s="10"/>
      <c r="H118" s="10" t="s">
        <v>216</v>
      </c>
      <c r="I118" s="13" t="str">
        <f t="shared" si="6"/>
        <v>RE-26-17|CO-05</v>
      </c>
      <c r="J118" s="11">
        <f t="shared" si="7"/>
        <v>0</v>
      </c>
    </row>
    <row r="119" spans="1:10" ht="16.05" customHeight="1" x14ac:dyDescent="0.3">
      <c r="A119" s="10" t="s">
        <v>239</v>
      </c>
      <c r="B119" s="14">
        <v>46318</v>
      </c>
      <c r="C119" s="15">
        <v>3</v>
      </c>
      <c r="D119" s="10" t="s">
        <v>137</v>
      </c>
      <c r="E119" s="10" t="s">
        <v>217</v>
      </c>
      <c r="F119" s="10"/>
      <c r="G119" s="10"/>
      <c r="H119" s="10" t="s">
        <v>216</v>
      </c>
      <c r="I119" s="13" t="str">
        <f t="shared" si="6"/>
        <v>RE-26-17|CO-07</v>
      </c>
      <c r="J119" s="11">
        <f t="shared" si="7"/>
        <v>0</v>
      </c>
    </row>
    <row r="120" spans="1:10" ht="16.05" customHeight="1" x14ac:dyDescent="0.3">
      <c r="A120" s="10" t="s">
        <v>239</v>
      </c>
      <c r="B120" s="14">
        <v>46318</v>
      </c>
      <c r="C120" s="15">
        <v>3</v>
      </c>
      <c r="D120" s="10" t="s">
        <v>147</v>
      </c>
      <c r="E120" s="10" t="s">
        <v>213</v>
      </c>
      <c r="F120" s="10" t="s">
        <v>218</v>
      </c>
      <c r="G120" s="10" t="s">
        <v>219</v>
      </c>
      <c r="H120" s="10" t="s">
        <v>216</v>
      </c>
      <c r="I120" s="13" t="str">
        <f t="shared" si="6"/>
        <v>RE-26-17|CO-09</v>
      </c>
      <c r="J120" s="11">
        <f t="shared" si="7"/>
        <v>1</v>
      </c>
    </row>
    <row r="121" spans="1:10" ht="16.05" customHeight="1" x14ac:dyDescent="0.3">
      <c r="A121" s="10" t="s">
        <v>239</v>
      </c>
      <c r="B121" s="14">
        <v>46318</v>
      </c>
      <c r="C121" s="15">
        <v>3</v>
      </c>
      <c r="D121" s="10" t="s">
        <v>161</v>
      </c>
      <c r="E121" s="10" t="s">
        <v>217</v>
      </c>
      <c r="F121" s="10"/>
      <c r="G121" s="10"/>
      <c r="H121" s="10" t="s">
        <v>216</v>
      </c>
      <c r="I121" s="13" t="str">
        <f t="shared" si="6"/>
        <v>RE-26-17|CO-11</v>
      </c>
      <c r="J121" s="11">
        <f t="shared" si="7"/>
        <v>0</v>
      </c>
    </row>
    <row r="122" spans="1:10" ht="16.05" customHeight="1" x14ac:dyDescent="0.3">
      <c r="A122" s="10" t="s">
        <v>239</v>
      </c>
      <c r="B122" s="14">
        <v>46318</v>
      </c>
      <c r="C122" s="15">
        <v>2</v>
      </c>
      <c r="D122" s="10" t="s">
        <v>173</v>
      </c>
      <c r="E122" s="10" t="s">
        <v>213</v>
      </c>
      <c r="F122" s="10" t="s">
        <v>220</v>
      </c>
      <c r="G122" s="10" t="s">
        <v>219</v>
      </c>
      <c r="H122" s="10" t="s">
        <v>216</v>
      </c>
      <c r="I122" s="13" t="str">
        <f t="shared" si="6"/>
        <v>RE-26-17|CO-13</v>
      </c>
      <c r="J122" s="11">
        <f t="shared" si="7"/>
        <v>1</v>
      </c>
    </row>
    <row r="123" spans="1:10" ht="16.05" customHeight="1" x14ac:dyDescent="0.3">
      <c r="A123" s="10" t="s">
        <v>239</v>
      </c>
      <c r="B123" s="14">
        <v>46318</v>
      </c>
      <c r="C123" s="15">
        <v>2</v>
      </c>
      <c r="D123" s="10" t="s">
        <v>194</v>
      </c>
      <c r="E123" s="10" t="s">
        <v>217</v>
      </c>
      <c r="F123" s="10"/>
      <c r="G123" s="10"/>
      <c r="H123" s="10" t="s">
        <v>216</v>
      </c>
      <c r="I123" s="13" t="str">
        <f t="shared" si="6"/>
        <v>RE-26-17|CO-16</v>
      </c>
      <c r="J123" s="11">
        <f t="shared" si="7"/>
        <v>0</v>
      </c>
    </row>
    <row r="124" spans="1:10" ht="16.05" customHeight="1" x14ac:dyDescent="0.3">
      <c r="A124" s="10" t="s">
        <v>240</v>
      </c>
      <c r="B124" s="14">
        <v>46325</v>
      </c>
      <c r="C124" s="15">
        <v>2</v>
      </c>
      <c r="D124" s="10" t="s">
        <v>89</v>
      </c>
      <c r="E124" s="10" t="s">
        <v>217</v>
      </c>
      <c r="F124" s="10"/>
      <c r="G124" s="10"/>
      <c r="H124" s="10" t="s">
        <v>124</v>
      </c>
      <c r="I124" s="13" t="str">
        <f t="shared" si="6"/>
        <v>RE-26-18|CO-01</v>
      </c>
      <c r="J124" s="11">
        <f t="shared" si="7"/>
        <v>0</v>
      </c>
    </row>
    <row r="125" spans="1:10" ht="16.05" customHeight="1" x14ac:dyDescent="0.3">
      <c r="A125" s="10" t="s">
        <v>240</v>
      </c>
      <c r="B125" s="14">
        <v>46325</v>
      </c>
      <c r="C125" s="15">
        <v>3</v>
      </c>
      <c r="D125" s="10" t="s">
        <v>126</v>
      </c>
      <c r="E125" s="10" t="s">
        <v>217</v>
      </c>
      <c r="F125" s="10"/>
      <c r="G125" s="10"/>
      <c r="H125" s="10" t="s">
        <v>124</v>
      </c>
      <c r="I125" s="13" t="str">
        <f t="shared" si="6"/>
        <v>RE-26-18|CO-05</v>
      </c>
      <c r="J125" s="11">
        <f t="shared" si="7"/>
        <v>0</v>
      </c>
    </row>
    <row r="126" spans="1:10" ht="16.05" customHeight="1" x14ac:dyDescent="0.3">
      <c r="A126" s="10" t="s">
        <v>240</v>
      </c>
      <c r="B126" s="14">
        <v>46325</v>
      </c>
      <c r="C126" s="15">
        <v>2</v>
      </c>
      <c r="D126" s="10" t="s">
        <v>137</v>
      </c>
      <c r="E126" s="10" t="s">
        <v>217</v>
      </c>
      <c r="F126" s="10"/>
      <c r="G126" s="10"/>
      <c r="H126" s="10" t="s">
        <v>124</v>
      </c>
      <c r="I126" s="13" t="str">
        <f t="shared" si="6"/>
        <v>RE-26-18|CO-07</v>
      </c>
      <c r="J126" s="11">
        <f t="shared" si="7"/>
        <v>0</v>
      </c>
    </row>
    <row r="127" spans="1:10" ht="16.05" customHeight="1" x14ac:dyDescent="0.3">
      <c r="A127" s="10" t="s">
        <v>240</v>
      </c>
      <c r="B127" s="14">
        <v>46325</v>
      </c>
      <c r="C127" s="15">
        <v>2</v>
      </c>
      <c r="D127" s="10" t="s">
        <v>147</v>
      </c>
      <c r="E127" s="10" t="s">
        <v>213</v>
      </c>
      <c r="F127" s="10" t="s">
        <v>218</v>
      </c>
      <c r="G127" s="10" t="s">
        <v>219</v>
      </c>
      <c r="H127" s="10" t="s">
        <v>124</v>
      </c>
      <c r="I127" s="13" t="str">
        <f t="shared" si="6"/>
        <v>RE-26-18|CO-09</v>
      </c>
      <c r="J127" s="11">
        <f t="shared" si="7"/>
        <v>1</v>
      </c>
    </row>
    <row r="128" spans="1:10" ht="16.05" customHeight="1" x14ac:dyDescent="0.3">
      <c r="A128" s="10" t="s">
        <v>240</v>
      </c>
      <c r="B128" s="14">
        <v>46325</v>
      </c>
      <c r="C128" s="15">
        <v>2</v>
      </c>
      <c r="D128" s="10" t="s">
        <v>161</v>
      </c>
      <c r="E128" s="10" t="s">
        <v>217</v>
      </c>
      <c r="F128" s="10"/>
      <c r="G128" s="10"/>
      <c r="H128" s="10" t="s">
        <v>124</v>
      </c>
      <c r="I128" s="13" t="str">
        <f t="shared" si="6"/>
        <v>RE-26-18|CO-11</v>
      </c>
      <c r="J128" s="11">
        <f t="shared" si="7"/>
        <v>0</v>
      </c>
    </row>
    <row r="129" spans="1:10" ht="16.05" customHeight="1" x14ac:dyDescent="0.3">
      <c r="A129" s="10" t="s">
        <v>240</v>
      </c>
      <c r="B129" s="14">
        <v>46325</v>
      </c>
      <c r="C129" s="15">
        <v>1</v>
      </c>
      <c r="D129" s="10" t="s">
        <v>173</v>
      </c>
      <c r="E129" s="10" t="s">
        <v>213</v>
      </c>
      <c r="F129" s="10" t="s">
        <v>220</v>
      </c>
      <c r="G129" s="10" t="s">
        <v>219</v>
      </c>
      <c r="H129" s="10" t="s">
        <v>124</v>
      </c>
      <c r="I129" s="13" t="str">
        <f t="shared" si="6"/>
        <v>RE-26-18|CO-13</v>
      </c>
      <c r="J129" s="11">
        <f t="shared" si="7"/>
        <v>1</v>
      </c>
    </row>
    <row r="130" spans="1:10" ht="16.05" customHeight="1" x14ac:dyDescent="0.3">
      <c r="A130" s="10" t="s">
        <v>240</v>
      </c>
      <c r="B130" s="14">
        <v>46325</v>
      </c>
      <c r="C130" s="15">
        <v>2</v>
      </c>
      <c r="D130" s="10" t="s">
        <v>194</v>
      </c>
      <c r="E130" s="10" t="s">
        <v>217</v>
      </c>
      <c r="F130" s="10"/>
      <c r="G130" s="10"/>
      <c r="H130" s="10" t="s">
        <v>124</v>
      </c>
      <c r="I130" s="13" t="str">
        <f t="shared" si="6"/>
        <v>RE-26-18|CO-16</v>
      </c>
      <c r="J130" s="11">
        <f t="shared" si="7"/>
        <v>0</v>
      </c>
    </row>
    <row r="131" spans="1:10" ht="16.05" customHeight="1" x14ac:dyDescent="0.3">
      <c r="A131" s="10" t="s">
        <v>241</v>
      </c>
      <c r="B131" s="14">
        <v>46332</v>
      </c>
      <c r="C131" s="15">
        <v>1</v>
      </c>
      <c r="D131" s="10" t="s">
        <v>89</v>
      </c>
      <c r="E131" s="10" t="s">
        <v>213</v>
      </c>
      <c r="F131" s="10" t="s">
        <v>214</v>
      </c>
      <c r="G131" s="10" t="s">
        <v>215</v>
      </c>
      <c r="H131" s="10" t="s">
        <v>216</v>
      </c>
      <c r="I131" s="13" t="str">
        <f t="shared" si="6"/>
        <v>RE-26-19|CO-01</v>
      </c>
      <c r="J131" s="11">
        <f t="shared" si="7"/>
        <v>1</v>
      </c>
    </row>
    <row r="132" spans="1:10" ht="16.05" customHeight="1" x14ac:dyDescent="0.3">
      <c r="A132" s="10" t="s">
        <v>241</v>
      </c>
      <c r="B132" s="14">
        <v>46332</v>
      </c>
      <c r="C132" s="15">
        <v>1</v>
      </c>
      <c r="D132" s="10" t="s">
        <v>126</v>
      </c>
      <c r="E132" s="10" t="s">
        <v>217</v>
      </c>
      <c r="F132" s="10"/>
      <c r="G132" s="10"/>
      <c r="H132" s="10" t="s">
        <v>216</v>
      </c>
      <c r="I132" s="13" t="str">
        <f t="shared" si="6"/>
        <v>RE-26-19|CO-05</v>
      </c>
      <c r="J132" s="11">
        <f t="shared" si="7"/>
        <v>0</v>
      </c>
    </row>
    <row r="133" spans="1:10" ht="16.05" customHeight="1" x14ac:dyDescent="0.3">
      <c r="A133" s="10" t="s">
        <v>241</v>
      </c>
      <c r="B133" s="14">
        <v>46332</v>
      </c>
      <c r="C133" s="15">
        <v>3</v>
      </c>
      <c r="D133" s="10" t="s">
        <v>137</v>
      </c>
      <c r="E133" s="10" t="s">
        <v>217</v>
      </c>
      <c r="F133" s="10"/>
      <c r="G133" s="10"/>
      <c r="H133" s="10" t="s">
        <v>216</v>
      </c>
      <c r="I133" s="13" t="str">
        <f t="shared" ref="I133:I164" si="8">IF(A133="","",A133&amp;"|"&amp;D133)</f>
        <v>RE-26-19|CO-07</v>
      </c>
      <c r="J133" s="11">
        <f t="shared" ref="J133:J164" si="9">IF(A133="","",IF(E133="Não conforme",1,0))</f>
        <v>0</v>
      </c>
    </row>
    <row r="134" spans="1:10" ht="16.05" customHeight="1" x14ac:dyDescent="0.3">
      <c r="A134" s="10" t="s">
        <v>241</v>
      </c>
      <c r="B134" s="14">
        <v>46332</v>
      </c>
      <c r="C134" s="15">
        <v>3</v>
      </c>
      <c r="D134" s="10" t="s">
        <v>147</v>
      </c>
      <c r="E134" s="10" t="s">
        <v>213</v>
      </c>
      <c r="F134" s="10" t="s">
        <v>218</v>
      </c>
      <c r="G134" s="10" t="s">
        <v>219</v>
      </c>
      <c r="H134" s="10" t="s">
        <v>216</v>
      </c>
      <c r="I134" s="13" t="str">
        <f t="shared" si="8"/>
        <v>RE-26-19|CO-09</v>
      </c>
      <c r="J134" s="11">
        <f t="shared" si="9"/>
        <v>1</v>
      </c>
    </row>
    <row r="135" spans="1:10" ht="16.05" customHeight="1" x14ac:dyDescent="0.3">
      <c r="A135" s="10" t="s">
        <v>241</v>
      </c>
      <c r="B135" s="14">
        <v>46332</v>
      </c>
      <c r="C135" s="15">
        <v>2</v>
      </c>
      <c r="D135" s="10" t="s">
        <v>161</v>
      </c>
      <c r="E135" s="10" t="s">
        <v>217</v>
      </c>
      <c r="F135" s="10"/>
      <c r="G135" s="10"/>
      <c r="H135" s="10" t="s">
        <v>216</v>
      </c>
      <c r="I135" s="13" t="str">
        <f t="shared" si="8"/>
        <v>RE-26-19|CO-11</v>
      </c>
      <c r="J135" s="11">
        <f t="shared" si="9"/>
        <v>0</v>
      </c>
    </row>
    <row r="136" spans="1:10" ht="16.05" customHeight="1" x14ac:dyDescent="0.3">
      <c r="A136" s="10" t="s">
        <v>241</v>
      </c>
      <c r="B136" s="14">
        <v>46332</v>
      </c>
      <c r="C136" s="15">
        <v>2</v>
      </c>
      <c r="D136" s="10" t="s">
        <v>173</v>
      </c>
      <c r="E136" s="10" t="s">
        <v>213</v>
      </c>
      <c r="F136" s="10" t="s">
        <v>220</v>
      </c>
      <c r="G136" s="10" t="s">
        <v>219</v>
      </c>
      <c r="H136" s="10" t="s">
        <v>216</v>
      </c>
      <c r="I136" s="13" t="str">
        <f t="shared" si="8"/>
        <v>RE-26-19|CO-13</v>
      </c>
      <c r="J136" s="11">
        <f t="shared" si="9"/>
        <v>1</v>
      </c>
    </row>
    <row r="137" spans="1:10" ht="16.05" customHeight="1" x14ac:dyDescent="0.3">
      <c r="A137" s="10" t="s">
        <v>241</v>
      </c>
      <c r="B137" s="14">
        <v>46332</v>
      </c>
      <c r="C137" s="15">
        <v>3</v>
      </c>
      <c r="D137" s="10" t="s">
        <v>194</v>
      </c>
      <c r="E137" s="10" t="s">
        <v>217</v>
      </c>
      <c r="F137" s="10"/>
      <c r="G137" s="10"/>
      <c r="H137" s="10" t="s">
        <v>216</v>
      </c>
      <c r="I137" s="13" t="str">
        <f t="shared" si="8"/>
        <v>RE-26-19|CO-16</v>
      </c>
      <c r="J137" s="11">
        <f t="shared" si="9"/>
        <v>0</v>
      </c>
    </row>
    <row r="138" spans="1:10" ht="16.05" customHeight="1" x14ac:dyDescent="0.3">
      <c r="A138" s="10" t="s">
        <v>242</v>
      </c>
      <c r="B138" s="14">
        <v>46339</v>
      </c>
      <c r="C138" s="15">
        <v>2</v>
      </c>
      <c r="D138" s="10" t="s">
        <v>89</v>
      </c>
      <c r="E138" s="10" t="s">
        <v>217</v>
      </c>
      <c r="F138" s="10"/>
      <c r="G138" s="10"/>
      <c r="H138" s="10" t="s">
        <v>124</v>
      </c>
      <c r="I138" s="13" t="str">
        <f t="shared" si="8"/>
        <v>RE-26-20|CO-01</v>
      </c>
      <c r="J138" s="11">
        <f t="shared" si="9"/>
        <v>0</v>
      </c>
    </row>
    <row r="139" spans="1:10" ht="16.05" customHeight="1" x14ac:dyDescent="0.3">
      <c r="A139" s="10" t="s">
        <v>242</v>
      </c>
      <c r="B139" s="14">
        <v>46339</v>
      </c>
      <c r="C139" s="15">
        <v>2</v>
      </c>
      <c r="D139" s="10" t="s">
        <v>126</v>
      </c>
      <c r="E139" s="10" t="s">
        <v>217</v>
      </c>
      <c r="F139" s="10"/>
      <c r="G139" s="10"/>
      <c r="H139" s="10" t="s">
        <v>124</v>
      </c>
      <c r="I139" s="13" t="str">
        <f t="shared" si="8"/>
        <v>RE-26-20|CO-05</v>
      </c>
      <c r="J139" s="11">
        <f t="shared" si="9"/>
        <v>0</v>
      </c>
    </row>
    <row r="140" spans="1:10" ht="16.05" customHeight="1" x14ac:dyDescent="0.3">
      <c r="A140" s="10" t="s">
        <v>242</v>
      </c>
      <c r="B140" s="14">
        <v>46339</v>
      </c>
      <c r="C140" s="15">
        <v>3</v>
      </c>
      <c r="D140" s="10" t="s">
        <v>137</v>
      </c>
      <c r="E140" s="10" t="s">
        <v>213</v>
      </c>
      <c r="F140" s="10" t="s">
        <v>227</v>
      </c>
      <c r="G140" s="10" t="s">
        <v>215</v>
      </c>
      <c r="H140" s="10" t="s">
        <v>124</v>
      </c>
      <c r="I140" s="13" t="str">
        <f t="shared" si="8"/>
        <v>RE-26-20|CO-07</v>
      </c>
      <c r="J140" s="11">
        <f t="shared" si="9"/>
        <v>1</v>
      </c>
    </row>
    <row r="141" spans="1:10" ht="16.05" customHeight="1" x14ac:dyDescent="0.3">
      <c r="A141" s="10" t="s">
        <v>242</v>
      </c>
      <c r="B141" s="14">
        <v>46339</v>
      </c>
      <c r="C141" s="15">
        <v>3</v>
      </c>
      <c r="D141" s="10" t="s">
        <v>147</v>
      </c>
      <c r="E141" s="10" t="s">
        <v>213</v>
      </c>
      <c r="F141" s="10" t="s">
        <v>218</v>
      </c>
      <c r="G141" s="10" t="s">
        <v>219</v>
      </c>
      <c r="H141" s="10" t="s">
        <v>124</v>
      </c>
      <c r="I141" s="13" t="str">
        <f t="shared" si="8"/>
        <v>RE-26-20|CO-09</v>
      </c>
      <c r="J141" s="11">
        <f t="shared" si="9"/>
        <v>1</v>
      </c>
    </row>
    <row r="142" spans="1:10" ht="16.05" customHeight="1" x14ac:dyDescent="0.3">
      <c r="A142" s="10" t="s">
        <v>242</v>
      </c>
      <c r="B142" s="14">
        <v>46339</v>
      </c>
      <c r="C142" s="15">
        <v>2</v>
      </c>
      <c r="D142" s="10" t="s">
        <v>161</v>
      </c>
      <c r="E142" s="10" t="s">
        <v>217</v>
      </c>
      <c r="F142" s="10"/>
      <c r="G142" s="10"/>
      <c r="H142" s="10" t="s">
        <v>124</v>
      </c>
      <c r="I142" s="13" t="str">
        <f t="shared" si="8"/>
        <v>RE-26-20|CO-11</v>
      </c>
      <c r="J142" s="11">
        <f t="shared" si="9"/>
        <v>0</v>
      </c>
    </row>
    <row r="143" spans="1:10" ht="16.05" customHeight="1" x14ac:dyDescent="0.3">
      <c r="A143" s="10" t="s">
        <v>242</v>
      </c>
      <c r="B143" s="14">
        <v>46339</v>
      </c>
      <c r="C143" s="15">
        <v>2</v>
      </c>
      <c r="D143" s="10" t="s">
        <v>173</v>
      </c>
      <c r="E143" s="10" t="s">
        <v>213</v>
      </c>
      <c r="F143" s="10" t="s">
        <v>220</v>
      </c>
      <c r="G143" s="10" t="s">
        <v>219</v>
      </c>
      <c r="H143" s="10" t="s">
        <v>124</v>
      </c>
      <c r="I143" s="13" t="str">
        <f t="shared" si="8"/>
        <v>RE-26-20|CO-13</v>
      </c>
      <c r="J143" s="11">
        <f t="shared" si="9"/>
        <v>1</v>
      </c>
    </row>
    <row r="144" spans="1:10" ht="16.05" customHeight="1" x14ac:dyDescent="0.3">
      <c r="A144" s="10" t="s">
        <v>242</v>
      </c>
      <c r="B144" s="14">
        <v>46339</v>
      </c>
      <c r="C144" s="15">
        <v>3</v>
      </c>
      <c r="D144" s="10" t="s">
        <v>194</v>
      </c>
      <c r="E144" s="10" t="s">
        <v>217</v>
      </c>
      <c r="F144" s="10"/>
      <c r="G144" s="10"/>
      <c r="H144" s="10" t="s">
        <v>124</v>
      </c>
      <c r="I144" s="13" t="str">
        <f t="shared" si="8"/>
        <v>RE-26-20|CO-16</v>
      </c>
      <c r="J144" s="11">
        <f t="shared" si="9"/>
        <v>0</v>
      </c>
    </row>
    <row r="145" spans="1:10" ht="16.05" customHeight="1" x14ac:dyDescent="0.3">
      <c r="A145" s="10" t="s">
        <v>243</v>
      </c>
      <c r="B145" s="14">
        <v>46346</v>
      </c>
      <c r="C145" s="15">
        <v>1</v>
      </c>
      <c r="D145" s="10" t="s">
        <v>89</v>
      </c>
      <c r="E145" s="10" t="s">
        <v>217</v>
      </c>
      <c r="F145" s="10"/>
      <c r="G145" s="10"/>
      <c r="H145" s="10" t="s">
        <v>216</v>
      </c>
      <c r="I145" s="13" t="str">
        <f t="shared" si="8"/>
        <v>RE-26-21|CO-01</v>
      </c>
      <c r="J145" s="11">
        <f t="shared" si="9"/>
        <v>0</v>
      </c>
    </row>
    <row r="146" spans="1:10" ht="16.05" customHeight="1" x14ac:dyDescent="0.3">
      <c r="A146" s="10" t="s">
        <v>243</v>
      </c>
      <c r="B146" s="14">
        <v>46346</v>
      </c>
      <c r="C146" s="15">
        <v>2</v>
      </c>
      <c r="D146" s="10" t="s">
        <v>126</v>
      </c>
      <c r="E146" s="10" t="s">
        <v>217</v>
      </c>
      <c r="F146" s="10"/>
      <c r="G146" s="10"/>
      <c r="H146" s="10" t="s">
        <v>216</v>
      </c>
      <c r="I146" s="13" t="str">
        <f t="shared" si="8"/>
        <v>RE-26-21|CO-05</v>
      </c>
      <c r="J146" s="11">
        <f t="shared" si="9"/>
        <v>0</v>
      </c>
    </row>
    <row r="147" spans="1:10" ht="16.05" customHeight="1" x14ac:dyDescent="0.3">
      <c r="A147" s="10" t="s">
        <v>243</v>
      </c>
      <c r="B147" s="14">
        <v>46346</v>
      </c>
      <c r="C147" s="15">
        <v>1</v>
      </c>
      <c r="D147" s="10" t="s">
        <v>137</v>
      </c>
      <c r="E147" s="10" t="s">
        <v>217</v>
      </c>
      <c r="F147" s="10"/>
      <c r="G147" s="10"/>
      <c r="H147" s="10" t="s">
        <v>216</v>
      </c>
      <c r="I147" s="13" t="str">
        <f t="shared" si="8"/>
        <v>RE-26-21|CO-07</v>
      </c>
      <c r="J147" s="11">
        <f t="shared" si="9"/>
        <v>0</v>
      </c>
    </row>
    <row r="148" spans="1:10" ht="16.05" customHeight="1" x14ac:dyDescent="0.3">
      <c r="A148" s="10" t="s">
        <v>243</v>
      </c>
      <c r="B148" s="14">
        <v>46346</v>
      </c>
      <c r="C148" s="15">
        <v>3</v>
      </c>
      <c r="D148" s="10" t="s">
        <v>147</v>
      </c>
      <c r="E148" s="10" t="s">
        <v>217</v>
      </c>
      <c r="F148" s="10"/>
      <c r="G148" s="10"/>
      <c r="H148" s="10" t="s">
        <v>216</v>
      </c>
      <c r="I148" s="13" t="str">
        <f t="shared" si="8"/>
        <v>RE-26-21|CO-09</v>
      </c>
      <c r="J148" s="11">
        <f t="shared" si="9"/>
        <v>0</v>
      </c>
    </row>
    <row r="149" spans="1:10" ht="16.05" customHeight="1" x14ac:dyDescent="0.3">
      <c r="A149" s="10" t="s">
        <v>243</v>
      </c>
      <c r="B149" s="14">
        <v>46346</v>
      </c>
      <c r="C149" s="15">
        <v>1</v>
      </c>
      <c r="D149" s="10" t="s">
        <v>161</v>
      </c>
      <c r="E149" s="10" t="s">
        <v>217</v>
      </c>
      <c r="F149" s="10"/>
      <c r="G149" s="10"/>
      <c r="H149" s="10" t="s">
        <v>216</v>
      </c>
      <c r="I149" s="13" t="str">
        <f t="shared" si="8"/>
        <v>RE-26-21|CO-11</v>
      </c>
      <c r="J149" s="11">
        <f t="shared" si="9"/>
        <v>0</v>
      </c>
    </row>
    <row r="150" spans="1:10" ht="16.05" customHeight="1" x14ac:dyDescent="0.3">
      <c r="A150" s="10" t="s">
        <v>243</v>
      </c>
      <c r="B150" s="14">
        <v>46346</v>
      </c>
      <c r="C150" s="15">
        <v>3</v>
      </c>
      <c r="D150" s="10" t="s">
        <v>173</v>
      </c>
      <c r="E150" s="10" t="s">
        <v>213</v>
      </c>
      <c r="F150" s="10" t="s">
        <v>220</v>
      </c>
      <c r="G150" s="10" t="s">
        <v>219</v>
      </c>
      <c r="H150" s="10" t="s">
        <v>216</v>
      </c>
      <c r="I150" s="13" t="str">
        <f t="shared" si="8"/>
        <v>RE-26-21|CO-13</v>
      </c>
      <c r="J150" s="11">
        <f t="shared" si="9"/>
        <v>1</v>
      </c>
    </row>
    <row r="151" spans="1:10" ht="16.05" customHeight="1" x14ac:dyDescent="0.3">
      <c r="A151" s="10" t="s">
        <v>243</v>
      </c>
      <c r="B151" s="14">
        <v>46346</v>
      </c>
      <c r="C151" s="15">
        <v>2</v>
      </c>
      <c r="D151" s="10" t="s">
        <v>194</v>
      </c>
      <c r="E151" s="10" t="s">
        <v>213</v>
      </c>
      <c r="F151" s="10" t="s">
        <v>225</v>
      </c>
      <c r="G151" s="10" t="s">
        <v>215</v>
      </c>
      <c r="H151" s="10" t="s">
        <v>216</v>
      </c>
      <c r="I151" s="13" t="str">
        <f t="shared" si="8"/>
        <v>RE-26-21|CO-16</v>
      </c>
      <c r="J151" s="11">
        <f t="shared" si="9"/>
        <v>1</v>
      </c>
    </row>
    <row r="152" spans="1:10" ht="16.05" customHeight="1" x14ac:dyDescent="0.3">
      <c r="A152" s="10" t="s">
        <v>244</v>
      </c>
      <c r="B152" s="14">
        <v>46353</v>
      </c>
      <c r="C152" s="15">
        <v>3</v>
      </c>
      <c r="D152" s="10" t="s">
        <v>89</v>
      </c>
      <c r="E152" s="10" t="s">
        <v>213</v>
      </c>
      <c r="F152" s="10" t="s">
        <v>214</v>
      </c>
      <c r="G152" s="10" t="s">
        <v>215</v>
      </c>
      <c r="H152" s="10" t="s">
        <v>124</v>
      </c>
      <c r="I152" s="13" t="str">
        <f t="shared" si="8"/>
        <v>RE-26-22|CO-01</v>
      </c>
      <c r="J152" s="11">
        <f t="shared" si="9"/>
        <v>1</v>
      </c>
    </row>
    <row r="153" spans="1:10" ht="16.05" customHeight="1" x14ac:dyDescent="0.3">
      <c r="A153" s="10" t="s">
        <v>244</v>
      </c>
      <c r="B153" s="14">
        <v>46353</v>
      </c>
      <c r="C153" s="15">
        <v>2</v>
      </c>
      <c r="D153" s="10" t="s">
        <v>126</v>
      </c>
      <c r="E153" s="10" t="s">
        <v>217</v>
      </c>
      <c r="F153" s="10"/>
      <c r="G153" s="10"/>
      <c r="H153" s="10" t="s">
        <v>124</v>
      </c>
      <c r="I153" s="13" t="str">
        <f t="shared" si="8"/>
        <v>RE-26-22|CO-05</v>
      </c>
      <c r="J153" s="11">
        <f t="shared" si="9"/>
        <v>0</v>
      </c>
    </row>
    <row r="154" spans="1:10" ht="16.05" customHeight="1" x14ac:dyDescent="0.3">
      <c r="A154" s="10" t="s">
        <v>244</v>
      </c>
      <c r="B154" s="14">
        <v>46353</v>
      </c>
      <c r="C154" s="15">
        <v>3</v>
      </c>
      <c r="D154" s="10" t="s">
        <v>137</v>
      </c>
      <c r="E154" s="10" t="s">
        <v>217</v>
      </c>
      <c r="F154" s="10"/>
      <c r="G154" s="10"/>
      <c r="H154" s="10" t="s">
        <v>124</v>
      </c>
      <c r="I154" s="13" t="str">
        <f t="shared" si="8"/>
        <v>RE-26-22|CO-07</v>
      </c>
      <c r="J154" s="11">
        <f t="shared" si="9"/>
        <v>0</v>
      </c>
    </row>
    <row r="155" spans="1:10" ht="16.05" customHeight="1" x14ac:dyDescent="0.3">
      <c r="A155" s="10" t="s">
        <v>244</v>
      </c>
      <c r="B155" s="14">
        <v>46353</v>
      </c>
      <c r="C155" s="15">
        <v>1</v>
      </c>
      <c r="D155" s="10" t="s">
        <v>147</v>
      </c>
      <c r="E155" s="10" t="s">
        <v>217</v>
      </c>
      <c r="F155" s="10"/>
      <c r="G155" s="10"/>
      <c r="H155" s="10" t="s">
        <v>124</v>
      </c>
      <c r="I155" s="13" t="str">
        <f t="shared" si="8"/>
        <v>RE-26-22|CO-09</v>
      </c>
      <c r="J155" s="11">
        <f t="shared" si="9"/>
        <v>0</v>
      </c>
    </row>
    <row r="156" spans="1:10" ht="16.05" customHeight="1" x14ac:dyDescent="0.3">
      <c r="A156" s="10" t="s">
        <v>244</v>
      </c>
      <c r="B156" s="14">
        <v>46353</v>
      </c>
      <c r="C156" s="15">
        <v>2</v>
      </c>
      <c r="D156" s="10" t="s">
        <v>161</v>
      </c>
      <c r="E156" s="10" t="s">
        <v>217</v>
      </c>
      <c r="F156" s="10"/>
      <c r="G156" s="10"/>
      <c r="H156" s="10" t="s">
        <v>124</v>
      </c>
      <c r="I156" s="13" t="str">
        <f t="shared" si="8"/>
        <v>RE-26-22|CO-11</v>
      </c>
      <c r="J156" s="11">
        <f t="shared" si="9"/>
        <v>0</v>
      </c>
    </row>
    <row r="157" spans="1:10" ht="16.05" customHeight="1" x14ac:dyDescent="0.3">
      <c r="A157" s="10" t="s">
        <v>244</v>
      </c>
      <c r="B157" s="14">
        <v>46353</v>
      </c>
      <c r="C157" s="15">
        <v>2</v>
      </c>
      <c r="D157" s="10" t="s">
        <v>173</v>
      </c>
      <c r="E157" s="10" t="s">
        <v>213</v>
      </c>
      <c r="F157" s="10" t="s">
        <v>220</v>
      </c>
      <c r="G157" s="10" t="s">
        <v>219</v>
      </c>
      <c r="H157" s="10" t="s">
        <v>124</v>
      </c>
      <c r="I157" s="13" t="str">
        <f t="shared" si="8"/>
        <v>RE-26-22|CO-13</v>
      </c>
      <c r="J157" s="11">
        <f t="shared" si="9"/>
        <v>1</v>
      </c>
    </row>
    <row r="158" spans="1:10" ht="16.05" customHeight="1" x14ac:dyDescent="0.3">
      <c r="A158" s="10" t="s">
        <v>244</v>
      </c>
      <c r="B158" s="14">
        <v>46353</v>
      </c>
      <c r="C158" s="15">
        <v>2</v>
      </c>
      <c r="D158" s="10" t="s">
        <v>194</v>
      </c>
      <c r="E158" s="10" t="s">
        <v>217</v>
      </c>
      <c r="F158" s="10"/>
      <c r="G158" s="10"/>
      <c r="H158" s="10" t="s">
        <v>124</v>
      </c>
      <c r="I158" s="13" t="str">
        <f t="shared" si="8"/>
        <v>RE-26-22|CO-16</v>
      </c>
      <c r="J158" s="11">
        <f t="shared" si="9"/>
        <v>0</v>
      </c>
    </row>
    <row r="159" spans="1:10" ht="16.05" customHeight="1" x14ac:dyDescent="0.3">
      <c r="A159" s="10" t="s">
        <v>245</v>
      </c>
      <c r="B159" s="14">
        <v>46360</v>
      </c>
      <c r="C159" s="15">
        <v>2</v>
      </c>
      <c r="D159" s="10" t="s">
        <v>89</v>
      </c>
      <c r="E159" s="10" t="s">
        <v>217</v>
      </c>
      <c r="F159" s="10"/>
      <c r="G159" s="10"/>
      <c r="H159" s="10" t="s">
        <v>216</v>
      </c>
      <c r="I159" s="13" t="str">
        <f t="shared" si="8"/>
        <v>RE-26-23|CO-01</v>
      </c>
      <c r="J159" s="11">
        <f t="shared" si="9"/>
        <v>0</v>
      </c>
    </row>
    <row r="160" spans="1:10" ht="16.05" customHeight="1" x14ac:dyDescent="0.3">
      <c r="A160" s="10" t="s">
        <v>245</v>
      </c>
      <c r="B160" s="14">
        <v>46360</v>
      </c>
      <c r="C160" s="15">
        <v>3</v>
      </c>
      <c r="D160" s="10" t="s">
        <v>126</v>
      </c>
      <c r="E160" s="10" t="s">
        <v>217</v>
      </c>
      <c r="F160" s="10"/>
      <c r="G160" s="10"/>
      <c r="H160" s="10" t="s">
        <v>216</v>
      </c>
      <c r="I160" s="13" t="str">
        <f t="shared" si="8"/>
        <v>RE-26-23|CO-05</v>
      </c>
      <c r="J160" s="11">
        <f t="shared" si="9"/>
        <v>0</v>
      </c>
    </row>
    <row r="161" spans="1:10" ht="16.05" customHeight="1" x14ac:dyDescent="0.3">
      <c r="A161" s="10" t="s">
        <v>245</v>
      </c>
      <c r="B161" s="14">
        <v>46360</v>
      </c>
      <c r="C161" s="15">
        <v>2</v>
      </c>
      <c r="D161" s="10" t="s">
        <v>137</v>
      </c>
      <c r="E161" s="10" t="s">
        <v>217</v>
      </c>
      <c r="F161" s="10"/>
      <c r="G161" s="10"/>
      <c r="H161" s="10" t="s">
        <v>216</v>
      </c>
      <c r="I161" s="13" t="str">
        <f t="shared" si="8"/>
        <v>RE-26-23|CO-07</v>
      </c>
      <c r="J161" s="11">
        <f t="shared" si="9"/>
        <v>0</v>
      </c>
    </row>
    <row r="162" spans="1:10" ht="16.05" customHeight="1" x14ac:dyDescent="0.3">
      <c r="A162" s="10" t="s">
        <v>245</v>
      </c>
      <c r="B162" s="14">
        <v>46360</v>
      </c>
      <c r="C162" s="15">
        <v>2</v>
      </c>
      <c r="D162" s="10" t="s">
        <v>147</v>
      </c>
      <c r="E162" s="10" t="s">
        <v>217</v>
      </c>
      <c r="F162" s="10"/>
      <c r="G162" s="10"/>
      <c r="H162" s="10" t="s">
        <v>216</v>
      </c>
      <c r="I162" s="13" t="str">
        <f t="shared" si="8"/>
        <v>RE-26-23|CO-09</v>
      </c>
      <c r="J162" s="11">
        <f t="shared" si="9"/>
        <v>0</v>
      </c>
    </row>
    <row r="163" spans="1:10" ht="16.05" customHeight="1" x14ac:dyDescent="0.3">
      <c r="A163" s="10" t="s">
        <v>245</v>
      </c>
      <c r="B163" s="14">
        <v>46360</v>
      </c>
      <c r="C163" s="15">
        <v>1</v>
      </c>
      <c r="D163" s="10" t="s">
        <v>161</v>
      </c>
      <c r="E163" s="10" t="s">
        <v>213</v>
      </c>
      <c r="F163" s="10" t="s">
        <v>246</v>
      </c>
      <c r="G163" s="10" t="s">
        <v>215</v>
      </c>
      <c r="H163" s="10" t="s">
        <v>216</v>
      </c>
      <c r="I163" s="13" t="str">
        <f t="shared" si="8"/>
        <v>RE-26-23|CO-11</v>
      </c>
      <c r="J163" s="11">
        <f t="shared" si="9"/>
        <v>1</v>
      </c>
    </row>
    <row r="164" spans="1:10" ht="16.05" customHeight="1" x14ac:dyDescent="0.3">
      <c r="A164" s="10" t="s">
        <v>245</v>
      </c>
      <c r="B164" s="14">
        <v>46360</v>
      </c>
      <c r="C164" s="15">
        <v>3</v>
      </c>
      <c r="D164" s="10" t="s">
        <v>173</v>
      </c>
      <c r="E164" s="10" t="s">
        <v>217</v>
      </c>
      <c r="F164" s="10"/>
      <c r="G164" s="10"/>
      <c r="H164" s="10" t="s">
        <v>216</v>
      </c>
      <c r="I164" s="13" t="str">
        <f t="shared" si="8"/>
        <v>RE-26-23|CO-13</v>
      </c>
      <c r="J164" s="11">
        <f t="shared" si="9"/>
        <v>0</v>
      </c>
    </row>
    <row r="165" spans="1:10" ht="16.05" customHeight="1" x14ac:dyDescent="0.3">
      <c r="A165" s="10" t="s">
        <v>245</v>
      </c>
      <c r="B165" s="14">
        <v>46360</v>
      </c>
      <c r="C165" s="15">
        <v>1</v>
      </c>
      <c r="D165" s="10" t="s">
        <v>194</v>
      </c>
      <c r="E165" s="10" t="s">
        <v>217</v>
      </c>
      <c r="F165" s="10"/>
      <c r="G165" s="10"/>
      <c r="H165" s="10" t="s">
        <v>216</v>
      </c>
      <c r="I165" s="13" t="str">
        <f t="shared" ref="I165:I186" si="10">IF(A165="","",A165&amp;"|"&amp;D165)</f>
        <v>RE-26-23|CO-16</v>
      </c>
      <c r="J165" s="11">
        <f t="shared" ref="J165:J186" si="11">IF(A165="","",IF(E165="Não conforme",1,0))</f>
        <v>0</v>
      </c>
    </row>
    <row r="166" spans="1:10" ht="16.05" customHeight="1" x14ac:dyDescent="0.3">
      <c r="A166" s="10" t="s">
        <v>247</v>
      </c>
      <c r="B166" s="14">
        <v>46367</v>
      </c>
      <c r="C166" s="15">
        <v>1</v>
      </c>
      <c r="D166" s="10" t="s">
        <v>89</v>
      </c>
      <c r="E166" s="10" t="s">
        <v>217</v>
      </c>
      <c r="F166" s="10"/>
      <c r="G166" s="10"/>
      <c r="H166" s="10" t="s">
        <v>124</v>
      </c>
      <c r="I166" s="13" t="str">
        <f t="shared" si="10"/>
        <v>RE-26-24|CO-01</v>
      </c>
      <c r="J166" s="11">
        <f t="shared" si="11"/>
        <v>0</v>
      </c>
    </row>
    <row r="167" spans="1:10" ht="16.05" customHeight="1" x14ac:dyDescent="0.3">
      <c r="A167" s="10" t="s">
        <v>247</v>
      </c>
      <c r="B167" s="14">
        <v>46367</v>
      </c>
      <c r="C167" s="15">
        <v>3</v>
      </c>
      <c r="D167" s="10" t="s">
        <v>126</v>
      </c>
      <c r="E167" s="10" t="s">
        <v>217</v>
      </c>
      <c r="F167" s="10"/>
      <c r="G167" s="10"/>
      <c r="H167" s="10" t="s">
        <v>124</v>
      </c>
      <c r="I167" s="13" t="str">
        <f t="shared" si="10"/>
        <v>RE-26-24|CO-05</v>
      </c>
      <c r="J167" s="11">
        <f t="shared" si="11"/>
        <v>0</v>
      </c>
    </row>
    <row r="168" spans="1:10" ht="16.05" customHeight="1" x14ac:dyDescent="0.3">
      <c r="A168" s="10" t="s">
        <v>247</v>
      </c>
      <c r="B168" s="14">
        <v>46367</v>
      </c>
      <c r="C168" s="15">
        <v>2</v>
      </c>
      <c r="D168" s="10" t="s">
        <v>137</v>
      </c>
      <c r="E168" s="10" t="s">
        <v>217</v>
      </c>
      <c r="F168" s="10"/>
      <c r="G168" s="10"/>
      <c r="H168" s="10" t="s">
        <v>124</v>
      </c>
      <c r="I168" s="13" t="str">
        <f t="shared" si="10"/>
        <v>RE-26-24|CO-07</v>
      </c>
      <c r="J168" s="11">
        <f t="shared" si="11"/>
        <v>0</v>
      </c>
    </row>
    <row r="169" spans="1:10" ht="16.05" customHeight="1" x14ac:dyDescent="0.3">
      <c r="A169" s="10" t="s">
        <v>247</v>
      </c>
      <c r="B169" s="14">
        <v>46367</v>
      </c>
      <c r="C169" s="15">
        <v>2</v>
      </c>
      <c r="D169" s="10" t="s">
        <v>147</v>
      </c>
      <c r="E169" s="10" t="s">
        <v>217</v>
      </c>
      <c r="F169" s="10"/>
      <c r="G169" s="10"/>
      <c r="H169" s="10" t="s">
        <v>124</v>
      </c>
      <c r="I169" s="13" t="str">
        <f t="shared" si="10"/>
        <v>RE-26-24|CO-09</v>
      </c>
      <c r="J169" s="11">
        <f t="shared" si="11"/>
        <v>0</v>
      </c>
    </row>
    <row r="170" spans="1:10" ht="16.05" customHeight="1" x14ac:dyDescent="0.3">
      <c r="A170" s="10" t="s">
        <v>247</v>
      </c>
      <c r="B170" s="14">
        <v>46367</v>
      </c>
      <c r="C170" s="15">
        <v>2</v>
      </c>
      <c r="D170" s="10" t="s">
        <v>161</v>
      </c>
      <c r="E170" s="10" t="s">
        <v>217</v>
      </c>
      <c r="F170" s="10"/>
      <c r="G170" s="10"/>
      <c r="H170" s="10" t="s">
        <v>124</v>
      </c>
      <c r="I170" s="13" t="str">
        <f t="shared" si="10"/>
        <v>RE-26-24|CO-11</v>
      </c>
      <c r="J170" s="11">
        <f t="shared" si="11"/>
        <v>0</v>
      </c>
    </row>
    <row r="171" spans="1:10" ht="16.05" customHeight="1" x14ac:dyDescent="0.3">
      <c r="A171" s="10" t="s">
        <v>247</v>
      </c>
      <c r="B171" s="14">
        <v>46367</v>
      </c>
      <c r="C171" s="15">
        <v>2</v>
      </c>
      <c r="D171" s="10" t="s">
        <v>173</v>
      </c>
      <c r="E171" s="10" t="s">
        <v>217</v>
      </c>
      <c r="F171" s="10"/>
      <c r="G171" s="10"/>
      <c r="H171" s="10" t="s">
        <v>124</v>
      </c>
      <c r="I171" s="13" t="str">
        <f t="shared" si="10"/>
        <v>RE-26-24|CO-13</v>
      </c>
      <c r="J171" s="11">
        <f t="shared" si="11"/>
        <v>0</v>
      </c>
    </row>
    <row r="172" spans="1:10" ht="16.05" customHeight="1" x14ac:dyDescent="0.3">
      <c r="A172" s="10" t="s">
        <v>247</v>
      </c>
      <c r="B172" s="14">
        <v>46367</v>
      </c>
      <c r="C172" s="15">
        <v>2</v>
      </c>
      <c r="D172" s="10" t="s">
        <v>194</v>
      </c>
      <c r="E172" s="10" t="s">
        <v>217</v>
      </c>
      <c r="F172" s="10"/>
      <c r="G172" s="10"/>
      <c r="H172" s="10" t="s">
        <v>124</v>
      </c>
      <c r="I172" s="13" t="str">
        <f t="shared" si="10"/>
        <v>RE-26-24|CO-16</v>
      </c>
      <c r="J172" s="11">
        <f t="shared" si="11"/>
        <v>0</v>
      </c>
    </row>
    <row r="173" spans="1:10" ht="16.05" customHeight="1" x14ac:dyDescent="0.3">
      <c r="A173" s="10" t="s">
        <v>248</v>
      </c>
      <c r="B173" s="14">
        <v>46374</v>
      </c>
      <c r="C173" s="15">
        <v>3</v>
      </c>
      <c r="D173" s="10" t="s">
        <v>89</v>
      </c>
      <c r="E173" s="10" t="s">
        <v>217</v>
      </c>
      <c r="F173" s="10"/>
      <c r="G173" s="10"/>
      <c r="H173" s="10" t="s">
        <v>216</v>
      </c>
      <c r="I173" s="13" t="str">
        <f t="shared" si="10"/>
        <v>RE-26-25|CO-01</v>
      </c>
      <c r="J173" s="11">
        <f t="shared" si="11"/>
        <v>0</v>
      </c>
    </row>
    <row r="174" spans="1:10" ht="16.05" customHeight="1" x14ac:dyDescent="0.3">
      <c r="A174" s="10" t="s">
        <v>248</v>
      </c>
      <c r="B174" s="14">
        <v>46374</v>
      </c>
      <c r="C174" s="15">
        <v>1</v>
      </c>
      <c r="D174" s="10" t="s">
        <v>126</v>
      </c>
      <c r="E174" s="10" t="s">
        <v>217</v>
      </c>
      <c r="F174" s="10"/>
      <c r="G174" s="10"/>
      <c r="H174" s="10" t="s">
        <v>216</v>
      </c>
      <c r="I174" s="13" t="str">
        <f t="shared" si="10"/>
        <v>RE-26-25|CO-05</v>
      </c>
      <c r="J174" s="11">
        <f t="shared" si="11"/>
        <v>0</v>
      </c>
    </row>
    <row r="175" spans="1:10" ht="16.05" customHeight="1" x14ac:dyDescent="0.3">
      <c r="A175" s="10" t="s">
        <v>248</v>
      </c>
      <c r="B175" s="14">
        <v>46374</v>
      </c>
      <c r="C175" s="15">
        <v>3</v>
      </c>
      <c r="D175" s="10" t="s">
        <v>137</v>
      </c>
      <c r="E175" s="10" t="s">
        <v>217</v>
      </c>
      <c r="F175" s="10"/>
      <c r="G175" s="10"/>
      <c r="H175" s="10" t="s">
        <v>216</v>
      </c>
      <c r="I175" s="13" t="str">
        <f t="shared" si="10"/>
        <v>RE-26-25|CO-07</v>
      </c>
      <c r="J175" s="11">
        <f t="shared" si="11"/>
        <v>0</v>
      </c>
    </row>
    <row r="176" spans="1:10" ht="16.05" customHeight="1" x14ac:dyDescent="0.3">
      <c r="A176" s="10" t="s">
        <v>248</v>
      </c>
      <c r="B176" s="14">
        <v>46374</v>
      </c>
      <c r="C176" s="15">
        <v>1</v>
      </c>
      <c r="D176" s="10" t="s">
        <v>147</v>
      </c>
      <c r="E176" s="10" t="s">
        <v>217</v>
      </c>
      <c r="F176" s="10"/>
      <c r="G176" s="10"/>
      <c r="H176" s="10" t="s">
        <v>216</v>
      </c>
      <c r="I176" s="13" t="str">
        <f t="shared" si="10"/>
        <v>RE-26-25|CO-09</v>
      </c>
      <c r="J176" s="11">
        <f t="shared" si="11"/>
        <v>0</v>
      </c>
    </row>
    <row r="177" spans="1:10" ht="16.05" customHeight="1" x14ac:dyDescent="0.3">
      <c r="A177" s="10" t="s">
        <v>248</v>
      </c>
      <c r="B177" s="14">
        <v>46374</v>
      </c>
      <c r="C177" s="15">
        <v>1</v>
      </c>
      <c r="D177" s="10" t="s">
        <v>161</v>
      </c>
      <c r="E177" s="10" t="s">
        <v>217</v>
      </c>
      <c r="F177" s="10"/>
      <c r="G177" s="10"/>
      <c r="H177" s="10" t="s">
        <v>216</v>
      </c>
      <c r="I177" s="13" t="str">
        <f t="shared" si="10"/>
        <v>RE-26-25|CO-11</v>
      </c>
      <c r="J177" s="11">
        <f t="shared" si="11"/>
        <v>0</v>
      </c>
    </row>
    <row r="178" spans="1:10" ht="16.05" customHeight="1" x14ac:dyDescent="0.3">
      <c r="A178" s="10" t="s">
        <v>248</v>
      </c>
      <c r="B178" s="14">
        <v>46374</v>
      </c>
      <c r="C178" s="15">
        <v>1</v>
      </c>
      <c r="D178" s="10" t="s">
        <v>173</v>
      </c>
      <c r="E178" s="10" t="s">
        <v>217</v>
      </c>
      <c r="F178" s="10"/>
      <c r="G178" s="10"/>
      <c r="H178" s="10" t="s">
        <v>216</v>
      </c>
      <c r="I178" s="13" t="str">
        <f t="shared" si="10"/>
        <v>RE-26-25|CO-13</v>
      </c>
      <c r="J178" s="11">
        <f t="shared" si="11"/>
        <v>0</v>
      </c>
    </row>
    <row r="179" spans="1:10" ht="16.05" customHeight="1" x14ac:dyDescent="0.3">
      <c r="A179" s="10" t="s">
        <v>248</v>
      </c>
      <c r="B179" s="14">
        <v>46374</v>
      </c>
      <c r="C179" s="15">
        <v>1</v>
      </c>
      <c r="D179" s="10" t="s">
        <v>194</v>
      </c>
      <c r="E179" s="10" t="s">
        <v>217</v>
      </c>
      <c r="F179" s="10"/>
      <c r="G179" s="10"/>
      <c r="H179" s="10" t="s">
        <v>216</v>
      </c>
      <c r="I179" s="13" t="str">
        <f t="shared" si="10"/>
        <v>RE-26-25|CO-16</v>
      </c>
      <c r="J179" s="11">
        <f t="shared" si="11"/>
        <v>0</v>
      </c>
    </row>
    <row r="180" spans="1:10" ht="16.05" customHeight="1" x14ac:dyDescent="0.3">
      <c r="A180" s="10" t="s">
        <v>249</v>
      </c>
      <c r="B180" s="14">
        <v>46381</v>
      </c>
      <c r="C180" s="15">
        <v>2</v>
      </c>
      <c r="D180" s="10" t="s">
        <v>89</v>
      </c>
      <c r="E180" s="10" t="s">
        <v>217</v>
      </c>
      <c r="F180" s="10"/>
      <c r="G180" s="10"/>
      <c r="H180" s="10" t="s">
        <v>124</v>
      </c>
      <c r="I180" s="13" t="str">
        <f t="shared" si="10"/>
        <v>RE-26-26|CO-01</v>
      </c>
      <c r="J180" s="11">
        <f t="shared" si="11"/>
        <v>0</v>
      </c>
    </row>
    <row r="181" spans="1:10" ht="16.05" customHeight="1" x14ac:dyDescent="0.3">
      <c r="A181" s="10" t="s">
        <v>249</v>
      </c>
      <c r="B181" s="14">
        <v>46381</v>
      </c>
      <c r="C181" s="15">
        <v>2</v>
      </c>
      <c r="D181" s="10" t="s">
        <v>126</v>
      </c>
      <c r="E181" s="10" t="s">
        <v>217</v>
      </c>
      <c r="F181" s="10"/>
      <c r="G181" s="10"/>
      <c r="H181" s="10" t="s">
        <v>124</v>
      </c>
      <c r="I181" s="13" t="str">
        <f t="shared" si="10"/>
        <v>RE-26-26|CO-05</v>
      </c>
      <c r="J181" s="11">
        <f t="shared" si="11"/>
        <v>0</v>
      </c>
    </row>
    <row r="182" spans="1:10" ht="16.05" customHeight="1" x14ac:dyDescent="0.3">
      <c r="A182" s="10" t="s">
        <v>249</v>
      </c>
      <c r="B182" s="14">
        <v>46381</v>
      </c>
      <c r="C182" s="15">
        <v>2</v>
      </c>
      <c r="D182" s="10" t="s">
        <v>137</v>
      </c>
      <c r="E182" s="10" t="s">
        <v>213</v>
      </c>
      <c r="F182" s="10" t="s">
        <v>227</v>
      </c>
      <c r="G182" s="10" t="s">
        <v>215</v>
      </c>
      <c r="H182" s="10" t="s">
        <v>124</v>
      </c>
      <c r="I182" s="13" t="str">
        <f t="shared" si="10"/>
        <v>RE-26-26|CO-07</v>
      </c>
      <c r="J182" s="11">
        <f t="shared" si="11"/>
        <v>1</v>
      </c>
    </row>
    <row r="183" spans="1:10" ht="16.05" customHeight="1" x14ac:dyDescent="0.3">
      <c r="A183" s="10" t="s">
        <v>249</v>
      </c>
      <c r="B183" s="14">
        <v>46381</v>
      </c>
      <c r="C183" s="15">
        <v>2</v>
      </c>
      <c r="D183" s="10" t="s">
        <v>147</v>
      </c>
      <c r="E183" s="10" t="s">
        <v>217</v>
      </c>
      <c r="F183" s="10"/>
      <c r="G183" s="10"/>
      <c r="H183" s="10" t="s">
        <v>124</v>
      </c>
      <c r="I183" s="13" t="str">
        <f t="shared" si="10"/>
        <v>RE-26-26|CO-09</v>
      </c>
      <c r="J183" s="11">
        <f t="shared" si="11"/>
        <v>0</v>
      </c>
    </row>
    <row r="184" spans="1:10" ht="16.05" customHeight="1" x14ac:dyDescent="0.3">
      <c r="A184" s="10" t="s">
        <v>249</v>
      </c>
      <c r="B184" s="14">
        <v>46381</v>
      </c>
      <c r="C184" s="15">
        <v>1</v>
      </c>
      <c r="D184" s="10" t="s">
        <v>161</v>
      </c>
      <c r="E184" s="10" t="s">
        <v>217</v>
      </c>
      <c r="F184" s="10"/>
      <c r="G184" s="10"/>
      <c r="H184" s="10" t="s">
        <v>124</v>
      </c>
      <c r="I184" s="13" t="str">
        <f t="shared" si="10"/>
        <v>RE-26-26|CO-11</v>
      </c>
      <c r="J184" s="11">
        <f t="shared" si="11"/>
        <v>0</v>
      </c>
    </row>
    <row r="185" spans="1:10" ht="16.05" customHeight="1" x14ac:dyDescent="0.3">
      <c r="A185" s="10" t="s">
        <v>249</v>
      </c>
      <c r="B185" s="14">
        <v>46381</v>
      </c>
      <c r="C185" s="15">
        <v>3</v>
      </c>
      <c r="D185" s="10" t="s">
        <v>173</v>
      </c>
      <c r="E185" s="10" t="s">
        <v>217</v>
      </c>
      <c r="F185" s="10"/>
      <c r="G185" s="10"/>
      <c r="H185" s="10" t="s">
        <v>124</v>
      </c>
      <c r="I185" s="13" t="str">
        <f t="shared" si="10"/>
        <v>RE-26-26|CO-13</v>
      </c>
      <c r="J185" s="11">
        <f t="shared" si="11"/>
        <v>0</v>
      </c>
    </row>
    <row r="186" spans="1:10" ht="16.05" customHeight="1" x14ac:dyDescent="0.3">
      <c r="A186" s="10" t="s">
        <v>249</v>
      </c>
      <c r="B186" s="14">
        <v>46381</v>
      </c>
      <c r="C186" s="15">
        <v>1</v>
      </c>
      <c r="D186" s="10" t="s">
        <v>194</v>
      </c>
      <c r="E186" s="10" t="s">
        <v>217</v>
      </c>
      <c r="F186" s="10"/>
      <c r="G186" s="10"/>
      <c r="H186" s="10" t="s">
        <v>124</v>
      </c>
      <c r="I186" s="13" t="str">
        <f t="shared" si="10"/>
        <v>RE-26-26|CO-16</v>
      </c>
      <c r="J186" s="11">
        <f t="shared" si="11"/>
        <v>0</v>
      </c>
    </row>
  </sheetData>
  <conditionalFormatting sqref="E5:E386">
    <cfRule type="expression" dxfId="1" priority="1">
      <formula>ISNUMBER(SEARCH("Não conforme",E5))</formula>
    </cfRule>
    <cfRule type="expression" dxfId="0" priority="2">
      <formula>ISNUMBER(SEARCH("Conforme",E5))</formula>
    </cfRule>
  </conditionalFormatting>
  <dataValidations count="2">
    <dataValidation type="list" allowBlank="1" showErrorMessage="1" errorTitle="Valor inválido" error="Valor fora da lista controlada (ver folha Listas)." sqref="E5:E386" xr:uid="{00000000-0002-0000-0200-000000000000}">
      <formula1>lst_ResultadoRonda</formula1>
    </dataValidation>
    <dataValidation type="list" allowBlank="1" showErrorMessage="1" errorTitle="Valor inválido" error="Valor fora da lista controlada (ver folha Listas)." sqref="H5:H386" xr:uid="{00000000-0002-0000-0200-000001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6"/>
  <sheetViews>
    <sheetView showGridLines="0" workbookViewId="0"/>
  </sheetViews>
  <sheetFormatPr defaultRowHeight="14.4" x14ac:dyDescent="0.3"/>
  <cols>
    <col min="1" max="1" width="10" customWidth="1"/>
    <col min="2" max="2" width="11" customWidth="1"/>
    <col min="3" max="3" width="14" customWidth="1"/>
    <col min="4" max="4" width="44" customWidth="1"/>
    <col min="5" max="6" width="40" customWidth="1"/>
    <col min="7" max="7" width="20" customWidth="1"/>
  </cols>
  <sheetData>
    <row r="1" spans="1:7" ht="17.399999999999999" x14ac:dyDescent="0.3">
      <c r="A1" s="1" t="s">
        <v>250</v>
      </c>
    </row>
    <row r="3" spans="1:7" x14ac:dyDescent="0.3">
      <c r="A3" s="8" t="s">
        <v>251</v>
      </c>
      <c r="B3" s="8" t="s">
        <v>204</v>
      </c>
      <c r="C3" s="8" t="s">
        <v>85</v>
      </c>
      <c r="D3" s="8" t="s">
        <v>252</v>
      </c>
      <c r="E3" s="8" t="s">
        <v>253</v>
      </c>
      <c r="F3" s="8" t="s">
        <v>254</v>
      </c>
      <c r="G3" s="8" t="s">
        <v>255</v>
      </c>
    </row>
    <row r="4" spans="1:7" ht="26.4" x14ac:dyDescent="0.3">
      <c r="A4" s="16" t="s">
        <v>256</v>
      </c>
      <c r="B4" s="14">
        <v>46204</v>
      </c>
      <c r="C4" s="16" t="s">
        <v>257</v>
      </c>
      <c r="D4" s="16" t="s">
        <v>258</v>
      </c>
      <c r="E4" s="16" t="s">
        <v>259</v>
      </c>
      <c r="F4" s="16" t="s">
        <v>260</v>
      </c>
      <c r="G4" s="16" t="s">
        <v>261</v>
      </c>
    </row>
    <row r="5" spans="1:7" ht="26.4" x14ac:dyDescent="0.3">
      <c r="A5" s="16" t="s">
        <v>262</v>
      </c>
      <c r="B5" s="14">
        <v>46244</v>
      </c>
      <c r="C5" s="16" t="s">
        <v>263</v>
      </c>
      <c r="D5" s="16" t="s">
        <v>264</v>
      </c>
      <c r="E5" s="16" t="s">
        <v>265</v>
      </c>
      <c r="F5" s="16" t="s">
        <v>266</v>
      </c>
      <c r="G5" s="16" t="s">
        <v>267</v>
      </c>
    </row>
    <row r="6" spans="1:7" x14ac:dyDescent="0.3">
      <c r="A6" s="16" t="s">
        <v>268</v>
      </c>
      <c r="B6" s="14">
        <v>46054</v>
      </c>
      <c r="C6" s="16" t="s">
        <v>257</v>
      </c>
      <c r="D6" s="16" t="s">
        <v>269</v>
      </c>
      <c r="E6" s="16" t="s">
        <v>270</v>
      </c>
      <c r="F6" s="16" t="s">
        <v>271</v>
      </c>
      <c r="G6" s="16" t="s">
        <v>70</v>
      </c>
    </row>
  </sheetData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48" customWidth="1"/>
    <col min="3" max="3" width="16" customWidth="1"/>
  </cols>
  <sheetData>
    <row r="1" spans="1:3" x14ac:dyDescent="0.3">
      <c r="A1" s="17" t="s">
        <v>272</v>
      </c>
    </row>
    <row r="2" spans="1:3" x14ac:dyDescent="0.3">
      <c r="A2" s="18" t="s">
        <v>273</v>
      </c>
      <c r="B2" s="18" t="s">
        <v>274</v>
      </c>
      <c r="C2" s="18" t="s">
        <v>275</v>
      </c>
    </row>
    <row r="3" spans="1:3" x14ac:dyDescent="0.3">
      <c r="A3" s="19">
        <v>46387</v>
      </c>
      <c r="B3" s="6" t="s">
        <v>276</v>
      </c>
      <c r="C3" s="6" t="s">
        <v>217</v>
      </c>
    </row>
    <row r="4" spans="1:3" x14ac:dyDescent="0.3">
      <c r="B4" s="6" t="s">
        <v>277</v>
      </c>
      <c r="C4" s="6" t="s">
        <v>213</v>
      </c>
    </row>
    <row r="5" spans="1:3" ht="26.4" x14ac:dyDescent="0.3">
      <c r="B5" s="6" t="s">
        <v>216</v>
      </c>
      <c r="C5" s="6" t="s">
        <v>278</v>
      </c>
    </row>
    <row r="6" spans="1:3" x14ac:dyDescent="0.3">
      <c r="B6" s="6" t="s">
        <v>116</v>
      </c>
    </row>
    <row r="7" spans="1:3" x14ac:dyDescent="0.3">
      <c r="B7" s="6" t="s">
        <v>279</v>
      </c>
    </row>
    <row r="8" spans="1:3" x14ac:dyDescent="0.3">
      <c r="B8" s="6" t="s">
        <v>124</v>
      </c>
    </row>
    <row r="9" spans="1:3" x14ac:dyDescent="0.3">
      <c r="B9" s="6" t="s">
        <v>280</v>
      </c>
    </row>
    <row r="10" spans="1:3" x14ac:dyDescent="0.3">
      <c r="B10" s="6" t="s">
        <v>281</v>
      </c>
    </row>
    <row r="11" spans="1:3" x14ac:dyDescent="0.3">
      <c r="B11" s="6" t="s">
        <v>282</v>
      </c>
    </row>
    <row r="12" spans="1:3" x14ac:dyDescent="0.3">
      <c r="B12" s="6" t="s">
        <v>283</v>
      </c>
    </row>
    <row r="13" spans="1:3" x14ac:dyDescent="0.3">
      <c r="B13" s="6" t="s">
        <v>284</v>
      </c>
    </row>
    <row r="14" spans="1:3" x14ac:dyDescent="0.3">
      <c r="B14" s="6" t="s">
        <v>285</v>
      </c>
    </row>
    <row r="15" spans="1:3" x14ac:dyDescent="0.3">
      <c r="B15" s="6" t="s">
        <v>286</v>
      </c>
    </row>
    <row r="16" spans="1:3" x14ac:dyDescent="0.3">
      <c r="B16" s="6" t="s">
        <v>287</v>
      </c>
    </row>
    <row r="17" spans="2:2" x14ac:dyDescent="0.3">
      <c r="B17" s="6" t="s">
        <v>97</v>
      </c>
    </row>
    <row r="18" spans="2:2" x14ac:dyDescent="0.3">
      <c r="B18" s="6" t="s">
        <v>135</v>
      </c>
    </row>
    <row r="19" spans="2:2" x14ac:dyDescent="0.3">
      <c r="B19" s="6" t="s">
        <v>107</v>
      </c>
    </row>
    <row r="20" spans="2:2" x14ac:dyDescent="0.3">
      <c r="B20" s="6" t="s">
        <v>288</v>
      </c>
    </row>
    <row r="21" spans="2:2" x14ac:dyDescent="0.3">
      <c r="B21" s="6" t="s">
        <v>289</v>
      </c>
    </row>
    <row r="22" spans="2:2" x14ac:dyDescent="0.3">
      <c r="B22" s="6" t="s">
        <v>141</v>
      </c>
    </row>
    <row r="23" spans="2:2" x14ac:dyDescent="0.3">
      <c r="B23" s="6" t="s">
        <v>290</v>
      </c>
    </row>
    <row r="24" spans="2:2" x14ac:dyDescent="0.3">
      <c r="B24" s="6" t="s">
        <v>291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292</v>
      </c>
      <c r="B1" s="8" t="s">
        <v>293</v>
      </c>
      <c r="C1" s="8" t="s">
        <v>294</v>
      </c>
      <c r="D1" s="8" t="s">
        <v>85</v>
      </c>
      <c r="E1" s="8" t="s">
        <v>295</v>
      </c>
      <c r="F1" s="8" t="s">
        <v>296</v>
      </c>
      <c r="G1" s="8" t="s">
        <v>297</v>
      </c>
      <c r="H1" s="8" t="s">
        <v>298</v>
      </c>
      <c r="I1" s="8" t="s">
        <v>210</v>
      </c>
    </row>
    <row r="2" spans="1:9" x14ac:dyDescent="0.3">
      <c r="A2" s="16" t="s">
        <v>40</v>
      </c>
      <c r="B2" s="16" t="s">
        <v>299</v>
      </c>
      <c r="C2" s="16" t="s">
        <v>74</v>
      </c>
      <c r="D2" s="16" t="s">
        <v>300</v>
      </c>
      <c r="E2" s="16" t="s">
        <v>301</v>
      </c>
      <c r="F2" s="16" t="s">
        <v>302</v>
      </c>
      <c r="G2" s="16"/>
      <c r="H2" s="16" t="s">
        <v>303</v>
      </c>
      <c r="I2" s="16" t="s">
        <v>304</v>
      </c>
    </row>
    <row r="3" spans="1:9" ht="39.6" x14ac:dyDescent="0.3">
      <c r="A3" s="16" t="s">
        <v>40</v>
      </c>
      <c r="B3" s="16" t="s">
        <v>299</v>
      </c>
      <c r="C3" s="16" t="s">
        <v>75</v>
      </c>
      <c r="D3" s="16" t="s">
        <v>300</v>
      </c>
      <c r="E3" s="16" t="s">
        <v>301</v>
      </c>
      <c r="F3" s="16" t="s">
        <v>305</v>
      </c>
      <c r="G3" s="16"/>
      <c r="H3" s="16" t="s">
        <v>303</v>
      </c>
      <c r="I3" s="16" t="s">
        <v>306</v>
      </c>
    </row>
    <row r="4" spans="1:9" x14ac:dyDescent="0.3">
      <c r="A4" s="16" t="s">
        <v>40</v>
      </c>
      <c r="B4" s="16" t="s">
        <v>299</v>
      </c>
      <c r="C4" s="16" t="s">
        <v>76</v>
      </c>
      <c r="D4" s="16" t="s">
        <v>300</v>
      </c>
      <c r="E4" s="16" t="s">
        <v>301</v>
      </c>
      <c r="F4" s="16" t="s">
        <v>307</v>
      </c>
      <c r="G4" s="16"/>
      <c r="H4" s="16" t="s">
        <v>303</v>
      </c>
      <c r="I4" s="16"/>
    </row>
    <row r="5" spans="1:9" x14ac:dyDescent="0.3">
      <c r="A5" s="16" t="s">
        <v>40</v>
      </c>
      <c r="B5" s="16" t="s">
        <v>299</v>
      </c>
      <c r="C5" s="16" t="s">
        <v>77</v>
      </c>
      <c r="D5" s="16" t="s">
        <v>300</v>
      </c>
      <c r="E5" s="16" t="s">
        <v>301</v>
      </c>
      <c r="F5" s="16" t="s">
        <v>308</v>
      </c>
      <c r="G5" s="16"/>
      <c r="H5" s="16" t="s">
        <v>303</v>
      </c>
      <c r="I5" s="16"/>
    </row>
    <row r="6" spans="1:9" x14ac:dyDescent="0.3">
      <c r="A6" s="16" t="s">
        <v>40</v>
      </c>
      <c r="B6" s="16" t="s">
        <v>299</v>
      </c>
      <c r="C6" s="16" t="s">
        <v>78</v>
      </c>
      <c r="D6" s="16" t="s">
        <v>300</v>
      </c>
      <c r="E6" s="16" t="s">
        <v>301</v>
      </c>
      <c r="F6" s="16" t="s">
        <v>309</v>
      </c>
      <c r="G6" s="16"/>
      <c r="H6" s="16" t="s">
        <v>303</v>
      </c>
      <c r="I6" s="16"/>
    </row>
    <row r="7" spans="1:9" x14ac:dyDescent="0.3">
      <c r="A7" s="16" t="s">
        <v>40</v>
      </c>
      <c r="B7" s="16" t="s">
        <v>299</v>
      </c>
      <c r="C7" s="16" t="s">
        <v>79</v>
      </c>
      <c r="D7" s="16" t="s">
        <v>300</v>
      </c>
      <c r="E7" s="16" t="s">
        <v>301</v>
      </c>
      <c r="F7" s="16" t="s">
        <v>310</v>
      </c>
      <c r="G7" s="16"/>
      <c r="H7" s="16" t="s">
        <v>303</v>
      </c>
      <c r="I7" s="16"/>
    </row>
    <row r="8" spans="1:9" x14ac:dyDescent="0.3">
      <c r="A8" s="16" t="s">
        <v>40</v>
      </c>
      <c r="B8" s="16" t="s">
        <v>299</v>
      </c>
      <c r="C8" s="16" t="s">
        <v>80</v>
      </c>
      <c r="D8" s="16" t="s">
        <v>300</v>
      </c>
      <c r="E8" s="16" t="s">
        <v>301</v>
      </c>
      <c r="F8" s="16" t="s">
        <v>311</v>
      </c>
      <c r="G8" s="16"/>
      <c r="H8" s="16" t="s">
        <v>303</v>
      </c>
      <c r="I8" s="16"/>
    </row>
    <row r="9" spans="1:9" x14ac:dyDescent="0.3">
      <c r="A9" s="16" t="s">
        <v>40</v>
      </c>
      <c r="B9" s="16" t="s">
        <v>299</v>
      </c>
      <c r="C9" s="16" t="s">
        <v>81</v>
      </c>
      <c r="D9" s="16" t="s">
        <v>300</v>
      </c>
      <c r="E9" s="16" t="s">
        <v>301</v>
      </c>
      <c r="F9" s="16" t="s">
        <v>312</v>
      </c>
      <c r="G9" s="16"/>
      <c r="H9" s="16" t="s">
        <v>303</v>
      </c>
      <c r="I9" s="16"/>
    </row>
    <row r="10" spans="1:9" x14ac:dyDescent="0.3">
      <c r="A10" s="16" t="s">
        <v>40</v>
      </c>
      <c r="B10" s="16" t="s">
        <v>299</v>
      </c>
      <c r="C10" s="16" t="s">
        <v>82</v>
      </c>
      <c r="D10" s="16" t="s">
        <v>300</v>
      </c>
      <c r="E10" s="16" t="s">
        <v>301</v>
      </c>
      <c r="F10" s="16" t="s">
        <v>313</v>
      </c>
      <c r="G10" s="16" t="s">
        <v>314</v>
      </c>
      <c r="H10" s="16" t="s">
        <v>303</v>
      </c>
      <c r="I10" s="16"/>
    </row>
    <row r="11" spans="1:9" x14ac:dyDescent="0.3">
      <c r="A11" s="16" t="s">
        <v>40</v>
      </c>
      <c r="B11" s="16" t="s">
        <v>299</v>
      </c>
      <c r="C11" s="16" t="s">
        <v>83</v>
      </c>
      <c r="D11" s="16" t="s">
        <v>300</v>
      </c>
      <c r="E11" s="16" t="s">
        <v>301</v>
      </c>
      <c r="F11" s="16" t="s">
        <v>315</v>
      </c>
      <c r="G11" s="16"/>
      <c r="H11" s="16" t="s">
        <v>303</v>
      </c>
      <c r="I11" s="16"/>
    </row>
    <row r="12" spans="1:9" x14ac:dyDescent="0.3">
      <c r="A12" s="16" t="s">
        <v>40</v>
      </c>
      <c r="B12" s="16" t="s">
        <v>299</v>
      </c>
      <c r="C12" s="16" t="s">
        <v>84</v>
      </c>
      <c r="D12" s="16" t="s">
        <v>300</v>
      </c>
      <c r="E12" s="16" t="s">
        <v>301</v>
      </c>
      <c r="F12" s="16" t="s">
        <v>316</v>
      </c>
      <c r="G12" s="16"/>
      <c r="H12" s="16" t="s">
        <v>303</v>
      </c>
      <c r="I12" s="16"/>
    </row>
    <row r="13" spans="1:9" x14ac:dyDescent="0.3">
      <c r="A13" s="16" t="s">
        <v>40</v>
      </c>
      <c r="B13" s="16" t="s">
        <v>299</v>
      </c>
      <c r="C13" s="16" t="s">
        <v>85</v>
      </c>
      <c r="D13" s="16" t="s">
        <v>300</v>
      </c>
      <c r="E13" s="16" t="s">
        <v>301</v>
      </c>
      <c r="F13" s="16" t="s">
        <v>317</v>
      </c>
      <c r="G13" s="16"/>
      <c r="H13" s="16" t="s">
        <v>303</v>
      </c>
      <c r="I13" s="16"/>
    </row>
    <row r="14" spans="1:9" x14ac:dyDescent="0.3">
      <c r="A14" s="16" t="s">
        <v>40</v>
      </c>
      <c r="B14" s="16" t="s">
        <v>299</v>
      </c>
      <c r="C14" s="16" t="s">
        <v>86</v>
      </c>
      <c r="D14" s="16" t="s">
        <v>318</v>
      </c>
      <c r="E14" s="16" t="s">
        <v>319</v>
      </c>
      <c r="F14" s="16" t="s">
        <v>320</v>
      </c>
      <c r="G14" s="16"/>
      <c r="H14" s="16" t="s">
        <v>303</v>
      </c>
      <c r="I14" s="16"/>
    </row>
    <row r="15" spans="1:9" ht="26.4" x14ac:dyDescent="0.3">
      <c r="A15" s="16" t="s">
        <v>40</v>
      </c>
      <c r="B15" s="16" t="s">
        <v>299</v>
      </c>
      <c r="C15" s="16" t="s">
        <v>87</v>
      </c>
      <c r="D15" s="16" t="s">
        <v>321</v>
      </c>
      <c r="E15" s="16" t="s">
        <v>319</v>
      </c>
      <c r="F15" s="16" t="s">
        <v>322</v>
      </c>
      <c r="G15" s="16"/>
      <c r="H15" s="16" t="s">
        <v>303</v>
      </c>
      <c r="I15" s="16"/>
    </row>
    <row r="16" spans="1:9" x14ac:dyDescent="0.3">
      <c r="A16" s="16" t="s">
        <v>40</v>
      </c>
      <c r="B16" s="16" t="s">
        <v>299</v>
      </c>
      <c r="C16" s="16" t="s">
        <v>88</v>
      </c>
      <c r="D16" s="16" t="s">
        <v>300</v>
      </c>
      <c r="E16" s="16" t="s">
        <v>319</v>
      </c>
      <c r="F16" s="16" t="s">
        <v>323</v>
      </c>
      <c r="G16" s="16"/>
      <c r="H16" s="16" t="s">
        <v>303</v>
      </c>
      <c r="I16" s="16"/>
    </row>
    <row r="17" spans="1:9" x14ac:dyDescent="0.3">
      <c r="A17" s="16" t="s">
        <v>42</v>
      </c>
      <c r="B17" s="16" t="s">
        <v>324</v>
      </c>
      <c r="C17" s="16" t="s">
        <v>203</v>
      </c>
      <c r="D17" s="16" t="s">
        <v>300</v>
      </c>
      <c r="E17" s="16" t="s">
        <v>301</v>
      </c>
      <c r="F17" s="16" t="s">
        <v>325</v>
      </c>
      <c r="G17" s="16"/>
      <c r="H17" s="16" t="s">
        <v>303</v>
      </c>
      <c r="I17" s="16"/>
    </row>
    <row r="18" spans="1:9" ht="26.4" x14ac:dyDescent="0.3">
      <c r="A18" s="16" t="s">
        <v>42</v>
      </c>
      <c r="B18" s="16" t="s">
        <v>324</v>
      </c>
      <c r="C18" s="16" t="s">
        <v>204</v>
      </c>
      <c r="D18" s="16" t="s">
        <v>326</v>
      </c>
      <c r="E18" s="16" t="s">
        <v>301</v>
      </c>
      <c r="F18" s="16" t="s">
        <v>327</v>
      </c>
      <c r="G18" s="16"/>
      <c r="H18" s="16" t="s">
        <v>303</v>
      </c>
      <c r="I18" s="16"/>
    </row>
    <row r="19" spans="1:9" x14ac:dyDescent="0.3">
      <c r="A19" s="16" t="s">
        <v>42</v>
      </c>
      <c r="B19" s="16" t="s">
        <v>324</v>
      </c>
      <c r="C19" s="16" t="s">
        <v>205</v>
      </c>
      <c r="D19" s="16" t="s">
        <v>318</v>
      </c>
      <c r="E19" s="16" t="s">
        <v>301</v>
      </c>
      <c r="F19" s="16" t="s">
        <v>328</v>
      </c>
      <c r="G19" s="16"/>
      <c r="H19" s="16" t="s">
        <v>303</v>
      </c>
      <c r="I19" s="16"/>
    </row>
    <row r="20" spans="1:9" ht="39.6" x14ac:dyDescent="0.3">
      <c r="A20" s="16" t="s">
        <v>42</v>
      </c>
      <c r="B20" s="16" t="s">
        <v>324</v>
      </c>
      <c r="C20" s="16" t="s">
        <v>74</v>
      </c>
      <c r="D20" s="16" t="s">
        <v>300</v>
      </c>
      <c r="E20" s="16" t="s">
        <v>301</v>
      </c>
      <c r="F20" s="16" t="s">
        <v>329</v>
      </c>
      <c r="G20" s="16"/>
      <c r="H20" s="16" t="s">
        <v>303</v>
      </c>
      <c r="I20" s="16" t="s">
        <v>330</v>
      </c>
    </row>
    <row r="21" spans="1:9" x14ac:dyDescent="0.3">
      <c r="A21" s="16" t="s">
        <v>42</v>
      </c>
      <c r="B21" s="16" t="s">
        <v>324</v>
      </c>
      <c r="C21" s="16" t="s">
        <v>206</v>
      </c>
      <c r="D21" s="16" t="s">
        <v>300</v>
      </c>
      <c r="E21" s="16" t="s">
        <v>301</v>
      </c>
      <c r="F21" s="16" t="s">
        <v>331</v>
      </c>
      <c r="G21" s="16" t="s">
        <v>332</v>
      </c>
      <c r="H21" s="16" t="s">
        <v>303</v>
      </c>
      <c r="I21" s="16"/>
    </row>
    <row r="22" spans="1:9" x14ac:dyDescent="0.3">
      <c r="A22" s="16" t="s">
        <v>42</v>
      </c>
      <c r="B22" s="16" t="s">
        <v>324</v>
      </c>
      <c r="C22" s="16" t="s">
        <v>207</v>
      </c>
      <c r="D22" s="16" t="s">
        <v>300</v>
      </c>
      <c r="E22" s="16" t="s">
        <v>301</v>
      </c>
      <c r="F22" s="16" t="s">
        <v>333</v>
      </c>
      <c r="G22" s="16"/>
      <c r="H22" s="16" t="s">
        <v>334</v>
      </c>
      <c r="I22" s="16"/>
    </row>
    <row r="23" spans="1:9" x14ac:dyDescent="0.3">
      <c r="A23" s="16" t="s">
        <v>42</v>
      </c>
      <c r="B23" s="16" t="s">
        <v>324</v>
      </c>
      <c r="C23" s="16" t="s">
        <v>208</v>
      </c>
      <c r="D23" s="16" t="s">
        <v>300</v>
      </c>
      <c r="E23" s="16" t="s">
        <v>301</v>
      </c>
      <c r="F23" s="16" t="s">
        <v>335</v>
      </c>
      <c r="G23" s="16"/>
      <c r="H23" s="16" t="s">
        <v>334</v>
      </c>
      <c r="I23" s="16"/>
    </row>
    <row r="24" spans="1:9" x14ac:dyDescent="0.3">
      <c r="A24" s="16" t="s">
        <v>42</v>
      </c>
      <c r="B24" s="16" t="s">
        <v>324</v>
      </c>
      <c r="C24" s="16" t="s">
        <v>209</v>
      </c>
      <c r="D24" s="16" t="s">
        <v>300</v>
      </c>
      <c r="E24" s="16" t="s">
        <v>301</v>
      </c>
      <c r="F24" s="16" t="s">
        <v>336</v>
      </c>
      <c r="G24" s="16" t="s">
        <v>314</v>
      </c>
      <c r="H24" s="16" t="s">
        <v>303</v>
      </c>
      <c r="I24" s="16"/>
    </row>
    <row r="25" spans="1:9" x14ac:dyDescent="0.3">
      <c r="A25" s="16" t="s">
        <v>42</v>
      </c>
      <c r="B25" s="16" t="s">
        <v>324</v>
      </c>
      <c r="C25" s="16" t="s">
        <v>210</v>
      </c>
      <c r="D25" s="16" t="s">
        <v>300</v>
      </c>
      <c r="E25" s="16" t="s">
        <v>319</v>
      </c>
      <c r="F25" s="16" t="s">
        <v>337</v>
      </c>
      <c r="G25" s="16"/>
      <c r="H25" s="16" t="s">
        <v>303</v>
      </c>
      <c r="I25" s="16" t="s">
        <v>304</v>
      </c>
    </row>
    <row r="26" spans="1:9" x14ac:dyDescent="0.3">
      <c r="A26" s="16" t="s">
        <v>42</v>
      </c>
      <c r="B26" s="16" t="s">
        <v>324</v>
      </c>
      <c r="C26" s="16" t="s">
        <v>211</v>
      </c>
      <c r="D26" s="16" t="s">
        <v>318</v>
      </c>
      <c r="E26" s="16" t="s">
        <v>319</v>
      </c>
      <c r="F26" s="16" t="s">
        <v>338</v>
      </c>
      <c r="G26" s="16"/>
      <c r="H26" s="16" t="s">
        <v>303</v>
      </c>
      <c r="I26" s="16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6</vt:i4>
      </vt:variant>
      <vt:variant>
        <vt:lpstr>Intervalos com Nome</vt:lpstr>
      </vt:variant>
      <vt:variant>
        <vt:i4>6</vt:i4>
      </vt:variant>
    </vt:vector>
  </HeadingPairs>
  <TitlesOfParts>
    <vt:vector size="12" baseType="lpstr">
      <vt:lpstr>00_LEIA-ME</vt:lpstr>
      <vt:lpstr>Criterios_Operacionais</vt:lpstr>
      <vt:lpstr>Rondas_Energia</vt:lpstr>
      <vt:lpstr>Alteracoes_Nao_Intencionais</vt:lpstr>
      <vt:lpstr>Listas</vt:lpstr>
      <vt:lpstr>Dicionario_Dados</vt:lpstr>
      <vt:lpstr>DataRef</vt:lpstr>
      <vt:lpstr>lst_DataReferencia</vt:lpstr>
      <vt:lpstr>lst_Funcao</vt:lpstr>
      <vt:lpstr>lst_ResultadoRonda</vt:lpstr>
      <vt:lpstr>Criterios_Operacionais!Títulos_de_Impressão</vt:lpstr>
      <vt:lpstr>Rondas_Energia!Títulos_de_Impressão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RG-SGE-08 Controlo Operacional dos Usos Significativos de Energia</dc:title>
  <dc:subject>SGE NP EN ISO 50001:2019 (ISO 50001:2018 + Amd 1:2024) — Plasticom</dc:subject>
  <dc:creator>Gestor(a) de Energia</dc:creator>
  <cp:lastModifiedBy>Aline Meireles</cp:lastModifiedBy>
  <dcterms:created xsi:type="dcterms:W3CDTF">2026-09-30T16:50:21Z</dcterms:created>
  <dcterms:modified xsi:type="dcterms:W3CDTF">2026-09-30T16:50:25Z</dcterms:modified>
</cp:coreProperties>
</file>