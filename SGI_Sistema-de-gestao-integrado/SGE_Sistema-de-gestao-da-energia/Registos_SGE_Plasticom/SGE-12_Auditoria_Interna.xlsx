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0FA1EDA5-ECDD-4963-9897-56D9CAC5724D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Auditores" sheetId="2" r:id="rId2"/>
    <sheet name="Programa_Auditorias" sheetId="3" r:id="rId3"/>
    <sheet name="Checklist" sheetId="4" r:id="rId4"/>
    <sheet name="Constatacoes" sheetId="5" r:id="rId5"/>
    <sheet name="Listas" sheetId="6" r:id="rId6"/>
    <sheet name="Dicionario_Dados" sheetId="7" r:id="rId7"/>
  </sheets>
  <definedNames>
    <definedName name="DataRef">Listas!$A$3</definedName>
    <definedName name="lst_Classificacao">Listas!$B$3:$B$8</definedName>
    <definedName name="lst_DataReferencia">Listas!$A$3:$A$3</definedName>
    <definedName name="_xlnm.Print_Titles" localSheetId="1">Auditores!$4:$4</definedName>
    <definedName name="_xlnm.Print_Titles" localSheetId="3">Checklist!$4:$4</definedName>
    <definedName name="_xlnm.Print_Titles" localSheetId="4">Constatacoes!$4:$4</definedName>
    <definedName name="_xlnm.Print_Titles" localSheetId="2">Programa_Auditorias!$4:$4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5" l="1"/>
  <c r="K11" i="5"/>
  <c r="K10" i="5"/>
  <c r="K9" i="5"/>
  <c r="K8" i="5"/>
  <c r="K7" i="5"/>
  <c r="K6" i="5"/>
  <c r="K5" i="5"/>
  <c r="L7" i="3"/>
  <c r="K7" i="3"/>
  <c r="L6" i="3"/>
  <c r="K6" i="3"/>
  <c r="L5" i="3"/>
  <c r="K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Auditor.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Nome / função.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Qualificação.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Conhecimento de desempenho energético (ISO 50003).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Âmbito que pode auditar.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Horas de auditoria de energia.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Avaliação.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Áreas excluídas (imparcialidade).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Auditoria remota?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Última formação.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Qualificado?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Auditoria.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Âmbito (9.2.2 b).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Objetivo.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Critérios (9.2.2 b).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Método.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Equipa.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Início.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Fim.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Relatório emitido?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Constatações.
[calculado]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Não conformidades.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Pergunta.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Auditoria.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 que foi verificado.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Resultado.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Constatação.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Auditoria.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Classificação.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Área.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Constatação.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NC aberta (RG-SGE-14).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J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K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Atrasada?
[calculado]</t>
        </r>
      </text>
    </comment>
  </commentList>
</comments>
</file>

<file path=xl/sharedStrings.xml><?xml version="1.0" encoding="utf-8"?>
<sst xmlns="http://schemas.openxmlformats.org/spreadsheetml/2006/main" count="651" uniqueCount="321">
  <si>
    <t>RG-SGE-12 — Auditoria Interna do SGE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</si>
  <si>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</si>
  <si>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</si>
  <si>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</si>
  <si>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RG-SGE-12</t>
  </si>
  <si>
    <t>Título</t>
  </si>
  <si>
    <t>Auditoria Interna do SGE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</si>
  <si>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</si>
  <si>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</si>
  <si>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</si>
  <si>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</si>
  <si>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</si>
  <si>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</si>
  <si>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</si>
  <si>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</si>
  <si>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</si>
  <si>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</si>
  <si>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</si>
  <si>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</si>
  <si>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</si>
  <si>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</si>
  <si>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</si>
  <si>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Auditores do SGE com competência em desempenho energético; programa 2026–2027; checklist por requisito da auditoria de diagnóstico AUD-E-2026-01 (16–18/11/2026) e 8 constatações (2 NC menores) com ligação às ações.</t>
  </si>
  <si>
    <t>Utilização / atividades</t>
  </si>
  <si>
    <t>Planear e realizar auditorias internas para saber se o SGE melhora o desempenho energético, está conforme e é eficaz; qualificar auditores; registar constatações.</t>
  </si>
  <si>
    <t>Requisitos ISO 50001:2018</t>
  </si>
  <si>
    <t>9.2.1 a) melhora o desempenho energético; b) conformidade (requisitos próprios, política, objetivos, metas, ISO 50001); c) implementado e mantido; 9.2.2 a)–f) programa, critérios e âmbito, objetividade e imparcialidade, relato, ações (10.1/10.2), evidência retida.</t>
  </si>
  <si>
    <t>NORMAS DE ORIENTAÇÃO E REFERÊNCIAS APLICADAS (orientação — não são requisitos auditáveis da ISO 50001)</t>
  </si>
  <si>
    <t>ISO 19011 (diretrizes para auditorias de sistemas de gestão)</t>
  </si>
  <si>
    <t>Programa baseado no risco, imparcialidade, amostragem, relato.</t>
  </si>
  <si>
    <t>ISO 50003:2021</t>
  </si>
  <si>
    <t>Competências de desempenho energético do auditor e verificação da melhoria demonstrada (usadas como critério interno).</t>
  </si>
  <si>
    <t>M-11 O processo de certificação (curso Bureau Veritas)</t>
  </si>
  <si>
    <t>Fases 1 e 2 da certificação e evidências esperadas.</t>
  </si>
  <si>
    <t>REQUISITOS LEGAIS E OUTROS REQUISITOS APLICADOS (4.2, 9.1.2 — lista completa no RG-SGE-11)</t>
  </si>
  <si>
    <t>DL 71/2008 (SGCIE)</t>
  </si>
  <si>
    <t>O auditor externo AUDE-03 é auditor energético credenciado pela DGEG.</t>
  </si>
  <si>
    <t>ESTRUTURA DO FICHEIRO</t>
  </si>
  <si>
    <t>Auditores</t>
  </si>
  <si>
    <t>Auditores do SGE (mesmas colunas do RG-SGQ-16).</t>
  </si>
  <si>
    <t>Programa_Auditorias</t>
  </si>
  <si>
    <t>Programa de auditorias do SGE (9.2.2 a) — mesmo nome do SGA/SGQ.</t>
  </si>
  <si>
    <t>Checklist</t>
  </si>
  <si>
    <t>Checklist da auditoria AUD-E-2026-01 por requisito.</t>
  </si>
  <si>
    <t>Constatacoes</t>
  </si>
  <si>
    <t>Constatações da auditoria interna (9.2.2 d–f).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</si>
  <si>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</si>
  <si>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</si>
  <si>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</si>
  <si>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</si>
  <si>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</si>
  <si>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</si>
  <si>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</si>
  <si>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</si>
  <si>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</si>
  <si>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</si>
  <si>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</si>
  <si>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</si>
  <si>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</si>
  <si>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</si>
  <si>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</si>
  <si>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</si>
  <si>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</si>
  <si>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</si>
  <si>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RG-SGQ-16 / RG-SGA-14</t>
  </si>
  <si>
    <t>Auditorias do SGQ e do SGA (mesmas tabelas).</t>
  </si>
  <si>
    <t>RG-SGE-14</t>
  </si>
  <si>
    <t>NC abertas (NCE-xx).</t>
  </si>
  <si>
    <t>RG-SGE-13</t>
  </si>
  <si>
    <t>Resultados relatados na revisão pela gestão.</t>
  </si>
  <si>
    <t>AUDITORES DO SGE (9.2.2 c)</t>
  </si>
  <si>
    <t>ID_Auditor</t>
  </si>
  <si>
    <t>Nome</t>
  </si>
  <si>
    <t>Qualificacao</t>
  </si>
  <si>
    <t>Conhecimento_Tecnico</t>
  </si>
  <si>
    <t>Pode_Auditar</t>
  </si>
  <si>
    <t>Horas_Auditoria</t>
  </si>
  <si>
    <t>Avaliacao_Desempenho</t>
  </si>
  <si>
    <t>Nao_Pode_Auditar</t>
  </si>
  <si>
    <t>Competencia_Remota</t>
  </si>
  <si>
    <t>Ultima_Formacao</t>
  </si>
  <si>
    <t>Qualificado</t>
  </si>
  <si>
    <t>AUDE-01</t>
  </si>
  <si>
    <t>Auditor(a) Interno(a) do SGQ (P-003 Carlos Mendes)</t>
  </si>
  <si>
    <t>Auditor interno SGQ/SGA; FOR-E-06 (24 h, 06/2026)</t>
  </si>
  <si>
    <t>ISO 50001, ISO 19011, noções de IDE/LBE</t>
  </si>
  <si>
    <t>Todos exceto LAB/QUA</t>
  </si>
  <si>
    <t>Bom</t>
  </si>
  <si>
    <t>Qualidade (auditoria da própria área)</t>
  </si>
  <si>
    <t>Sim</t>
  </si>
  <si>
    <t>AUDE-02</t>
  </si>
  <si>
    <t>Gestor do SGA / EHS</t>
  </si>
  <si>
    <t>Auditor ISO 14001; FOR-E-06</t>
  </si>
  <si>
    <t>Ligação SGA–SGE, requisitos legais</t>
  </si>
  <si>
    <t>Todos exceto GES</t>
  </si>
  <si>
    <t>SGA</t>
  </si>
  <si>
    <t>AUDE-03</t>
  </si>
  <si>
    <t>Consultor(a) externo(a) de energia (auditor SGCIE credenciado)</t>
  </si>
  <si>
    <t>Auditor energético credenciado DGEG; ISO 50001 lead auditor</t>
  </si>
  <si>
    <t>Revisão energética, M&amp;V, ISO 50003 (desempenho energético)</t>
  </si>
  <si>
    <t>Todos</t>
  </si>
  <si>
    <t>Muito bom</t>
  </si>
  <si>
    <t>—</t>
  </si>
  <si>
    <t>PROGRAMA DE AUDITORIAS DO SGE 2026–2027 (9.2.2 a)</t>
  </si>
  <si>
    <t>ID_Auditoria</t>
  </si>
  <si>
    <t>Ambito</t>
  </si>
  <si>
    <t>Objetivo</t>
  </si>
  <si>
    <t>Criterios</t>
  </si>
  <si>
    <t>Metodo</t>
  </si>
  <si>
    <t>Equipa_Auditora</t>
  </si>
  <si>
    <t>Data_Planeada</t>
  </si>
  <si>
    <t>Data_Real</t>
  </si>
  <si>
    <t>Relatorio_Emitido</t>
  </si>
  <si>
    <t>N_Constatacoes</t>
  </si>
  <si>
    <t>N_NC</t>
  </si>
  <si>
    <t>AUD-E-2026-01</t>
  </si>
  <si>
    <t>Todo o SGE (4 a 10) — auditoria de diagnóstico antes da certificação</t>
  </si>
  <si>
    <t>Verificar a conformidade com a ISO 50001:2018 + Amd 1:2024 e se o SGE melhora o desempenho energético (9.2.1 a–c)</t>
  </si>
  <si>
    <t>ISO 50001:2018 + Amd 1:2024; PR-SGE-01 a 12; DL 71/2008</t>
  </si>
  <si>
    <t>Entrevistas, amostragem de registos, visita aos USE, reexecução dos cálculos da LBE</t>
  </si>
  <si>
    <t>AUDE-03 (líder); AUDE-01</t>
  </si>
  <si>
    <t>Realizada</t>
  </si>
  <si>
    <t>AUD-E-2027-01</t>
  </si>
  <si>
    <t>Todo o SGE — auditoria de pré-certificação</t>
  </si>
  <si>
    <t>Confirmar o fecho das NC de 2026 e a melhoria demonstrada</t>
  </si>
  <si>
    <t>Idem</t>
  </si>
  <si>
    <t>Idem; foco em 8.2, 8.3, 9.1.1</t>
  </si>
  <si>
    <t>AUDE-03; AUDE-02</t>
  </si>
  <si>
    <t>Planeada</t>
  </si>
  <si>
    <t>AUD-E-2027-02</t>
  </si>
  <si>
    <t>Auditoria de certificação (fase 1 e 2) — organismo externo</t>
  </si>
  <si>
    <t>Certificação ISO 50001 (ISO 50003:2021)</t>
  </si>
  <si>
    <t>ISO 50001</t>
  </si>
  <si>
    <t>Organismo de certificação</t>
  </si>
  <si>
    <t>Externa</t>
  </si>
  <si>
    <t>CHECKLIST — AUD-E-2026-01 (16–18/11/2026)</t>
  </si>
  <si>
    <t>ID_Pergunta</t>
  </si>
  <si>
    <t>Clausula</t>
  </si>
  <si>
    <t>Questao_Auditoria</t>
  </si>
  <si>
    <t>Evidencia_Objetiva</t>
  </si>
  <si>
    <t>Resultado</t>
  </si>
  <si>
    <t>CHKE-01</t>
  </si>
  <si>
    <t>4.1–4.3</t>
  </si>
  <si>
    <t>Contexto, partes interessadas, âmbito e fronteiras (incl. alterações climáticas)</t>
  </si>
  <si>
    <t>RG-SGE-01 completo; âmbito mantido</t>
  </si>
  <si>
    <t>Conforme</t>
  </si>
  <si>
    <t>CHKE-02</t>
  </si>
  <si>
    <t>5.1</t>
  </si>
  <si>
    <t>Liderança: equipa de gestão de energia, IDE representativos, alterações</t>
  </si>
  <si>
    <t>EGE nomeada em 07/2026; LIDE-03/07/10/12/13 parciais</t>
  </si>
  <si>
    <t>CHKE-03</t>
  </si>
  <si>
    <t>5.2</t>
  </si>
  <si>
    <t>Política energética com a–g, comunicada e disponível</t>
  </si>
  <si>
    <t>POL-SGE-01 afixada; 3 operadores não a conheciam</t>
  </si>
  <si>
    <t>Oportunidade de melhoria</t>
  </si>
  <si>
    <t>CHKE-04</t>
  </si>
  <si>
    <t>6.1</t>
  </si>
  <si>
    <t>Riscos e oportunidades do SGE e avaliação da eficácia</t>
  </si>
  <si>
    <t>RG-SGE-03; RE-xx ainda não incluídos no RG-SGA-02</t>
  </si>
  <si>
    <t>CHKE-05</t>
  </si>
  <si>
    <t>6.2</t>
  </si>
  <si>
    <t>Objetivos, metas energéticas e planos com método de verificação</t>
  </si>
  <si>
    <t>6 objetivos SMART; 8 metas; 7 planos com IPMVP</t>
  </si>
  <si>
    <t>CHKE-06</t>
  </si>
  <si>
    <t>6.3</t>
  </si>
  <si>
    <t>Revisão energética: métodos e critérios mantidos, resultados retidos</t>
  </si>
  <si>
    <t>Critérios de USE claros; consumos por uso estimados</t>
  </si>
  <si>
    <t>CHKE-07</t>
  </si>
  <si>
    <t>6.4 / 6.5</t>
  </si>
  <si>
    <t>IDE e LBE: metodologia, normalização, validade estatística</t>
  </si>
  <si>
    <t>LBE-01 'válida com reserva' (p-valor dos graus-dia 0,27)</t>
  </si>
  <si>
    <t>Observação</t>
  </si>
  <si>
    <t>CHKE-08</t>
  </si>
  <si>
    <t>6.6</t>
  </si>
  <si>
    <t>Plano de recolha de dados; exatidão e repetibilidade</t>
  </si>
  <si>
    <t>Plano completo; submedição por instalar à data da auditoria</t>
  </si>
  <si>
    <t>CHKE-09</t>
  </si>
  <si>
    <t>7.2 / 7.3</t>
  </si>
  <si>
    <t>Competência e consciencialização das pessoas que afetam os USE</t>
  </si>
  <si>
    <t>Registos de formação; 83% dos operadores formados</t>
  </si>
  <si>
    <t>CHKE-10</t>
  </si>
  <si>
    <t>7.4</t>
  </si>
  <si>
    <t>Comunicação e processo de sugestões</t>
  </si>
  <si>
    <t>2 sugestões de setembro sem resposta em 15 dias</t>
  </si>
  <si>
    <t>CHKE-11</t>
  </si>
  <si>
    <t>7.5</t>
  </si>
  <si>
    <t>Informação documentada</t>
  </si>
  <si>
    <t>Controlo pelo PR-SGA-08; lista mestra do SGE incompleta</t>
  </si>
  <si>
    <t>CHKE-12</t>
  </si>
  <si>
    <t>8.1</t>
  </si>
  <si>
    <t>Critérios operacionais dos USE e controlo das alterações não intencionais</t>
  </si>
  <si>
    <t>ANI-02 (setpoint do chiller) tratado; CO-09/13 ainda não conformes</t>
  </si>
  <si>
    <t>CHKE-13</t>
  </si>
  <si>
    <t>8.2</t>
  </si>
  <si>
    <t>Projeto com avaliação do desempenho energético</t>
  </si>
  <si>
    <t>Linhas novas (PRJ-E-01) sem avaliação energética documentada</t>
  </si>
  <si>
    <t>Não conformidade menor</t>
  </si>
  <si>
    <t>CHKE-14</t>
  </si>
  <si>
    <t>8.3</t>
  </si>
  <si>
    <t>Aquisições: critérios, informação aos fornecedores, compra de energia</t>
  </si>
  <si>
    <t>Contrato de manutenção do chiller sem critérios energéticos (AQE-26-04)</t>
  </si>
  <si>
    <t>CHKE-15</t>
  </si>
  <si>
    <t>9.1.1</t>
  </si>
  <si>
    <t>IDE vs LBE; desvios significativos investigados</t>
  </si>
  <si>
    <t>DSV-26-01 a 03 investigados em ≤ 30 dias</t>
  </si>
  <si>
    <t>CHKE-16</t>
  </si>
  <si>
    <t>9.1.2</t>
  </si>
  <si>
    <t>Avaliação da conformidade legal (SGCIE)</t>
  </si>
  <si>
    <t>REP 2026 entregue a 28/10/2026</t>
  </si>
  <si>
    <t>CHKE-17</t>
  </si>
  <si>
    <t>9.3</t>
  </si>
  <si>
    <t>Revisão pela gestão</t>
  </si>
  <si>
    <t>Por realizar (agendada para 18/12/2026)</t>
  </si>
  <si>
    <t>Não aplicável</t>
  </si>
  <si>
    <t>CHKE-18</t>
  </si>
  <si>
    <t>10.1 / 10.2</t>
  </si>
  <si>
    <t>NC, ação corretiva e melhoria contínua demonstrada</t>
  </si>
  <si>
    <t>Melhoria ainda não demonstrada à data (novembro) — dados de out/2026 promissores</t>
  </si>
  <si>
    <t>CONSTATAÇÕES — AUD-E-2026-01</t>
  </si>
  <si>
    <t>ID_Constatacao</t>
  </si>
  <si>
    <t>Classificacao</t>
  </si>
  <si>
    <t>Processo_Auditado</t>
  </si>
  <si>
    <t>Constatacao</t>
  </si>
  <si>
    <t>ID_NC</t>
  </si>
  <si>
    <t>Prazo</t>
  </si>
  <si>
    <t>Alerta</t>
  </si>
  <si>
    <t>CONE-A-26-01</t>
  </si>
  <si>
    <t>Manutenção / engenharia</t>
  </si>
  <si>
    <t>O projeto das linhas novas (PRJ-E-01) não tem evidência de avaliação do desempenho energético ao longo da vida nem de critérios de controlo operacional.</t>
  </si>
  <si>
    <t>Atas de projeto e propostas sem análise energética nem LCC</t>
  </si>
  <si>
    <t>NCE-26-01</t>
  </si>
  <si>
    <t>Em curso</t>
  </si>
  <si>
    <t>CONE-A-26-02</t>
  </si>
  <si>
    <t>Compras</t>
  </si>
  <si>
    <t>O contrato de manutenção do chiller (serviço com impacto no USE-04) não informa o fornecedor de que o desempenho energético é critério nem tem especificação.</t>
  </si>
  <si>
    <t>Contrato AQE-26-04 de 15/06/2026</t>
  </si>
  <si>
    <t>NCE-26-02</t>
  </si>
  <si>
    <t>Fechada</t>
  </si>
  <si>
    <t>CONE-A-26-03</t>
  </si>
  <si>
    <t>Gestão de energia</t>
  </si>
  <si>
    <t>LBE-01 aprovada com um p-valor de 0,27 nos graus-dia: justificar ou rever com dados medidos.</t>
  </si>
  <si>
    <t>LBE_Modelo</t>
  </si>
  <si>
    <t>CONE-A-26-04</t>
  </si>
  <si>
    <t>Definir prazo de resposta às sugestões e cumpri-lo (2 sugestões de setembro sem resposta).</t>
  </si>
  <si>
    <t>tbl_sugestoes</t>
  </si>
  <si>
    <t>CONE-A-26-05</t>
  </si>
  <si>
    <t>Dados / TI</t>
  </si>
  <si>
    <t>Acelerar a submedição: os IDE por USE são estimados.</t>
  </si>
  <si>
    <t>tbl_contadores</t>
  </si>
  <si>
    <t>CONE-A-26-06</t>
  </si>
  <si>
    <t>Produção</t>
  </si>
  <si>
    <t>Reforçar a comunicação da política aos operadores do turno 3.</t>
  </si>
  <si>
    <t>Entrevistas no posto</t>
  </si>
  <si>
    <t>CONE-A-26-07</t>
  </si>
  <si>
    <t>Gestão de topo</t>
  </si>
  <si>
    <t>Incluir os riscos RE-01 a RE-07 no registo corporativo RG-SGA-02 (fonte única).</t>
  </si>
  <si>
    <t>RG-SGE-03</t>
  </si>
  <si>
    <t>CONE-A-26-08</t>
  </si>
  <si>
    <t>10.2</t>
  </si>
  <si>
    <t>A melhoria do desempenho energético ainda não estava demonstrada; manter o foco em ações de retorno rápido e na M&amp;V.</t>
  </si>
  <si>
    <t>LBE_Modelo (dados até out/2026)</t>
  </si>
  <si>
    <t>LISTAS CONTROLADAS (domínios de validação de dados) — editar aqui para alterar opções</t>
  </si>
  <si>
    <t>DataReferencia</t>
  </si>
  <si>
    <t>Não conformidade maior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</si>
  <si>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</si>
  <si>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</si>
  <si>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</si>
  <si>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</si>
  <si>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</si>
  <si>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</si>
  <si>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</si>
  <si>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</si>
  <si>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</si>
  <si>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tbl_auditores</t>
  </si>
  <si>
    <t>Texto</t>
  </si>
  <si>
    <t>Entrada</t>
  </si>
  <si>
    <t>Auditor.</t>
  </si>
  <si>
    <t>PK</t>
  </si>
  <si>
    <t>Nome / função.</t>
  </si>
  <si>
    <t>Qualificação.</t>
  </si>
  <si>
    <t>Conhecimento de desempenho energético (ISO 50003).</t>
  </si>
  <si>
    <t>Âmbito que pode auditar.</t>
  </si>
  <si>
    <t>Inteiro</t>
  </si>
  <si>
    <t>Horas de auditoria de energia.</t>
  </si>
  <si>
    <t>Avaliação.</t>
  </si>
  <si>
    <t>Áreas excluídas (imparcialidade).</t>
  </si>
  <si>
    <t>Auditoria remota?</t>
  </si>
  <si>
    <t>Data (aaaa-mm-dd)</t>
  </si>
  <si>
    <t>Última formação.</t>
  </si>
  <si>
    <t>Qualificado?</t>
  </si>
  <si>
    <t>tbl_programa_auditorias</t>
  </si>
  <si>
    <t>Auditoria.</t>
  </si>
  <si>
    <t>Âmbito (9.2.2 b).</t>
  </si>
  <si>
    <t>Objetivo.</t>
  </si>
  <si>
    <t>Critérios (9.2.2 b).</t>
  </si>
  <si>
    <t>Método.</t>
  </si>
  <si>
    <t>Equipa.</t>
  </si>
  <si>
    <t>Início.</t>
  </si>
  <si>
    <t>Fim.</t>
  </si>
  <si>
    <t>Não</t>
  </si>
  <si>
    <t>Estado.</t>
  </si>
  <si>
    <t>Relatório emitido?</t>
  </si>
  <si>
    <t>Calculado (fórmula)</t>
  </si>
  <si>
    <t>Constatações.</t>
  </si>
  <si>
    <t>Não conformidades.</t>
  </si>
  <si>
    <t>tbl_checklist_aud</t>
  </si>
  <si>
    <t>Pergunta.</t>
  </si>
  <si>
    <t>FK → tbl_programa_auditorias</t>
  </si>
  <si>
    <t>Requisito.</t>
  </si>
  <si>
    <t>O que foi verificado.</t>
  </si>
  <si>
    <t>Evidência.</t>
  </si>
  <si>
    <t>Resultado.</t>
  </si>
  <si>
    <t>Lista lst_Classificacao</t>
  </si>
  <si>
    <t>tbl_constatacoes</t>
  </si>
  <si>
    <t>Constatação.</t>
  </si>
  <si>
    <t>Classificação.</t>
  </si>
  <si>
    <t>Área.</t>
  </si>
  <si>
    <t>NC aberta (RG-SGE-14).</t>
  </si>
  <si>
    <t>FK → RG-SGE-14 tbl_nc</t>
  </si>
  <si>
    <t>Prazo.</t>
  </si>
  <si>
    <t>Atrasada?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</si>
</sst>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10"/>
      <color rgb="FF4A5A6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5" fillId="0" borderId="0" xfId="0" applyFont="1"/>
    <xf numFmtId="0" fontId="4" fillId="5" borderId="0" xfId="0" applyFont="1" applyFill="1"/>
    <xf numFmtId="0" fontId="0" fillId="5" borderId="0" xfId="0" applyFill="1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1" fontId="3" fillId="4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0" fontId="4" fillId="0" borderId="0" xfId="0" applyFont="1"/>
    <xf numFmtId="0" fontId="2" fillId="2" borderId="0" xfId="0" applyFont="1" applyFill="1" applyAlignment="1">
      <alignment horizontal="center" vertical="top" wrapText="1"/>
    </xf>
    <xf numFmtId="164" fontId="3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8"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uditores" displayName="tbl_auditores" ref="A4:K7">
  <autoFilter ref="A4:K7" xr:uid="{00000000-0009-0000-0100-000001000000}"/>
  <tableColumns count="11">
    <tableColumn id="1" xr3:uid="{00000000-0010-0000-0000-000001000000}" name="ID_Auditor"/>
    <tableColumn id="2" xr3:uid="{00000000-0010-0000-0000-000002000000}" name="Nome"/>
    <tableColumn id="3" xr3:uid="{00000000-0010-0000-0000-000003000000}" name="Qualificacao"/>
    <tableColumn id="4" xr3:uid="{00000000-0010-0000-0000-000004000000}" name="Conhecimento_Tecnico"/>
    <tableColumn id="5" xr3:uid="{00000000-0010-0000-0000-000005000000}" name="Pode_Auditar"/>
    <tableColumn id="6" xr3:uid="{00000000-0010-0000-0000-000006000000}" name="Horas_Auditoria"/>
    <tableColumn id="7" xr3:uid="{00000000-0010-0000-0000-000007000000}" name="Avaliacao_Desempenho"/>
    <tableColumn id="8" xr3:uid="{00000000-0010-0000-0000-000008000000}" name="Nao_Pode_Auditar"/>
    <tableColumn id="9" xr3:uid="{00000000-0010-0000-0000-000009000000}" name="Competencia_Remota"/>
    <tableColumn id="10" xr3:uid="{00000000-0010-0000-0000-00000A000000}" name="Ultima_Formacao"/>
    <tableColumn id="11" xr3:uid="{00000000-0010-0000-0000-00000B000000}" name="Qualificad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grama_auditorias" displayName="tbl_programa_auditorias" ref="A4:L7">
  <autoFilter ref="A4:L7" xr:uid="{00000000-0009-0000-0100-000002000000}"/>
  <tableColumns count="12">
    <tableColumn id="1" xr3:uid="{00000000-0010-0000-0100-000001000000}" name="ID_Auditoria"/>
    <tableColumn id="2" xr3:uid="{00000000-0010-0000-0100-000002000000}" name="Ambito"/>
    <tableColumn id="3" xr3:uid="{00000000-0010-0000-0100-000003000000}" name="Objetivo"/>
    <tableColumn id="4" xr3:uid="{00000000-0010-0000-0100-000004000000}" name="Criterios"/>
    <tableColumn id="5" xr3:uid="{00000000-0010-0000-0100-000005000000}" name="Metodo"/>
    <tableColumn id="6" xr3:uid="{00000000-0010-0000-0100-000006000000}" name="Equipa_Auditora"/>
    <tableColumn id="7" xr3:uid="{00000000-0010-0000-0100-000007000000}" name="Data_Planeada"/>
    <tableColumn id="8" xr3:uid="{00000000-0010-0000-0100-000008000000}" name="Data_Real"/>
    <tableColumn id="9" xr3:uid="{00000000-0010-0000-0100-000009000000}" name="Estado"/>
    <tableColumn id="10" xr3:uid="{00000000-0010-0000-0100-00000A000000}" name="Relatorio_Emitido"/>
    <tableColumn id="11" xr3:uid="{00000000-0010-0000-0100-00000B000000}" name="N_Constatacoes"/>
    <tableColumn id="12" xr3:uid="{00000000-0010-0000-0100-00000C000000}" name="N_NC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hecklist_aud" displayName="tbl_checklist_aud" ref="A4:F22">
  <autoFilter ref="A4:F22" xr:uid="{00000000-0009-0000-0100-000003000000}"/>
  <tableColumns count="6">
    <tableColumn id="1" xr3:uid="{00000000-0010-0000-0200-000001000000}" name="ID_Pergunta"/>
    <tableColumn id="2" xr3:uid="{00000000-0010-0000-0200-000002000000}" name="ID_Auditoria"/>
    <tableColumn id="3" xr3:uid="{00000000-0010-0000-0200-000003000000}" name="Clausula"/>
    <tableColumn id="4" xr3:uid="{00000000-0010-0000-0200-000004000000}" name="Questao_Auditoria"/>
    <tableColumn id="5" xr3:uid="{00000000-0010-0000-0200-000005000000}" name="Evidencia_Objetiva"/>
    <tableColumn id="6" xr3:uid="{00000000-0010-0000-0200-000006000000}" name="Resultad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onstatacoes" displayName="tbl_constatacoes" ref="A4:K12">
  <autoFilter ref="A4:K12" xr:uid="{00000000-0009-0000-0100-000004000000}"/>
  <tableColumns count="11">
    <tableColumn id="1" xr3:uid="{00000000-0010-0000-0300-000001000000}" name="ID_Constatacao"/>
    <tableColumn id="2" xr3:uid="{00000000-0010-0000-0300-000002000000}" name="ID_Auditoria"/>
    <tableColumn id="3" xr3:uid="{00000000-0010-0000-0300-000003000000}" name="Clausula"/>
    <tableColumn id="4" xr3:uid="{00000000-0010-0000-0300-000004000000}" name="Classificacao"/>
    <tableColumn id="5" xr3:uid="{00000000-0010-0000-0300-000005000000}" name="Processo_Auditado"/>
    <tableColumn id="6" xr3:uid="{00000000-0010-0000-0300-000006000000}" name="Constatacao"/>
    <tableColumn id="7" xr3:uid="{00000000-0010-0000-0300-000007000000}" name="Evidencia_Objetiva"/>
    <tableColumn id="8" xr3:uid="{00000000-0010-0000-0300-000008000000}" name="ID_NC"/>
    <tableColumn id="9" xr3:uid="{00000000-0010-0000-0300-000009000000}" name="Prazo"/>
    <tableColumn id="10" xr3:uid="{00000000-0010-0000-0300-00000A000000}" name="Estado"/>
    <tableColumn id="11" xr3:uid="{00000000-0010-0000-0300-00000B000000}" name="Alert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cionario" displayName="tbl_dicionario" ref="A1:I41">
  <autoFilter ref="A1:I41" xr:uid="{00000000-0009-0000-0100-000005000000}"/>
  <tableColumns count="9">
    <tableColumn id="1" xr3:uid="{00000000-0010-0000-0400-000001000000}" name="Folha"/>
    <tableColumn id="2" xr3:uid="{00000000-0010-0000-0400-000002000000}" name="Tabela"/>
    <tableColumn id="3" xr3:uid="{00000000-0010-0000-0400-000003000000}" name="Coluna"/>
    <tableColumn id="4" xr3:uid="{00000000-0010-0000-0400-000004000000}" name="Tipo"/>
    <tableColumn id="5" xr3:uid="{00000000-0010-0000-0400-000005000000}" name="Origem"/>
    <tableColumn id="6" xr3:uid="{00000000-0010-0000-0400-000006000000}" name="Descricao"/>
    <tableColumn id="7" xr3:uid="{00000000-0010-0000-0400-000007000000}" name="Dominio_Unidade"/>
    <tableColumn id="8" xr3:uid="{00000000-0010-0000-0400-000008000000}" name="Obrigatorio"/>
    <tableColumn id="9" xr3:uid="{00000000-0010-0000-04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26.4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39.6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8" spans="1:2" x14ac:dyDescent="0.3">
      <c r="A28" s="3" t="s">
        <v>37</v>
      </c>
      <c r="B28" s="4"/>
    </row>
    <row r="29" spans="1:2" x14ac:dyDescent="0.3">
      <c r="A29" s="5" t="s">
        <v>38</v>
      </c>
      <c r="B29" s="6" t="s">
        <v>39</v>
      </c>
    </row>
    <row r="30" spans="1:2" x14ac:dyDescent="0.3">
      <c r="A30" s="5" t="s">
        <v>40</v>
      </c>
      <c r="B30" s="6" t="s">
        <v>41</v>
      </c>
    </row>
    <row r="31" spans="1:2" x14ac:dyDescent="0.3">
      <c r="A31" s="5" t="s">
        <v>42</v>
      </c>
      <c r="B31" s="6" t="s">
        <v>43</v>
      </c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6" spans="1:2" x14ac:dyDescent="0.3">
      <c r="A36" s="3" t="s">
        <v>50</v>
      </c>
      <c r="B36" s="4"/>
    </row>
    <row r="37" spans="1:2" ht="26.4" x14ac:dyDescent="0.3">
      <c r="A37" s="5" t="s">
        <v>51</v>
      </c>
      <c r="B37" s="6" t="s">
        <v>52</v>
      </c>
    </row>
    <row r="38" spans="1:2" x14ac:dyDescent="0.3">
      <c r="A38" s="5" t="s">
        <v>53</v>
      </c>
      <c r="B38" s="6" t="s">
        <v>54</v>
      </c>
    </row>
    <row r="39" spans="1:2" x14ac:dyDescent="0.3">
      <c r="A39" s="5" t="s">
        <v>55</v>
      </c>
      <c r="B39" s="6" t="s">
        <v>56</v>
      </c>
    </row>
    <row r="40" spans="1:2" ht="26.4" x14ac:dyDescent="0.3">
      <c r="A40" s="5" t="s">
        <v>57</v>
      </c>
      <c r="B40" s="6" t="s">
        <v>58</v>
      </c>
    </row>
    <row r="41" spans="1:2" ht="26.4" x14ac:dyDescent="0.3">
      <c r="A41" s="5" t="s">
        <v>59</v>
      </c>
      <c r="B41" s="6" t="s">
        <v>60</v>
      </c>
    </row>
    <row r="42" spans="1:2" ht="52.8" x14ac:dyDescent="0.3">
      <c r="A42" s="5" t="s">
        <v>61</v>
      </c>
      <c r="B42" s="6" t="s">
        <v>62</v>
      </c>
    </row>
    <row r="44" spans="1:2" x14ac:dyDescent="0.3">
      <c r="A44" s="3" t="s">
        <v>63</v>
      </c>
      <c r="B44" s="4"/>
    </row>
    <row r="45" spans="1:2" x14ac:dyDescent="0.3">
      <c r="A45" s="5" t="s">
        <v>64</v>
      </c>
      <c r="B45" s="6" t="s">
        <v>65</v>
      </c>
    </row>
    <row r="46" spans="1:2" x14ac:dyDescent="0.3">
      <c r="A46" s="5" t="s">
        <v>66</v>
      </c>
      <c r="B46" s="6" t="s">
        <v>67</v>
      </c>
    </row>
    <row r="47" spans="1:2" x14ac:dyDescent="0.3">
      <c r="A47" s="5" t="s">
        <v>68</v>
      </c>
      <c r="B47" s="6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0" customWidth="1"/>
    <col min="3" max="3" width="34" customWidth="1"/>
    <col min="4" max="4" width="32" customWidth="1"/>
    <col min="5" max="5" width="20" customWidth="1"/>
    <col min="6" max="6" width="8" customWidth="1"/>
    <col min="7" max="7" width="10" customWidth="1"/>
    <col min="8" max="8" width="22" customWidth="1"/>
    <col min="9" max="9" width="8" customWidth="1"/>
    <col min="10" max="10" width="11" customWidth="1"/>
    <col min="11" max="11" width="8" customWidth="1"/>
  </cols>
  <sheetData>
    <row r="1" spans="1:11" ht="17.399999999999999" x14ac:dyDescent="0.3">
      <c r="A1" s="1" t="s">
        <v>70</v>
      </c>
    </row>
    <row r="4" spans="1:11" ht="39.6" x14ac:dyDescent="0.3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H4" s="8" t="s">
        <v>78</v>
      </c>
      <c r="I4" s="8" t="s">
        <v>79</v>
      </c>
      <c r="J4" s="8" t="s">
        <v>80</v>
      </c>
      <c r="K4" s="8" t="s">
        <v>81</v>
      </c>
    </row>
    <row r="5" spans="1:11" ht="30" customHeight="1" x14ac:dyDescent="0.3">
      <c r="A5" s="9" t="s">
        <v>82</v>
      </c>
      <c r="B5" s="9" t="s">
        <v>83</v>
      </c>
      <c r="C5" s="9" t="s">
        <v>84</v>
      </c>
      <c r="D5" s="9" t="s">
        <v>85</v>
      </c>
      <c r="E5" s="9" t="s">
        <v>86</v>
      </c>
      <c r="F5" s="10">
        <v>16</v>
      </c>
      <c r="G5" s="9" t="s">
        <v>87</v>
      </c>
      <c r="H5" s="9" t="s">
        <v>88</v>
      </c>
      <c r="I5" s="9" t="s">
        <v>89</v>
      </c>
      <c r="J5" s="11">
        <v>46176</v>
      </c>
      <c r="K5" s="9" t="s">
        <v>89</v>
      </c>
    </row>
    <row r="6" spans="1:11" ht="30" customHeight="1" x14ac:dyDescent="0.3">
      <c r="A6" s="9" t="s">
        <v>90</v>
      </c>
      <c r="B6" s="9" t="s">
        <v>91</v>
      </c>
      <c r="C6" s="9" t="s">
        <v>92</v>
      </c>
      <c r="D6" s="9" t="s">
        <v>93</v>
      </c>
      <c r="E6" s="9" t="s">
        <v>94</v>
      </c>
      <c r="F6" s="10">
        <v>12</v>
      </c>
      <c r="G6" s="9" t="s">
        <v>87</v>
      </c>
      <c r="H6" s="9" t="s">
        <v>95</v>
      </c>
      <c r="I6" s="9" t="s">
        <v>89</v>
      </c>
      <c r="J6" s="11">
        <v>46176</v>
      </c>
      <c r="K6" s="9" t="s">
        <v>89</v>
      </c>
    </row>
    <row r="7" spans="1:11" ht="30" customHeight="1" x14ac:dyDescent="0.3">
      <c r="A7" s="9" t="s">
        <v>96</v>
      </c>
      <c r="B7" s="9" t="s">
        <v>97</v>
      </c>
      <c r="C7" s="9" t="s">
        <v>98</v>
      </c>
      <c r="D7" s="9" t="s">
        <v>99</v>
      </c>
      <c r="E7" s="9" t="s">
        <v>100</v>
      </c>
      <c r="F7" s="10">
        <v>24</v>
      </c>
      <c r="G7" s="9" t="s">
        <v>101</v>
      </c>
      <c r="H7" s="9" t="s">
        <v>102</v>
      </c>
      <c r="I7" s="9" t="s">
        <v>89</v>
      </c>
      <c r="J7" s="11">
        <v>45981</v>
      </c>
      <c r="K7" s="9" t="s">
        <v>89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36" customWidth="1"/>
    <col min="3" max="3" width="40" customWidth="1"/>
    <col min="4" max="4" width="28" customWidth="1"/>
    <col min="5" max="5" width="34" customWidth="1"/>
    <col min="6" max="6" width="18" customWidth="1"/>
    <col min="7" max="8" width="11" customWidth="1"/>
    <col min="9" max="9" width="10" customWidth="1"/>
    <col min="10" max="11" width="8" customWidth="1"/>
    <col min="12" max="12" width="6" customWidth="1"/>
  </cols>
  <sheetData>
    <row r="1" spans="1:12" ht="17.399999999999999" x14ac:dyDescent="0.3">
      <c r="A1" s="1" t="s">
        <v>103</v>
      </c>
    </row>
    <row r="4" spans="1:12" ht="39.6" x14ac:dyDescent="0.3">
      <c r="A4" s="8" t="s">
        <v>104</v>
      </c>
      <c r="B4" s="8" t="s">
        <v>105</v>
      </c>
      <c r="C4" s="8" t="s">
        <v>106</v>
      </c>
      <c r="D4" s="8" t="s">
        <v>107</v>
      </c>
      <c r="E4" s="8" t="s">
        <v>108</v>
      </c>
      <c r="F4" s="8" t="s">
        <v>109</v>
      </c>
      <c r="G4" s="8" t="s">
        <v>110</v>
      </c>
      <c r="H4" s="8" t="s">
        <v>111</v>
      </c>
      <c r="I4" s="8" t="s">
        <v>14</v>
      </c>
      <c r="J4" s="8" t="s">
        <v>112</v>
      </c>
      <c r="K4" s="12" t="s">
        <v>113</v>
      </c>
      <c r="L4" s="12" t="s">
        <v>114</v>
      </c>
    </row>
    <row r="5" spans="1:12" ht="36" customHeight="1" x14ac:dyDescent="0.3">
      <c r="A5" s="9" t="s">
        <v>115</v>
      </c>
      <c r="B5" s="9" t="s">
        <v>116</v>
      </c>
      <c r="C5" s="9" t="s">
        <v>117</v>
      </c>
      <c r="D5" s="9" t="s">
        <v>118</v>
      </c>
      <c r="E5" s="9" t="s">
        <v>119</v>
      </c>
      <c r="F5" s="9" t="s">
        <v>120</v>
      </c>
      <c r="G5" s="11">
        <v>46342</v>
      </c>
      <c r="H5" s="11">
        <v>46344</v>
      </c>
      <c r="I5" s="9" t="s">
        <v>121</v>
      </c>
      <c r="J5" s="9" t="s">
        <v>89</v>
      </c>
      <c r="K5" s="13">
        <f>IF(A5="","",IF(I5="Realizada",COUNTA(tbl_constatacoes[ID_Constatacao]),0))</f>
        <v>8</v>
      </c>
      <c r="L5" s="13">
        <f>IF(A5="","",IF(I5="Realizada",COUNTIF(tbl_constatacoes[Classificacao],"Não conformidade*"),0))</f>
        <v>2</v>
      </c>
    </row>
    <row r="6" spans="1:12" ht="36" customHeight="1" x14ac:dyDescent="0.3">
      <c r="A6" s="9" t="s">
        <v>122</v>
      </c>
      <c r="B6" s="9" t="s">
        <v>123</v>
      </c>
      <c r="C6" s="9" t="s">
        <v>124</v>
      </c>
      <c r="D6" s="9" t="s">
        <v>125</v>
      </c>
      <c r="E6" s="9" t="s">
        <v>126</v>
      </c>
      <c r="F6" s="9" t="s">
        <v>127</v>
      </c>
      <c r="G6" s="11">
        <v>46517</v>
      </c>
      <c r="H6" s="11"/>
      <c r="I6" s="9" t="s">
        <v>128</v>
      </c>
      <c r="J6" s="9" t="s">
        <v>102</v>
      </c>
      <c r="K6" s="13">
        <f>IF(A6="","",IF(I6="Realizada",COUNTA(tbl_constatacoes[ID_Constatacao]),0))</f>
        <v>0</v>
      </c>
      <c r="L6" s="13">
        <f>IF(A6="","",IF(I6="Realizada",COUNTIF(tbl_constatacoes[Classificacao],"Não conformidade*"),0))</f>
        <v>0</v>
      </c>
    </row>
    <row r="7" spans="1:12" ht="36" customHeight="1" x14ac:dyDescent="0.3">
      <c r="A7" s="9" t="s">
        <v>129</v>
      </c>
      <c r="B7" s="9" t="s">
        <v>130</v>
      </c>
      <c r="C7" s="9" t="s">
        <v>131</v>
      </c>
      <c r="D7" s="9" t="s">
        <v>132</v>
      </c>
      <c r="E7" s="9" t="s">
        <v>133</v>
      </c>
      <c r="F7" s="9" t="s">
        <v>134</v>
      </c>
      <c r="G7" s="11">
        <v>46650</v>
      </c>
      <c r="H7" s="11"/>
      <c r="I7" s="9" t="s">
        <v>128</v>
      </c>
      <c r="J7" s="9" t="s">
        <v>102</v>
      </c>
      <c r="K7" s="13">
        <f>IF(A7="","",IF(I7="Realizada",COUNTA(tbl_constatacoes[ID_Constatacao]),0))</f>
        <v>0</v>
      </c>
      <c r="L7" s="13">
        <f>IF(A7="","",IF(I7="Realizada",COUNTIF(tbl_constatacoes[Classificacao],"Não conformidade*"),0))</f>
        <v>0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3" customWidth="1"/>
    <col min="3" max="3" width="10" customWidth="1"/>
    <col min="4" max="5" width="50" customWidth="1"/>
    <col min="6" max="6" width="18" customWidth="1"/>
  </cols>
  <sheetData>
    <row r="1" spans="1:6" ht="17.399999999999999" x14ac:dyDescent="0.3">
      <c r="A1" s="1" t="s">
        <v>135</v>
      </c>
    </row>
    <row r="4" spans="1:6" ht="26.4" x14ac:dyDescent="0.3">
      <c r="A4" s="8" t="s">
        <v>136</v>
      </c>
      <c r="B4" s="8" t="s">
        <v>104</v>
      </c>
      <c r="C4" s="8" t="s">
        <v>137</v>
      </c>
      <c r="D4" s="8" t="s">
        <v>138</v>
      </c>
      <c r="E4" s="8" t="s">
        <v>139</v>
      </c>
      <c r="F4" s="8" t="s">
        <v>140</v>
      </c>
    </row>
    <row r="5" spans="1:6" ht="30" customHeight="1" x14ac:dyDescent="0.3">
      <c r="A5" s="9" t="s">
        <v>141</v>
      </c>
      <c r="B5" s="9" t="s">
        <v>115</v>
      </c>
      <c r="C5" s="9" t="s">
        <v>142</v>
      </c>
      <c r="D5" s="9" t="s">
        <v>143</v>
      </c>
      <c r="E5" s="9" t="s">
        <v>144</v>
      </c>
      <c r="F5" s="9" t="s">
        <v>145</v>
      </c>
    </row>
    <row r="6" spans="1:6" ht="30" customHeight="1" x14ac:dyDescent="0.3">
      <c r="A6" s="9" t="s">
        <v>146</v>
      </c>
      <c r="B6" s="9" t="s">
        <v>115</v>
      </c>
      <c r="C6" s="9" t="s">
        <v>147</v>
      </c>
      <c r="D6" s="9" t="s">
        <v>148</v>
      </c>
      <c r="E6" s="9" t="s">
        <v>149</v>
      </c>
      <c r="F6" s="9" t="s">
        <v>145</v>
      </c>
    </row>
    <row r="7" spans="1:6" ht="30" customHeight="1" x14ac:dyDescent="0.3">
      <c r="A7" s="9" t="s">
        <v>150</v>
      </c>
      <c r="B7" s="9" t="s">
        <v>115</v>
      </c>
      <c r="C7" s="9" t="s">
        <v>151</v>
      </c>
      <c r="D7" s="9" t="s">
        <v>152</v>
      </c>
      <c r="E7" s="9" t="s">
        <v>153</v>
      </c>
      <c r="F7" s="9" t="s">
        <v>154</v>
      </c>
    </row>
    <row r="8" spans="1:6" ht="30" customHeight="1" x14ac:dyDescent="0.3">
      <c r="A8" s="9" t="s">
        <v>155</v>
      </c>
      <c r="B8" s="9" t="s">
        <v>115</v>
      </c>
      <c r="C8" s="9" t="s">
        <v>156</v>
      </c>
      <c r="D8" s="9" t="s">
        <v>157</v>
      </c>
      <c r="E8" s="9" t="s">
        <v>158</v>
      </c>
      <c r="F8" s="9" t="s">
        <v>154</v>
      </c>
    </row>
    <row r="9" spans="1:6" ht="30" customHeight="1" x14ac:dyDescent="0.3">
      <c r="A9" s="9" t="s">
        <v>159</v>
      </c>
      <c r="B9" s="9" t="s">
        <v>115</v>
      </c>
      <c r="C9" s="9" t="s">
        <v>160</v>
      </c>
      <c r="D9" s="9" t="s">
        <v>161</v>
      </c>
      <c r="E9" s="9" t="s">
        <v>162</v>
      </c>
      <c r="F9" s="9" t="s">
        <v>145</v>
      </c>
    </row>
    <row r="10" spans="1:6" ht="30" customHeight="1" x14ac:dyDescent="0.3">
      <c r="A10" s="9" t="s">
        <v>163</v>
      </c>
      <c r="B10" s="9" t="s">
        <v>115</v>
      </c>
      <c r="C10" s="9" t="s">
        <v>164</v>
      </c>
      <c r="D10" s="9" t="s">
        <v>165</v>
      </c>
      <c r="E10" s="9" t="s">
        <v>166</v>
      </c>
      <c r="F10" s="9" t="s">
        <v>145</v>
      </c>
    </row>
    <row r="11" spans="1:6" ht="30" customHeight="1" x14ac:dyDescent="0.3">
      <c r="A11" s="9" t="s">
        <v>167</v>
      </c>
      <c r="B11" s="9" t="s">
        <v>115</v>
      </c>
      <c r="C11" s="9" t="s">
        <v>168</v>
      </c>
      <c r="D11" s="9" t="s">
        <v>169</v>
      </c>
      <c r="E11" s="9" t="s">
        <v>170</v>
      </c>
      <c r="F11" s="9" t="s">
        <v>171</v>
      </c>
    </row>
    <row r="12" spans="1:6" ht="30" customHeight="1" x14ac:dyDescent="0.3">
      <c r="A12" s="9" t="s">
        <v>172</v>
      </c>
      <c r="B12" s="9" t="s">
        <v>115</v>
      </c>
      <c r="C12" s="9" t="s">
        <v>173</v>
      </c>
      <c r="D12" s="9" t="s">
        <v>174</v>
      </c>
      <c r="E12" s="9" t="s">
        <v>175</v>
      </c>
      <c r="F12" s="9" t="s">
        <v>154</v>
      </c>
    </row>
    <row r="13" spans="1:6" ht="30" customHeight="1" x14ac:dyDescent="0.3">
      <c r="A13" s="9" t="s">
        <v>176</v>
      </c>
      <c r="B13" s="9" t="s">
        <v>115</v>
      </c>
      <c r="C13" s="9" t="s">
        <v>177</v>
      </c>
      <c r="D13" s="9" t="s">
        <v>178</v>
      </c>
      <c r="E13" s="9" t="s">
        <v>179</v>
      </c>
      <c r="F13" s="9" t="s">
        <v>145</v>
      </c>
    </row>
    <row r="14" spans="1:6" ht="30" customHeight="1" x14ac:dyDescent="0.3">
      <c r="A14" s="9" t="s">
        <v>180</v>
      </c>
      <c r="B14" s="9" t="s">
        <v>115</v>
      </c>
      <c r="C14" s="9" t="s">
        <v>181</v>
      </c>
      <c r="D14" s="9" t="s">
        <v>182</v>
      </c>
      <c r="E14" s="9" t="s">
        <v>183</v>
      </c>
      <c r="F14" s="9" t="s">
        <v>154</v>
      </c>
    </row>
    <row r="15" spans="1:6" ht="30" customHeight="1" x14ac:dyDescent="0.3">
      <c r="A15" s="9" t="s">
        <v>184</v>
      </c>
      <c r="B15" s="9" t="s">
        <v>115</v>
      </c>
      <c r="C15" s="9" t="s">
        <v>185</v>
      </c>
      <c r="D15" s="9" t="s">
        <v>186</v>
      </c>
      <c r="E15" s="9" t="s">
        <v>187</v>
      </c>
      <c r="F15" s="9" t="s">
        <v>145</v>
      </c>
    </row>
    <row r="16" spans="1:6" ht="30" customHeight="1" x14ac:dyDescent="0.3">
      <c r="A16" s="9" t="s">
        <v>188</v>
      </c>
      <c r="B16" s="9" t="s">
        <v>115</v>
      </c>
      <c r="C16" s="9" t="s">
        <v>189</v>
      </c>
      <c r="D16" s="9" t="s">
        <v>190</v>
      </c>
      <c r="E16" s="9" t="s">
        <v>191</v>
      </c>
      <c r="F16" s="9" t="s">
        <v>145</v>
      </c>
    </row>
    <row r="17" spans="1:6" ht="30" customHeight="1" x14ac:dyDescent="0.3">
      <c r="A17" s="9" t="s">
        <v>192</v>
      </c>
      <c r="B17" s="9" t="s">
        <v>115</v>
      </c>
      <c r="C17" s="9" t="s">
        <v>193</v>
      </c>
      <c r="D17" s="9" t="s">
        <v>194</v>
      </c>
      <c r="E17" s="9" t="s">
        <v>195</v>
      </c>
      <c r="F17" s="9" t="s">
        <v>196</v>
      </c>
    </row>
    <row r="18" spans="1:6" ht="30" customHeight="1" x14ac:dyDescent="0.3">
      <c r="A18" s="9" t="s">
        <v>197</v>
      </c>
      <c r="B18" s="9" t="s">
        <v>115</v>
      </c>
      <c r="C18" s="9" t="s">
        <v>198</v>
      </c>
      <c r="D18" s="9" t="s">
        <v>199</v>
      </c>
      <c r="E18" s="9" t="s">
        <v>200</v>
      </c>
      <c r="F18" s="9" t="s">
        <v>196</v>
      </c>
    </row>
    <row r="19" spans="1:6" ht="30" customHeight="1" x14ac:dyDescent="0.3">
      <c r="A19" s="9" t="s">
        <v>201</v>
      </c>
      <c r="B19" s="9" t="s">
        <v>115</v>
      </c>
      <c r="C19" s="9" t="s">
        <v>202</v>
      </c>
      <c r="D19" s="9" t="s">
        <v>203</v>
      </c>
      <c r="E19" s="9" t="s">
        <v>204</v>
      </c>
      <c r="F19" s="9" t="s">
        <v>145</v>
      </c>
    </row>
    <row r="20" spans="1:6" ht="30" customHeight="1" x14ac:dyDescent="0.3">
      <c r="A20" s="9" t="s">
        <v>205</v>
      </c>
      <c r="B20" s="9" t="s">
        <v>115</v>
      </c>
      <c r="C20" s="9" t="s">
        <v>206</v>
      </c>
      <c r="D20" s="9" t="s">
        <v>207</v>
      </c>
      <c r="E20" s="9" t="s">
        <v>208</v>
      </c>
      <c r="F20" s="9" t="s">
        <v>145</v>
      </c>
    </row>
    <row r="21" spans="1:6" ht="30" customHeight="1" x14ac:dyDescent="0.3">
      <c r="A21" s="9" t="s">
        <v>209</v>
      </c>
      <c r="B21" s="9" t="s">
        <v>115</v>
      </c>
      <c r="C21" s="9" t="s">
        <v>210</v>
      </c>
      <c r="D21" s="9" t="s">
        <v>211</v>
      </c>
      <c r="E21" s="9" t="s">
        <v>212</v>
      </c>
      <c r="F21" s="9" t="s">
        <v>213</v>
      </c>
    </row>
    <row r="22" spans="1:6" ht="30" customHeight="1" x14ac:dyDescent="0.3">
      <c r="A22" s="9" t="s">
        <v>214</v>
      </c>
      <c r="B22" s="9" t="s">
        <v>115</v>
      </c>
      <c r="C22" s="9" t="s">
        <v>215</v>
      </c>
      <c r="D22" s="9" t="s">
        <v>216</v>
      </c>
      <c r="E22" s="9" t="s">
        <v>217</v>
      </c>
      <c r="F22" s="9" t="s">
        <v>171</v>
      </c>
    </row>
  </sheetData>
  <conditionalFormatting sqref="F5:F222">
    <cfRule type="expression" dxfId="7" priority="1">
      <formula>ISNUMBER(SEARCH("Não conformidade",F5))</formula>
    </cfRule>
    <cfRule type="expression" dxfId="6" priority="2">
      <formula>ISNUMBER(SEARCH("Observação",F5))</formula>
    </cfRule>
    <cfRule type="expression" dxfId="5" priority="3">
      <formula>ISNUMBER(SEARCH("Oportunidade",F5))</formula>
    </cfRule>
    <cfRule type="expression" dxfId="4" priority="4">
      <formula>ISNUMBER(SEARCH("Conforme",F5))</formula>
    </cfRule>
  </conditionalFormatting>
  <dataValidations count="1">
    <dataValidation type="list" allowBlank="1" showErrorMessage="1" errorTitle="Valor inválido" error="Valor fora da lista controlada (ver folha Listas)." sqref="F5:F222" xr:uid="{00000000-0002-0000-0300-000000000000}">
      <formula1>lst_Classificacao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13" customWidth="1"/>
    <col min="3" max="3" width="9" customWidth="1"/>
    <col min="4" max="5" width="18" customWidth="1"/>
    <col min="6" max="6" width="60" customWidth="1"/>
    <col min="7" max="7" width="30" customWidth="1"/>
    <col min="8" max="8" width="9" customWidth="1"/>
    <col min="9" max="9" width="11" customWidth="1"/>
    <col min="10" max="11" width="9" customWidth="1"/>
  </cols>
  <sheetData>
    <row r="1" spans="1:11" ht="17.399999999999999" x14ac:dyDescent="0.3">
      <c r="A1" s="1" t="s">
        <v>218</v>
      </c>
    </row>
    <row r="4" spans="1:11" ht="26.4" x14ac:dyDescent="0.3">
      <c r="A4" s="8" t="s">
        <v>219</v>
      </c>
      <c r="B4" s="8" t="s">
        <v>104</v>
      </c>
      <c r="C4" s="8" t="s">
        <v>137</v>
      </c>
      <c r="D4" s="8" t="s">
        <v>220</v>
      </c>
      <c r="E4" s="8" t="s">
        <v>221</v>
      </c>
      <c r="F4" s="8" t="s">
        <v>222</v>
      </c>
      <c r="G4" s="8" t="s">
        <v>139</v>
      </c>
      <c r="H4" s="8" t="s">
        <v>223</v>
      </c>
      <c r="I4" s="8" t="s">
        <v>224</v>
      </c>
      <c r="J4" s="8" t="s">
        <v>14</v>
      </c>
      <c r="K4" s="12" t="s">
        <v>225</v>
      </c>
    </row>
    <row r="5" spans="1:11" ht="45" customHeight="1" x14ac:dyDescent="0.3">
      <c r="A5" s="9" t="s">
        <v>226</v>
      </c>
      <c r="B5" s="9" t="s">
        <v>115</v>
      </c>
      <c r="C5" s="9" t="s">
        <v>193</v>
      </c>
      <c r="D5" s="9" t="s">
        <v>196</v>
      </c>
      <c r="E5" s="9" t="s">
        <v>227</v>
      </c>
      <c r="F5" s="9" t="s">
        <v>228</v>
      </c>
      <c r="G5" s="9" t="s">
        <v>229</v>
      </c>
      <c r="H5" s="9" t="s">
        <v>230</v>
      </c>
      <c r="I5" s="11">
        <v>46446</v>
      </c>
      <c r="J5" s="9" t="s">
        <v>231</v>
      </c>
      <c r="K5" s="14" t="str">
        <f t="shared" ref="K5:K12" si="0">IF(A5="","",IF(AND(J5&lt;&gt;"Fechada",I5&lt;DataRef),"Atrasada",""))</f>
        <v/>
      </c>
    </row>
    <row r="6" spans="1:11" ht="45" customHeight="1" x14ac:dyDescent="0.3">
      <c r="A6" s="9" t="s">
        <v>232</v>
      </c>
      <c r="B6" s="9" t="s">
        <v>115</v>
      </c>
      <c r="C6" s="9" t="s">
        <v>198</v>
      </c>
      <c r="D6" s="9" t="s">
        <v>196</v>
      </c>
      <c r="E6" s="9" t="s">
        <v>233</v>
      </c>
      <c r="F6" s="9" t="s">
        <v>234</v>
      </c>
      <c r="G6" s="9" t="s">
        <v>235</v>
      </c>
      <c r="H6" s="9" t="s">
        <v>236</v>
      </c>
      <c r="I6" s="11">
        <v>46387</v>
      </c>
      <c r="J6" s="9" t="s">
        <v>237</v>
      </c>
      <c r="K6" s="14" t="str">
        <f t="shared" si="0"/>
        <v/>
      </c>
    </row>
    <row r="7" spans="1:11" ht="45" customHeight="1" x14ac:dyDescent="0.3">
      <c r="A7" s="9" t="s">
        <v>238</v>
      </c>
      <c r="B7" s="9" t="s">
        <v>115</v>
      </c>
      <c r="C7" s="9" t="s">
        <v>168</v>
      </c>
      <c r="D7" s="9" t="s">
        <v>171</v>
      </c>
      <c r="E7" s="9" t="s">
        <v>239</v>
      </c>
      <c r="F7" s="9" t="s">
        <v>240</v>
      </c>
      <c r="G7" s="9" t="s">
        <v>241</v>
      </c>
      <c r="H7" s="9" t="s">
        <v>102</v>
      </c>
      <c r="I7" s="11">
        <v>46599</v>
      </c>
      <c r="J7" s="9" t="s">
        <v>231</v>
      </c>
      <c r="K7" s="14" t="str">
        <f t="shared" si="0"/>
        <v/>
      </c>
    </row>
    <row r="8" spans="1:11" ht="45" customHeight="1" x14ac:dyDescent="0.3">
      <c r="A8" s="9" t="s">
        <v>242</v>
      </c>
      <c r="B8" s="9" t="s">
        <v>115</v>
      </c>
      <c r="C8" s="9" t="s">
        <v>181</v>
      </c>
      <c r="D8" s="9" t="s">
        <v>154</v>
      </c>
      <c r="E8" s="9" t="s">
        <v>239</v>
      </c>
      <c r="F8" s="9" t="s">
        <v>243</v>
      </c>
      <c r="G8" s="9" t="s">
        <v>244</v>
      </c>
      <c r="H8" s="9" t="s">
        <v>102</v>
      </c>
      <c r="I8" s="11">
        <v>46387</v>
      </c>
      <c r="J8" s="9" t="s">
        <v>237</v>
      </c>
      <c r="K8" s="14" t="str">
        <f t="shared" si="0"/>
        <v/>
      </c>
    </row>
    <row r="9" spans="1:11" ht="45" customHeight="1" x14ac:dyDescent="0.3">
      <c r="A9" s="9" t="s">
        <v>245</v>
      </c>
      <c r="B9" s="9" t="s">
        <v>115</v>
      </c>
      <c r="C9" s="9" t="s">
        <v>173</v>
      </c>
      <c r="D9" s="9" t="s">
        <v>154</v>
      </c>
      <c r="E9" s="9" t="s">
        <v>246</v>
      </c>
      <c r="F9" s="9" t="s">
        <v>247</v>
      </c>
      <c r="G9" s="9" t="s">
        <v>248</v>
      </c>
      <c r="H9" s="9" t="s">
        <v>102</v>
      </c>
      <c r="I9" s="11">
        <v>46371</v>
      </c>
      <c r="J9" s="9" t="s">
        <v>237</v>
      </c>
      <c r="K9" s="14" t="str">
        <f t="shared" si="0"/>
        <v/>
      </c>
    </row>
    <row r="10" spans="1:11" ht="45" customHeight="1" x14ac:dyDescent="0.3">
      <c r="A10" s="9" t="s">
        <v>249</v>
      </c>
      <c r="B10" s="9" t="s">
        <v>115</v>
      </c>
      <c r="C10" s="9" t="s">
        <v>151</v>
      </c>
      <c r="D10" s="9" t="s">
        <v>154</v>
      </c>
      <c r="E10" s="9" t="s">
        <v>250</v>
      </c>
      <c r="F10" s="9" t="s">
        <v>251</v>
      </c>
      <c r="G10" s="9" t="s">
        <v>252</v>
      </c>
      <c r="H10" s="9" t="s">
        <v>102</v>
      </c>
      <c r="I10" s="11">
        <v>46374</v>
      </c>
      <c r="J10" s="9" t="s">
        <v>237</v>
      </c>
      <c r="K10" s="14" t="str">
        <f t="shared" si="0"/>
        <v/>
      </c>
    </row>
    <row r="11" spans="1:11" ht="45" customHeight="1" x14ac:dyDescent="0.3">
      <c r="A11" s="9" t="s">
        <v>253</v>
      </c>
      <c r="B11" s="9" t="s">
        <v>115</v>
      </c>
      <c r="C11" s="9" t="s">
        <v>156</v>
      </c>
      <c r="D11" s="9" t="s">
        <v>154</v>
      </c>
      <c r="E11" s="9" t="s">
        <v>254</v>
      </c>
      <c r="F11" s="9" t="s">
        <v>255</v>
      </c>
      <c r="G11" s="9" t="s">
        <v>256</v>
      </c>
      <c r="H11" s="9" t="s">
        <v>102</v>
      </c>
      <c r="I11" s="11">
        <v>46477</v>
      </c>
      <c r="J11" s="9" t="s">
        <v>231</v>
      </c>
      <c r="K11" s="14" t="str">
        <f t="shared" si="0"/>
        <v/>
      </c>
    </row>
    <row r="12" spans="1:11" ht="45" customHeight="1" x14ac:dyDescent="0.3">
      <c r="A12" s="9" t="s">
        <v>257</v>
      </c>
      <c r="B12" s="9" t="s">
        <v>115</v>
      </c>
      <c r="C12" s="9" t="s">
        <v>258</v>
      </c>
      <c r="D12" s="9" t="s">
        <v>171</v>
      </c>
      <c r="E12" s="9" t="s">
        <v>239</v>
      </c>
      <c r="F12" s="9" t="s">
        <v>259</v>
      </c>
      <c r="G12" s="9" t="s">
        <v>260</v>
      </c>
      <c r="H12" s="9" t="s">
        <v>102</v>
      </c>
      <c r="I12" s="11">
        <v>46387</v>
      </c>
      <c r="J12" s="9" t="s">
        <v>237</v>
      </c>
      <c r="K12" s="14" t="str">
        <f t="shared" si="0"/>
        <v/>
      </c>
    </row>
  </sheetData>
  <conditionalFormatting sqref="D5:D212">
    <cfRule type="expression" dxfId="3" priority="1">
      <formula>ISNUMBER(SEARCH("Não conformidade",D5))</formula>
    </cfRule>
    <cfRule type="expression" dxfId="2" priority="2">
      <formula>ISNUMBER(SEARCH("Observação",D5))</formula>
    </cfRule>
    <cfRule type="expression" dxfId="1" priority="3">
      <formula>ISNUMBER(SEARCH("Oportunidade",D5))</formula>
    </cfRule>
  </conditionalFormatting>
  <conditionalFormatting sqref="K5:K212">
    <cfRule type="expression" dxfId="0" priority="4">
      <formula>ISNUMBER(SEARCH("Atrasada",K5))</formula>
    </cfRule>
  </conditionalFormatting>
  <dataValidations count="1">
    <dataValidation type="list" allowBlank="1" showErrorMessage="1" errorTitle="Valor inválido" error="Valor fora da lista controlada (ver folha Listas)." sqref="D5:D212" xr:uid="{00000000-0002-0000-0400-000000000000}">
      <formula1>lst_Classificacao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26" customWidth="1"/>
  </cols>
  <sheetData>
    <row r="1" spans="1:2" x14ac:dyDescent="0.3">
      <c r="A1" s="15" t="s">
        <v>261</v>
      </c>
    </row>
    <row r="2" spans="1:2" x14ac:dyDescent="0.3">
      <c r="A2" s="16" t="s">
        <v>262</v>
      </c>
      <c r="B2" s="16" t="s">
        <v>220</v>
      </c>
    </row>
    <row r="3" spans="1:2" x14ac:dyDescent="0.3">
      <c r="A3" s="17">
        <v>46387</v>
      </c>
      <c r="B3" s="6" t="s">
        <v>263</v>
      </c>
    </row>
    <row r="4" spans="1:2" x14ac:dyDescent="0.3">
      <c r="B4" s="6" t="s">
        <v>196</v>
      </c>
    </row>
    <row r="5" spans="1:2" x14ac:dyDescent="0.3">
      <c r="B5" s="6" t="s">
        <v>171</v>
      </c>
    </row>
    <row r="6" spans="1:2" x14ac:dyDescent="0.3">
      <c r="B6" s="6" t="s">
        <v>154</v>
      </c>
    </row>
    <row r="7" spans="1:2" x14ac:dyDescent="0.3">
      <c r="B7" s="6" t="s">
        <v>145</v>
      </c>
    </row>
    <row r="8" spans="1:2" x14ac:dyDescent="0.3">
      <c r="B8" s="6" t="s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264</v>
      </c>
      <c r="B1" s="8" t="s">
        <v>265</v>
      </c>
      <c r="C1" s="8" t="s">
        <v>266</v>
      </c>
      <c r="D1" s="8" t="s">
        <v>267</v>
      </c>
      <c r="E1" s="8" t="s">
        <v>268</v>
      </c>
      <c r="F1" s="8" t="s">
        <v>269</v>
      </c>
      <c r="G1" s="8" t="s">
        <v>270</v>
      </c>
      <c r="H1" s="8" t="s">
        <v>271</v>
      </c>
      <c r="I1" s="8" t="s">
        <v>272</v>
      </c>
    </row>
    <row r="2" spans="1:9" x14ac:dyDescent="0.3">
      <c r="A2" s="18" t="s">
        <v>38</v>
      </c>
      <c r="B2" s="18" t="s">
        <v>273</v>
      </c>
      <c r="C2" s="18" t="s">
        <v>71</v>
      </c>
      <c r="D2" s="18" t="s">
        <v>274</v>
      </c>
      <c r="E2" s="18" t="s">
        <v>275</v>
      </c>
      <c r="F2" s="18" t="s">
        <v>276</v>
      </c>
      <c r="G2" s="18"/>
      <c r="H2" s="18" t="s">
        <v>89</v>
      </c>
      <c r="I2" s="18" t="s">
        <v>277</v>
      </c>
    </row>
    <row r="3" spans="1:9" x14ac:dyDescent="0.3">
      <c r="A3" s="18" t="s">
        <v>38</v>
      </c>
      <c r="B3" s="18" t="s">
        <v>273</v>
      </c>
      <c r="C3" s="18" t="s">
        <v>72</v>
      </c>
      <c r="D3" s="18" t="s">
        <v>274</v>
      </c>
      <c r="E3" s="18" t="s">
        <v>275</v>
      </c>
      <c r="F3" s="18" t="s">
        <v>278</v>
      </c>
      <c r="G3" s="18"/>
      <c r="H3" s="18" t="s">
        <v>89</v>
      </c>
      <c r="I3" s="18"/>
    </row>
    <row r="4" spans="1:9" x14ac:dyDescent="0.3">
      <c r="A4" s="18" t="s">
        <v>38</v>
      </c>
      <c r="B4" s="18" t="s">
        <v>273</v>
      </c>
      <c r="C4" s="18" t="s">
        <v>73</v>
      </c>
      <c r="D4" s="18" t="s">
        <v>274</v>
      </c>
      <c r="E4" s="18" t="s">
        <v>275</v>
      </c>
      <c r="F4" s="18" t="s">
        <v>279</v>
      </c>
      <c r="G4" s="18"/>
      <c r="H4" s="18" t="s">
        <v>89</v>
      </c>
      <c r="I4" s="18"/>
    </row>
    <row r="5" spans="1:9" x14ac:dyDescent="0.3">
      <c r="A5" s="18" t="s">
        <v>38</v>
      </c>
      <c r="B5" s="18" t="s">
        <v>273</v>
      </c>
      <c r="C5" s="18" t="s">
        <v>74</v>
      </c>
      <c r="D5" s="18" t="s">
        <v>274</v>
      </c>
      <c r="E5" s="18" t="s">
        <v>275</v>
      </c>
      <c r="F5" s="18" t="s">
        <v>280</v>
      </c>
      <c r="G5" s="18"/>
      <c r="H5" s="18" t="s">
        <v>89</v>
      </c>
      <c r="I5" s="18"/>
    </row>
    <row r="6" spans="1:9" x14ac:dyDescent="0.3">
      <c r="A6" s="18" t="s">
        <v>38</v>
      </c>
      <c r="B6" s="18" t="s">
        <v>273</v>
      </c>
      <c r="C6" s="18" t="s">
        <v>75</v>
      </c>
      <c r="D6" s="18" t="s">
        <v>274</v>
      </c>
      <c r="E6" s="18" t="s">
        <v>275</v>
      </c>
      <c r="F6" s="18" t="s">
        <v>281</v>
      </c>
      <c r="G6" s="18"/>
      <c r="H6" s="18" t="s">
        <v>89</v>
      </c>
      <c r="I6" s="18"/>
    </row>
    <row r="7" spans="1:9" x14ac:dyDescent="0.3">
      <c r="A7" s="18" t="s">
        <v>38</v>
      </c>
      <c r="B7" s="18" t="s">
        <v>273</v>
      </c>
      <c r="C7" s="18" t="s">
        <v>76</v>
      </c>
      <c r="D7" s="18" t="s">
        <v>282</v>
      </c>
      <c r="E7" s="18" t="s">
        <v>275</v>
      </c>
      <c r="F7" s="18" t="s">
        <v>283</v>
      </c>
      <c r="G7" s="18"/>
      <c r="H7" s="18" t="s">
        <v>89</v>
      </c>
      <c r="I7" s="18"/>
    </row>
    <row r="8" spans="1:9" x14ac:dyDescent="0.3">
      <c r="A8" s="18" t="s">
        <v>38</v>
      </c>
      <c r="B8" s="18" t="s">
        <v>273</v>
      </c>
      <c r="C8" s="18" t="s">
        <v>77</v>
      </c>
      <c r="D8" s="18" t="s">
        <v>274</v>
      </c>
      <c r="E8" s="18" t="s">
        <v>275</v>
      </c>
      <c r="F8" s="18" t="s">
        <v>284</v>
      </c>
      <c r="G8" s="18"/>
      <c r="H8" s="18" t="s">
        <v>89</v>
      </c>
      <c r="I8" s="18"/>
    </row>
    <row r="9" spans="1:9" x14ac:dyDescent="0.3">
      <c r="A9" s="18" t="s">
        <v>38</v>
      </c>
      <c r="B9" s="18" t="s">
        <v>273</v>
      </c>
      <c r="C9" s="18" t="s">
        <v>78</v>
      </c>
      <c r="D9" s="18" t="s">
        <v>274</v>
      </c>
      <c r="E9" s="18" t="s">
        <v>275</v>
      </c>
      <c r="F9" s="18" t="s">
        <v>285</v>
      </c>
      <c r="G9" s="18"/>
      <c r="H9" s="18" t="s">
        <v>89</v>
      </c>
      <c r="I9" s="18"/>
    </row>
    <row r="10" spans="1:9" x14ac:dyDescent="0.3">
      <c r="A10" s="18" t="s">
        <v>38</v>
      </c>
      <c r="B10" s="18" t="s">
        <v>273</v>
      </c>
      <c r="C10" s="18" t="s">
        <v>79</v>
      </c>
      <c r="D10" s="18" t="s">
        <v>274</v>
      </c>
      <c r="E10" s="18" t="s">
        <v>275</v>
      </c>
      <c r="F10" s="18" t="s">
        <v>286</v>
      </c>
      <c r="G10" s="18"/>
      <c r="H10" s="18" t="s">
        <v>89</v>
      </c>
      <c r="I10" s="18"/>
    </row>
    <row r="11" spans="1:9" ht="26.4" x14ac:dyDescent="0.3">
      <c r="A11" s="18" t="s">
        <v>38</v>
      </c>
      <c r="B11" s="18" t="s">
        <v>273</v>
      </c>
      <c r="C11" s="18" t="s">
        <v>80</v>
      </c>
      <c r="D11" s="18" t="s">
        <v>287</v>
      </c>
      <c r="E11" s="18" t="s">
        <v>275</v>
      </c>
      <c r="F11" s="18" t="s">
        <v>288</v>
      </c>
      <c r="G11" s="18"/>
      <c r="H11" s="18" t="s">
        <v>89</v>
      </c>
      <c r="I11" s="18"/>
    </row>
    <row r="12" spans="1:9" x14ac:dyDescent="0.3">
      <c r="A12" s="18" t="s">
        <v>38</v>
      </c>
      <c r="B12" s="18" t="s">
        <v>273</v>
      </c>
      <c r="C12" s="18" t="s">
        <v>81</v>
      </c>
      <c r="D12" s="18" t="s">
        <v>274</v>
      </c>
      <c r="E12" s="18" t="s">
        <v>275</v>
      </c>
      <c r="F12" s="18" t="s">
        <v>289</v>
      </c>
      <c r="G12" s="18"/>
      <c r="H12" s="18" t="s">
        <v>89</v>
      </c>
      <c r="I12" s="18"/>
    </row>
    <row r="13" spans="1:9" x14ac:dyDescent="0.3">
      <c r="A13" s="18" t="s">
        <v>40</v>
      </c>
      <c r="B13" s="18" t="s">
        <v>290</v>
      </c>
      <c r="C13" s="18" t="s">
        <v>104</v>
      </c>
      <c r="D13" s="18" t="s">
        <v>274</v>
      </c>
      <c r="E13" s="18" t="s">
        <v>275</v>
      </c>
      <c r="F13" s="18" t="s">
        <v>291</v>
      </c>
      <c r="G13" s="18"/>
      <c r="H13" s="18" t="s">
        <v>89</v>
      </c>
      <c r="I13" s="18" t="s">
        <v>277</v>
      </c>
    </row>
    <row r="14" spans="1:9" x14ac:dyDescent="0.3">
      <c r="A14" s="18" t="s">
        <v>40</v>
      </c>
      <c r="B14" s="18" t="s">
        <v>290</v>
      </c>
      <c r="C14" s="18" t="s">
        <v>105</v>
      </c>
      <c r="D14" s="18" t="s">
        <v>274</v>
      </c>
      <c r="E14" s="18" t="s">
        <v>275</v>
      </c>
      <c r="F14" s="18" t="s">
        <v>292</v>
      </c>
      <c r="G14" s="18"/>
      <c r="H14" s="18" t="s">
        <v>89</v>
      </c>
      <c r="I14" s="18"/>
    </row>
    <row r="15" spans="1:9" x14ac:dyDescent="0.3">
      <c r="A15" s="18" t="s">
        <v>40</v>
      </c>
      <c r="B15" s="18" t="s">
        <v>290</v>
      </c>
      <c r="C15" s="18" t="s">
        <v>106</v>
      </c>
      <c r="D15" s="18" t="s">
        <v>274</v>
      </c>
      <c r="E15" s="18" t="s">
        <v>275</v>
      </c>
      <c r="F15" s="18" t="s">
        <v>293</v>
      </c>
      <c r="G15" s="18"/>
      <c r="H15" s="18" t="s">
        <v>89</v>
      </c>
      <c r="I15" s="18"/>
    </row>
    <row r="16" spans="1:9" x14ac:dyDescent="0.3">
      <c r="A16" s="18" t="s">
        <v>40</v>
      </c>
      <c r="B16" s="18" t="s">
        <v>290</v>
      </c>
      <c r="C16" s="18" t="s">
        <v>107</v>
      </c>
      <c r="D16" s="18" t="s">
        <v>274</v>
      </c>
      <c r="E16" s="18" t="s">
        <v>275</v>
      </c>
      <c r="F16" s="18" t="s">
        <v>294</v>
      </c>
      <c r="G16" s="18"/>
      <c r="H16" s="18" t="s">
        <v>89</v>
      </c>
      <c r="I16" s="18"/>
    </row>
    <row r="17" spans="1:9" x14ac:dyDescent="0.3">
      <c r="A17" s="18" t="s">
        <v>40</v>
      </c>
      <c r="B17" s="18" t="s">
        <v>290</v>
      </c>
      <c r="C17" s="18" t="s">
        <v>108</v>
      </c>
      <c r="D17" s="18" t="s">
        <v>274</v>
      </c>
      <c r="E17" s="18" t="s">
        <v>275</v>
      </c>
      <c r="F17" s="18" t="s">
        <v>295</v>
      </c>
      <c r="G17" s="18"/>
      <c r="H17" s="18" t="s">
        <v>89</v>
      </c>
      <c r="I17" s="18"/>
    </row>
    <row r="18" spans="1:9" x14ac:dyDescent="0.3">
      <c r="A18" s="18" t="s">
        <v>40</v>
      </c>
      <c r="B18" s="18" t="s">
        <v>290</v>
      </c>
      <c r="C18" s="18" t="s">
        <v>109</v>
      </c>
      <c r="D18" s="18" t="s">
        <v>274</v>
      </c>
      <c r="E18" s="18" t="s">
        <v>275</v>
      </c>
      <c r="F18" s="18" t="s">
        <v>296</v>
      </c>
      <c r="G18" s="18"/>
      <c r="H18" s="18" t="s">
        <v>89</v>
      </c>
      <c r="I18" s="18"/>
    </row>
    <row r="19" spans="1:9" ht="26.4" x14ac:dyDescent="0.3">
      <c r="A19" s="18" t="s">
        <v>40</v>
      </c>
      <c r="B19" s="18" t="s">
        <v>290</v>
      </c>
      <c r="C19" s="18" t="s">
        <v>110</v>
      </c>
      <c r="D19" s="18" t="s">
        <v>287</v>
      </c>
      <c r="E19" s="18" t="s">
        <v>275</v>
      </c>
      <c r="F19" s="18" t="s">
        <v>297</v>
      </c>
      <c r="G19" s="18"/>
      <c r="H19" s="18" t="s">
        <v>89</v>
      </c>
      <c r="I19" s="18"/>
    </row>
    <row r="20" spans="1:9" ht="26.4" x14ac:dyDescent="0.3">
      <c r="A20" s="18" t="s">
        <v>40</v>
      </c>
      <c r="B20" s="18" t="s">
        <v>290</v>
      </c>
      <c r="C20" s="18" t="s">
        <v>111</v>
      </c>
      <c r="D20" s="18" t="s">
        <v>287</v>
      </c>
      <c r="E20" s="18" t="s">
        <v>275</v>
      </c>
      <c r="F20" s="18" t="s">
        <v>298</v>
      </c>
      <c r="G20" s="18"/>
      <c r="H20" s="18" t="s">
        <v>299</v>
      </c>
      <c r="I20" s="18"/>
    </row>
    <row r="21" spans="1:9" x14ac:dyDescent="0.3">
      <c r="A21" s="18" t="s">
        <v>40</v>
      </c>
      <c r="B21" s="18" t="s">
        <v>290</v>
      </c>
      <c r="C21" s="18" t="s">
        <v>14</v>
      </c>
      <c r="D21" s="18" t="s">
        <v>274</v>
      </c>
      <c r="E21" s="18" t="s">
        <v>275</v>
      </c>
      <c r="F21" s="18" t="s">
        <v>300</v>
      </c>
      <c r="G21" s="18"/>
      <c r="H21" s="18" t="s">
        <v>89</v>
      </c>
      <c r="I21" s="18"/>
    </row>
    <row r="22" spans="1:9" x14ac:dyDescent="0.3">
      <c r="A22" s="18" t="s">
        <v>40</v>
      </c>
      <c r="B22" s="18" t="s">
        <v>290</v>
      </c>
      <c r="C22" s="18" t="s">
        <v>112</v>
      </c>
      <c r="D22" s="18" t="s">
        <v>274</v>
      </c>
      <c r="E22" s="18" t="s">
        <v>275</v>
      </c>
      <c r="F22" s="18" t="s">
        <v>301</v>
      </c>
      <c r="G22" s="18"/>
      <c r="H22" s="18" t="s">
        <v>89</v>
      </c>
      <c r="I22" s="18"/>
    </row>
    <row r="23" spans="1:9" x14ac:dyDescent="0.3">
      <c r="A23" s="18" t="s">
        <v>40</v>
      </c>
      <c r="B23" s="18" t="s">
        <v>290</v>
      </c>
      <c r="C23" s="18" t="s">
        <v>113</v>
      </c>
      <c r="D23" s="18" t="s">
        <v>282</v>
      </c>
      <c r="E23" s="18" t="s">
        <v>302</v>
      </c>
      <c r="F23" s="18" t="s">
        <v>303</v>
      </c>
      <c r="G23" s="18"/>
      <c r="H23" s="18" t="s">
        <v>89</v>
      </c>
      <c r="I23" s="18"/>
    </row>
    <row r="24" spans="1:9" x14ac:dyDescent="0.3">
      <c r="A24" s="18" t="s">
        <v>40</v>
      </c>
      <c r="B24" s="18" t="s">
        <v>290</v>
      </c>
      <c r="C24" s="18" t="s">
        <v>114</v>
      </c>
      <c r="D24" s="18" t="s">
        <v>282</v>
      </c>
      <c r="E24" s="18" t="s">
        <v>302</v>
      </c>
      <c r="F24" s="18" t="s">
        <v>304</v>
      </c>
      <c r="G24" s="18"/>
      <c r="H24" s="18" t="s">
        <v>89</v>
      </c>
      <c r="I24" s="18"/>
    </row>
    <row r="25" spans="1:9" x14ac:dyDescent="0.3">
      <c r="A25" s="18" t="s">
        <v>42</v>
      </c>
      <c r="B25" s="18" t="s">
        <v>305</v>
      </c>
      <c r="C25" s="18" t="s">
        <v>136</v>
      </c>
      <c r="D25" s="18" t="s">
        <v>274</v>
      </c>
      <c r="E25" s="18" t="s">
        <v>275</v>
      </c>
      <c r="F25" s="18" t="s">
        <v>306</v>
      </c>
      <c r="G25" s="18"/>
      <c r="H25" s="18" t="s">
        <v>89</v>
      </c>
      <c r="I25" s="18" t="s">
        <v>277</v>
      </c>
    </row>
    <row r="26" spans="1:9" ht="39.6" x14ac:dyDescent="0.3">
      <c r="A26" s="18" t="s">
        <v>42</v>
      </c>
      <c r="B26" s="18" t="s">
        <v>305</v>
      </c>
      <c r="C26" s="18" t="s">
        <v>104</v>
      </c>
      <c r="D26" s="18" t="s">
        <v>274</v>
      </c>
      <c r="E26" s="18" t="s">
        <v>275</v>
      </c>
      <c r="F26" s="18" t="s">
        <v>291</v>
      </c>
      <c r="G26" s="18"/>
      <c r="H26" s="18" t="s">
        <v>89</v>
      </c>
      <c r="I26" s="18" t="s">
        <v>307</v>
      </c>
    </row>
    <row r="27" spans="1:9" x14ac:dyDescent="0.3">
      <c r="A27" s="18" t="s">
        <v>42</v>
      </c>
      <c r="B27" s="18" t="s">
        <v>305</v>
      </c>
      <c r="C27" s="18" t="s">
        <v>137</v>
      </c>
      <c r="D27" s="18" t="s">
        <v>274</v>
      </c>
      <c r="E27" s="18" t="s">
        <v>275</v>
      </c>
      <c r="F27" s="18" t="s">
        <v>308</v>
      </c>
      <c r="G27" s="18"/>
      <c r="H27" s="18" t="s">
        <v>89</v>
      </c>
      <c r="I27" s="18"/>
    </row>
    <row r="28" spans="1:9" x14ac:dyDescent="0.3">
      <c r="A28" s="18" t="s">
        <v>42</v>
      </c>
      <c r="B28" s="18" t="s">
        <v>305</v>
      </c>
      <c r="C28" s="18" t="s">
        <v>138</v>
      </c>
      <c r="D28" s="18" t="s">
        <v>274</v>
      </c>
      <c r="E28" s="18" t="s">
        <v>275</v>
      </c>
      <c r="F28" s="18" t="s">
        <v>309</v>
      </c>
      <c r="G28" s="18"/>
      <c r="H28" s="18" t="s">
        <v>89</v>
      </c>
      <c r="I28" s="18"/>
    </row>
    <row r="29" spans="1:9" x14ac:dyDescent="0.3">
      <c r="A29" s="18" t="s">
        <v>42</v>
      </c>
      <c r="B29" s="18" t="s">
        <v>305</v>
      </c>
      <c r="C29" s="18" t="s">
        <v>139</v>
      </c>
      <c r="D29" s="18" t="s">
        <v>274</v>
      </c>
      <c r="E29" s="18" t="s">
        <v>275</v>
      </c>
      <c r="F29" s="18" t="s">
        <v>310</v>
      </c>
      <c r="G29" s="18"/>
      <c r="H29" s="18" t="s">
        <v>89</v>
      </c>
      <c r="I29" s="18"/>
    </row>
    <row r="30" spans="1:9" x14ac:dyDescent="0.3">
      <c r="A30" s="18" t="s">
        <v>42</v>
      </c>
      <c r="B30" s="18" t="s">
        <v>305</v>
      </c>
      <c r="C30" s="18" t="s">
        <v>140</v>
      </c>
      <c r="D30" s="18" t="s">
        <v>274</v>
      </c>
      <c r="E30" s="18" t="s">
        <v>275</v>
      </c>
      <c r="F30" s="18" t="s">
        <v>311</v>
      </c>
      <c r="G30" s="18" t="s">
        <v>312</v>
      </c>
      <c r="H30" s="18" t="s">
        <v>89</v>
      </c>
      <c r="I30" s="18"/>
    </row>
    <row r="31" spans="1:9" x14ac:dyDescent="0.3">
      <c r="A31" s="18" t="s">
        <v>44</v>
      </c>
      <c r="B31" s="18" t="s">
        <v>313</v>
      </c>
      <c r="C31" s="18" t="s">
        <v>219</v>
      </c>
      <c r="D31" s="18" t="s">
        <v>274</v>
      </c>
      <c r="E31" s="18" t="s">
        <v>275</v>
      </c>
      <c r="F31" s="18" t="s">
        <v>314</v>
      </c>
      <c r="G31" s="18"/>
      <c r="H31" s="18" t="s">
        <v>89</v>
      </c>
      <c r="I31" s="18" t="s">
        <v>277</v>
      </c>
    </row>
    <row r="32" spans="1:9" x14ac:dyDescent="0.3">
      <c r="A32" s="18" t="s">
        <v>44</v>
      </c>
      <c r="B32" s="18" t="s">
        <v>313</v>
      </c>
      <c r="C32" s="18" t="s">
        <v>104</v>
      </c>
      <c r="D32" s="18" t="s">
        <v>274</v>
      </c>
      <c r="E32" s="18" t="s">
        <v>275</v>
      </c>
      <c r="F32" s="18" t="s">
        <v>291</v>
      </c>
      <c r="G32" s="18"/>
      <c r="H32" s="18" t="s">
        <v>89</v>
      </c>
      <c r="I32" s="18"/>
    </row>
    <row r="33" spans="1:9" x14ac:dyDescent="0.3">
      <c r="A33" s="18" t="s">
        <v>44</v>
      </c>
      <c r="B33" s="18" t="s">
        <v>313</v>
      </c>
      <c r="C33" s="18" t="s">
        <v>137</v>
      </c>
      <c r="D33" s="18" t="s">
        <v>274</v>
      </c>
      <c r="E33" s="18" t="s">
        <v>275</v>
      </c>
      <c r="F33" s="18" t="s">
        <v>308</v>
      </c>
      <c r="G33" s="18"/>
      <c r="H33" s="18" t="s">
        <v>89</v>
      </c>
      <c r="I33" s="18"/>
    </row>
    <row r="34" spans="1:9" x14ac:dyDescent="0.3">
      <c r="A34" s="18" t="s">
        <v>44</v>
      </c>
      <c r="B34" s="18" t="s">
        <v>313</v>
      </c>
      <c r="C34" s="18" t="s">
        <v>220</v>
      </c>
      <c r="D34" s="18" t="s">
        <v>274</v>
      </c>
      <c r="E34" s="18" t="s">
        <v>275</v>
      </c>
      <c r="F34" s="18" t="s">
        <v>315</v>
      </c>
      <c r="G34" s="18" t="s">
        <v>312</v>
      </c>
      <c r="H34" s="18" t="s">
        <v>89</v>
      </c>
      <c r="I34" s="18"/>
    </row>
    <row r="35" spans="1:9" x14ac:dyDescent="0.3">
      <c r="A35" s="18" t="s">
        <v>44</v>
      </c>
      <c r="B35" s="18" t="s">
        <v>313</v>
      </c>
      <c r="C35" s="18" t="s">
        <v>221</v>
      </c>
      <c r="D35" s="18" t="s">
        <v>274</v>
      </c>
      <c r="E35" s="18" t="s">
        <v>275</v>
      </c>
      <c r="F35" s="18" t="s">
        <v>316</v>
      </c>
      <c r="G35" s="18"/>
      <c r="H35" s="18" t="s">
        <v>89</v>
      </c>
      <c r="I35" s="18"/>
    </row>
    <row r="36" spans="1:9" x14ac:dyDescent="0.3">
      <c r="A36" s="18" t="s">
        <v>44</v>
      </c>
      <c r="B36" s="18" t="s">
        <v>313</v>
      </c>
      <c r="C36" s="18" t="s">
        <v>222</v>
      </c>
      <c r="D36" s="18" t="s">
        <v>274</v>
      </c>
      <c r="E36" s="18" t="s">
        <v>275</v>
      </c>
      <c r="F36" s="18" t="s">
        <v>314</v>
      </c>
      <c r="G36" s="18"/>
      <c r="H36" s="18" t="s">
        <v>89</v>
      </c>
      <c r="I36" s="18"/>
    </row>
    <row r="37" spans="1:9" x14ac:dyDescent="0.3">
      <c r="A37" s="18" t="s">
        <v>44</v>
      </c>
      <c r="B37" s="18" t="s">
        <v>313</v>
      </c>
      <c r="C37" s="18" t="s">
        <v>139</v>
      </c>
      <c r="D37" s="18" t="s">
        <v>274</v>
      </c>
      <c r="E37" s="18" t="s">
        <v>275</v>
      </c>
      <c r="F37" s="18" t="s">
        <v>310</v>
      </c>
      <c r="G37" s="18"/>
      <c r="H37" s="18" t="s">
        <v>89</v>
      </c>
      <c r="I37" s="18"/>
    </row>
    <row r="38" spans="1:9" ht="39.6" x14ac:dyDescent="0.3">
      <c r="A38" s="18" t="s">
        <v>44</v>
      </c>
      <c r="B38" s="18" t="s">
        <v>313</v>
      </c>
      <c r="C38" s="18" t="s">
        <v>223</v>
      </c>
      <c r="D38" s="18" t="s">
        <v>274</v>
      </c>
      <c r="E38" s="18" t="s">
        <v>275</v>
      </c>
      <c r="F38" s="18" t="s">
        <v>317</v>
      </c>
      <c r="G38" s="18"/>
      <c r="H38" s="18" t="s">
        <v>299</v>
      </c>
      <c r="I38" s="18" t="s">
        <v>318</v>
      </c>
    </row>
    <row r="39" spans="1:9" ht="26.4" x14ac:dyDescent="0.3">
      <c r="A39" s="18" t="s">
        <v>44</v>
      </c>
      <c r="B39" s="18" t="s">
        <v>313</v>
      </c>
      <c r="C39" s="18" t="s">
        <v>224</v>
      </c>
      <c r="D39" s="18" t="s">
        <v>287</v>
      </c>
      <c r="E39" s="18" t="s">
        <v>275</v>
      </c>
      <c r="F39" s="18" t="s">
        <v>319</v>
      </c>
      <c r="G39" s="18"/>
      <c r="H39" s="18" t="s">
        <v>89</v>
      </c>
      <c r="I39" s="18"/>
    </row>
    <row r="40" spans="1:9" x14ac:dyDescent="0.3">
      <c r="A40" s="18" t="s">
        <v>44</v>
      </c>
      <c r="B40" s="18" t="s">
        <v>313</v>
      </c>
      <c r="C40" s="18" t="s">
        <v>14</v>
      </c>
      <c r="D40" s="18" t="s">
        <v>274</v>
      </c>
      <c r="E40" s="18" t="s">
        <v>275</v>
      </c>
      <c r="F40" s="18" t="s">
        <v>300</v>
      </c>
      <c r="G40" s="18"/>
      <c r="H40" s="18" t="s">
        <v>89</v>
      </c>
      <c r="I40" s="18"/>
    </row>
    <row r="41" spans="1:9" x14ac:dyDescent="0.3">
      <c r="A41" s="18" t="s">
        <v>44</v>
      </c>
      <c r="B41" s="18" t="s">
        <v>313</v>
      </c>
      <c r="C41" s="18" t="s">
        <v>225</v>
      </c>
      <c r="D41" s="18" t="s">
        <v>274</v>
      </c>
      <c r="E41" s="18" t="s">
        <v>302</v>
      </c>
      <c r="F41" s="18" t="s">
        <v>320</v>
      </c>
      <c r="G41" s="18"/>
      <c r="H41" s="18" t="s">
        <v>89</v>
      </c>
      <c r="I41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7</vt:i4>
      </vt:variant>
    </vt:vector>
  </HeadingPairs>
  <TitlesOfParts>
    <vt:vector size="14" baseType="lpstr">
      <vt:lpstr>00_LEIA-ME</vt:lpstr>
      <vt:lpstr>Auditores</vt:lpstr>
      <vt:lpstr>Programa_Auditorias</vt:lpstr>
      <vt:lpstr>Checklist</vt:lpstr>
      <vt:lpstr>Constatacoes</vt:lpstr>
      <vt:lpstr>Listas</vt:lpstr>
      <vt:lpstr>Dicionario_Dados</vt:lpstr>
      <vt:lpstr>DataRef</vt:lpstr>
      <vt:lpstr>lst_Classificacao</vt:lpstr>
      <vt:lpstr>lst_DataReferencia</vt:lpstr>
      <vt:lpstr>Auditores!Títulos_de_Impressão</vt:lpstr>
      <vt:lpstr>Checklist!Títulos_de_Impressão</vt:lpstr>
      <vt:lpstr>Constatacoes!Títulos_de_Impressão</vt:lpstr>
      <vt:lpstr>Programa_Auditorias!Títulos_de_Impressão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RG-SGE-12 Auditoria Interna do SGE</dc:title>
  <dc:subject>SGE NP EN ISO 50001:2019 (ISO 50001:2018 + Amd 1:2024) — Plasticom</dc:subject>
  <dc:creator>Gestor(a) de Energia</dc:creator>
  <cp:lastModifiedBy>Aline Meireles</cp:lastModifiedBy>
  <dcterms:created xsi:type="dcterms:W3CDTF">2026-09-30T13:12:24Z</dcterms:created>
  <dcterms:modified xsi:type="dcterms:W3CDTF">2026-09-30T13:12:25Z</dcterms:modified>
</cp:coreProperties>
</file>