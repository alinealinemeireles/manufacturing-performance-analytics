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3_ncr:1_{AF1FED4F-9397-4456-A0EC-7730865653FE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Lideranca" sheetId="2" r:id="rId2"/>
    <sheet name="Politica_Energetica" sheetId="3" r:id="rId3"/>
    <sheet name="Compromissos" sheetId="4" r:id="rId4"/>
    <sheet name="Verificacao_5_2" sheetId="5" r:id="rId5"/>
    <sheet name="Equipa_Gestao_Energia" sheetId="6" r:id="rId6"/>
    <sheet name="RACI" sheetId="7" r:id="rId7"/>
    <sheet name="Listas" sheetId="8" r:id="rId8"/>
    <sheet name="Dicionario_Dados" sheetId="9" r:id="rId9"/>
  </sheets>
  <definedNames>
    <definedName name="DataRef">Listas!$A$3</definedName>
    <definedName name="lst_DataReferencia">Listas!$A$3:$A$3</definedName>
    <definedName name="lst_Estado">Listas!$C$3:$C$5</definedName>
    <definedName name="lst_Funcao">Listas!$B$3:$B$24</definedName>
    <definedName name="lst_RACI">Listas!$D$3:$D$6</definedName>
    <definedName name="_xlnm.Print_Titles" localSheetId="3">Compromissos!$1:$1</definedName>
    <definedName name="_xlnm.Print_Titles" localSheetId="5">Equipa_Gestao_Energia!$4:$4</definedName>
    <definedName name="_xlnm.Print_Titles" localSheetId="1">Lideranca!$4:$4</definedName>
    <definedName name="_xlnm.Print_Titles" localSheetId="6">RACI!$4:$4</definedName>
    <definedName name="_xlnm.Print_Titles" localSheetId="4">Verificacao_5_2!$1:$1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7" l="1"/>
  <c r="S18" i="7" s="1"/>
  <c r="R17" i="7"/>
  <c r="S17" i="7" s="1"/>
  <c r="R16" i="7"/>
  <c r="S16" i="7" s="1"/>
  <c r="R15" i="7"/>
  <c r="S15" i="7" s="1"/>
  <c r="R14" i="7"/>
  <c r="S14" i="7" s="1"/>
  <c r="R13" i="7"/>
  <c r="S13" i="7" s="1"/>
  <c r="R12" i="7"/>
  <c r="S12" i="7" s="1"/>
  <c r="R11" i="7"/>
  <c r="S11" i="7" s="1"/>
  <c r="R10" i="7"/>
  <c r="S10" i="7" s="1"/>
  <c r="R9" i="7"/>
  <c r="S9" i="7" s="1"/>
  <c r="R8" i="7"/>
  <c r="S8" i="7" s="1"/>
  <c r="R7" i="7"/>
  <c r="S7" i="7" s="1"/>
  <c r="R6" i="7"/>
  <c r="S6" i="7" s="1"/>
  <c r="R5" i="7"/>
  <c r="S5" i="7" s="1"/>
  <c r="G11" i="6"/>
  <c r="G10" i="6"/>
  <c r="G9" i="6"/>
  <c r="G8" i="6"/>
  <c r="G7" i="6"/>
  <c r="G6" i="6"/>
  <c r="G5" i="6"/>
  <c r="G1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Compromisso.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Alínea de 5.1.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Requisito 5.1.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Como a gestão de topo demonstra.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Evidência.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Conforme / parcial / lacuna.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Frequência.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Compromisso da política.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Alíneas de 5.2 a que responde.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Texto do compromisso.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N.º de objetivos energéticos que lhe dão corpo (RG-SGE-05, à data de referência).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Membro da equipa.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Função.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Papel e IDE de que é dono.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Tempo alocado ao SGE.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Competências-chave (RG-SGE-07).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Alíneas de 5.3.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Equivalente a tempo inteiro.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Processo do SGE.</t>
        </r>
      </text>
    </comment>
    <comment ref="B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Processo (posição equivalente a Processo_SGA).</t>
        </r>
      </text>
    </comment>
    <comment ref="C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Cláusula.</t>
        </r>
      </text>
    </comment>
    <comment ref="D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RACI da função Diretor Geral.</t>
        </r>
      </text>
    </comment>
    <comment ref="E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RACI da função Diretor Industrial.</t>
        </r>
      </text>
    </comment>
    <comment ref="F4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RACI da função Gestor Energia.</t>
        </r>
      </text>
    </comment>
    <comment ref="G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RACI da função Gerente Manutencao.</t>
        </r>
      </text>
    </comment>
    <comment ref="H4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RACI da função Gerente Producao.</t>
        </r>
      </text>
    </comment>
    <comment ref="I4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RACI da função Tecnico Utilidades.</t>
        </r>
      </text>
    </comment>
    <comment ref="J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RACI da função Gestor SGA.</t>
        </r>
      </text>
    </comment>
    <comment ref="K4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RACI da função Diretor Financeiro.</t>
        </r>
      </text>
    </comment>
    <comment ref="L4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RACI da função Resp Compras.</t>
        </r>
      </text>
    </comment>
    <comment ref="M4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RACI da função Resp RD.</t>
        </r>
      </text>
    </comment>
    <comment ref="N4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RACI da função Resp RH.</t>
        </r>
      </text>
    </comment>
    <comment ref="O4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RACI da função Gerente Dados TI.</t>
        </r>
      </text>
    </comment>
    <comment ref="P4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RACI da função Chefes Turno.</t>
        </r>
      </text>
    </comment>
    <comment ref="Q4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RACI da função Operadores.</t>
        </r>
      </text>
    </comment>
    <comment ref="R4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N.º de 'A'.
[calculado]</t>
        </r>
      </text>
    </comment>
    <comment ref="S4" authorId="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Exatamente um aprovador por processo.
[calculado]</t>
        </r>
      </text>
    </comment>
  </commentList>
</comments>
</file>

<file path=xl/sharedStrings.xml><?xml version="1.0" encoding="utf-8"?>
<sst xmlns="http://schemas.openxmlformats.org/spreadsheetml/2006/main" count="823" uniqueCount="387">
  <si>
    <t>RG-SGE-02 — Liderança, Política Energética, Equipa de Gestão de Energia e Responsabilidades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</si>
  <si>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</si>
  <si>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</si>
  <si>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</si>
  <si>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RG-SGE-02</t>
  </si>
  <si>
    <t>Título</t>
  </si>
  <si>
    <t>Liderança, Política Energética, Equipa de Gestão de Energia e Responsabilidades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</si>
  <si>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</si>
  <si>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</si>
  <si>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</si>
  <si>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</si>
  <si>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</si>
  <si>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</si>
  <si>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</si>
  <si>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</si>
  <si>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</si>
  <si>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</si>
  <si>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</si>
  <si>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</si>
  <si>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</si>
  <si>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</si>
  <si>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</si>
  <si>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Compromissos da liderança com evidência e estado; política energética POL-SGE-01 com a correspondência a 5.2 a–g; equipa de gestão de energia com tempo alocado; matriz RACI dos processos do SGE validada por fórmula (um único 'A' por processo).</t>
  </si>
  <si>
    <t>Utilização / atividades</t>
  </si>
  <si>
    <t>Evidenciar a liderança da gestão de topo (5.1 a–m), estabelecer e comunicar a política energética (5.2), nomear a equipa de gestão de energia e atribuir responsabilidades (5.3).</t>
  </si>
  <si>
    <t>Requisitos ISO 50001:2018</t>
  </si>
  <si>
    <t>5.1 a)–m); 5.2 a)–g) (disponível como informação documentada, comunicada, disponível às partes interessadas, revista periodicamente); 5.3 a)–e) (equipa de gestão de energia).</t>
  </si>
  <si>
    <t>NORMAS DE ORIENTAÇÃO E REFERÊNCIAS APLICADAS (orientação — não são requisitos auditáveis da ISO 50001)</t>
  </si>
  <si>
    <t>ISO 50004:2020 §5</t>
  </si>
  <si>
    <t>Papel da equipa de gestão de energia e da gestão de topo; exemplos de política.</t>
  </si>
  <si>
    <t>M-5 Liderança (curso Bureau Veritas)</t>
  </si>
  <si>
    <t>Interpretação das alíneas 5.1 a)–m) — as novas face à ISO 50001:2011 são i) equipa, l) IDE e m) alterações.</t>
  </si>
  <si>
    <t>ISO 50005:2021</t>
  </si>
  <si>
    <t>Níveis de maturidade para a implementação faseada (usados na autoavaliação do RG-SGE-00).</t>
  </si>
  <si>
    <t>REQUISITOS LEGAIS E OUTROS REQUISITOS APLICADOS (4.2, 9.1.2 — lista completa no RG-SGE-11)</t>
  </si>
  <si>
    <t>DL 71/2008 (SGCIE)</t>
  </si>
  <si>
    <t>A política inclui o compromisso de cumprir o SGCIE (POL-E-03).</t>
  </si>
  <si>
    <t>ESTRUTURA DO FICHEIRO</t>
  </si>
  <si>
    <t>Lideranca</t>
  </si>
  <si>
    <t>Evidências de liderança e compromisso (5.1 a–m) — mesma estrutura do RG-SGQ-03.</t>
  </si>
  <si>
    <t>Politica_Energetica</t>
  </si>
  <si>
    <t>Política energética POL-SGE-01 (5.2) para afixação e publicação.</t>
  </si>
  <si>
    <t>Compromissos</t>
  </si>
  <si>
    <t>Compromissos da política energética (5.2 a–g) — mesmo nome de tabela do RG-SGA-05 (tbl_politica).</t>
  </si>
  <si>
    <t>Verificacao_5_2</t>
  </si>
  <si>
    <t>Verificação da política contra 5.2 a–g.</t>
  </si>
  <si>
    <t>Equipa_Gestao_Energia</t>
  </si>
  <si>
    <t>Equipa de gestão de energia (5.1 i, 5.3 a–e) nomeada pela OS-2026-07.</t>
  </si>
  <si>
    <t>RACI</t>
  </si>
  <si>
    <t>Matriz RACI dos processos do SGE (5.3) — mesma estrutura do RG-SGA-08 / RG-SGQ-03.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</si>
  <si>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</si>
  <si>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</si>
  <si>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</si>
  <si>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</si>
  <si>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</si>
  <si>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</si>
  <si>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</si>
  <si>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</si>
  <si>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</si>
  <si>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</si>
  <si>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</si>
  <si>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</si>
  <si>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</si>
  <si>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</si>
  <si>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</si>
  <si>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</si>
  <si>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</si>
  <si>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LIGAÇÕES A OUTROS REGISTOS</t>
  </si>
  <si>
    <t>RG-SGE-05</t>
  </si>
  <si>
    <t>Objetivos energéticos ligados aos compromissos POL-E-xx.</t>
  </si>
  <si>
    <t>RG-SGA-08 / RG-SGQ-03</t>
  </si>
  <si>
    <t>RACI do SGA e do SGQ (mesma estrutura de colunas).</t>
  </si>
  <si>
    <t>RG-SGE-13</t>
  </si>
  <si>
    <t>Revisão pela gestão (evidência de 5.1 g, l).</t>
  </si>
  <si>
    <t>LIDERANÇA E COMPROMISSO DA GESTÃO DE TOPO (5.1 a–m)</t>
  </si>
  <si>
    <t>ID</t>
  </si>
  <si>
    <t>Alinea</t>
  </si>
  <si>
    <t>Compromisso</t>
  </si>
  <si>
    <t>Como_Demonstra</t>
  </si>
  <si>
    <t>Evidencia</t>
  </si>
  <si>
    <t>Responsavel</t>
  </si>
  <si>
    <t>Frequencia</t>
  </si>
  <si>
    <t>LIDE-01</t>
  </si>
  <si>
    <t>a)</t>
  </si>
  <si>
    <t>Assegurar que o âmbito e as fronteiras do SGE são estabelecidos</t>
  </si>
  <si>
    <t>Aprovação do âmbito (RG-SGE-01 tbl_ambito) e do MAN-SGE-01</t>
  </si>
  <si>
    <t>Ata RD-E-2026-01; MAN-SGE-01 rev. 00</t>
  </si>
  <si>
    <t>Diretor Geral (Gestão de Topo)</t>
  </si>
  <si>
    <t>Conforme</t>
  </si>
  <si>
    <t>Anual</t>
  </si>
  <si>
    <t>LIDE-02</t>
  </si>
  <si>
    <t>b)</t>
  </si>
  <si>
    <t>Política, objetivos e metas energéticas compatíveis com a orientação estratégica</t>
  </si>
  <si>
    <t>Aprovação da POL-SGE-01 e dos OBJ-E-01 a 06</t>
  </si>
  <si>
    <t>RG-SGE-05 tbl_objetivos (Data_Aprovacao)</t>
  </si>
  <si>
    <t>LIDE-03</t>
  </si>
  <si>
    <t>c)</t>
  </si>
  <si>
    <t>Integrar os requisitos do SGE nos processos de negócio</t>
  </si>
  <si>
    <t>Energia no orçamento CAPEX, nas compras (LCC), no quadro SQDC dos turnos e no plano de manutenção</t>
  </si>
  <si>
    <t>RG-SGE-09; RG-SGE-08</t>
  </si>
  <si>
    <t>Diretor Industrial</t>
  </si>
  <si>
    <t>Parcial</t>
  </si>
  <si>
    <t>Trimestral</t>
  </si>
  <si>
    <t>LIDE-04</t>
  </si>
  <si>
    <t>d)</t>
  </si>
  <si>
    <t>Assegurar que os planos de ação são aprovados e implementados</t>
  </si>
  <si>
    <t>Aprovação dos PA-E-01 a 07; acompanhamento mensal</t>
  </si>
  <si>
    <t>RG-SGE-05 tbl_planos_acao</t>
  </si>
  <si>
    <t>Mensal</t>
  </si>
  <si>
    <t>LIDE-05</t>
  </si>
  <si>
    <t>e)</t>
  </si>
  <si>
    <t>Assegurar os recursos necessários</t>
  </si>
  <si>
    <t>CAPEX de submedição (€ 38 000) e VSD aprovados (RG-26-D03); 10% do tempo da equipa</t>
  </si>
  <si>
    <t>Ata RG-2026 do SGA; RD-E-2026-01</t>
  </si>
  <si>
    <t>LIDE-06</t>
  </si>
  <si>
    <t>f)</t>
  </si>
  <si>
    <t>Comunicar a importância da gestão eficaz da energia</t>
  </si>
  <si>
    <t>Mensagem do DG na reunião geral de setembro; quadro de energia nas naves</t>
  </si>
  <si>
    <t>RG-SGE-07 tbl_comunicacao COME-01</t>
  </si>
  <si>
    <t>Semestral</t>
  </si>
  <si>
    <t>LIDE-07</t>
  </si>
  <si>
    <t>g)</t>
  </si>
  <si>
    <t>Assegurar que o SGE atinge os resultados pretendidos</t>
  </si>
  <si>
    <t>Revisão pela gestão com a demonstração de melhoria (LBE_Modelo)</t>
  </si>
  <si>
    <t>LIDE-08</t>
  </si>
  <si>
    <t>h)</t>
  </si>
  <si>
    <t>Promover a melhoria contínua do desempenho energético e do SGE</t>
  </si>
  <si>
    <t>Carteira de oportunidades priorizada (16 OPE)</t>
  </si>
  <si>
    <t>RG-SGE-04 tbl_oportunidades</t>
  </si>
  <si>
    <t>LIDE-09</t>
  </si>
  <si>
    <t>i)</t>
  </si>
  <si>
    <t>Assegurar a formação de uma equipa de gestão de energia</t>
  </si>
  <si>
    <t>Nomeação da equipa (EGE) em 01/07/2026 com 7 membros</t>
  </si>
  <si>
    <t>tbl_equipa_energia; ordem de serviço OS-2026-07</t>
  </si>
  <si>
    <t>LIDE-10</t>
  </si>
  <si>
    <t>j)</t>
  </si>
  <si>
    <t>Dirigir e apoiar as pessoas para contribuírem para a eficácia do SGE</t>
  </si>
  <si>
    <t>Sugestões de energia com resposta em ≤ 15 dias; reconhecimento trimestral</t>
  </si>
  <si>
    <t>RG-SGE-07 tbl_sugestoes</t>
  </si>
  <si>
    <t>LIDE-11</t>
  </si>
  <si>
    <t>k)</t>
  </si>
  <si>
    <t>Apoiar outras funções de gestão a demonstrar liderança nas suas áreas</t>
  </si>
  <si>
    <t>Cada gerente é dono de um USE/IDE (RACI)</t>
  </si>
  <si>
    <t>tbl_raci</t>
  </si>
  <si>
    <t>LIDE-12</t>
  </si>
  <si>
    <t>l)</t>
  </si>
  <si>
    <t>Assegurar que os IDE representam apropriadamente o desempenho energético</t>
  </si>
  <si>
    <t>Aprovação da LBE-01 com os testes de validade e das reservas (p-valor dos graus-dia)</t>
  </si>
  <si>
    <t>RG-SGE-05 LBE_Modelo; tbl_lbe</t>
  </si>
  <si>
    <t>LIDE-13</t>
  </si>
  <si>
    <t>m)</t>
  </si>
  <si>
    <t>Processos para identificar e tratar alterações que afetem o SGE e o desempenho energético</t>
  </si>
  <si>
    <t>Checklist de alterações do SGI (PR-SGA-06) com secção de energia; ALE-01</t>
  </si>
  <si>
    <t>RG-SGA-18; RG-SGE-05 tbl_alteracoes_lbe</t>
  </si>
  <si>
    <t>Por alteração</t>
  </si>
  <si>
    <t>POLÍTICA ENERGÉTICA DA PLASTICOM — POL-SGE-01 rev. 00 (29/09/2026)</t>
  </si>
  <si>
    <t>Plasticom — Unidade 1 (Marinha Grande, Portugal) · Aprovada pelo Diretor Geral na revisão pela gestão RD-E-2026-01</t>
  </si>
  <si>
    <t>A Plasticom fabrica embalagens plásticas num processo 100% elétrico. A energia é o nosso primeiro custo ambiental e uma das principais alavancas de competitividade e de descarbonização. Por isso, a gestão de topo compromete-se a:</t>
  </si>
  <si>
    <t>POL-E-01</t>
  </si>
  <si>
    <t>Melhorar continuamente o desempenho energético e o SGE, com objetivos e metas energéticas revistos todos os anos.</t>
  </si>
  <si>
    <t>POL-E-02</t>
  </si>
  <si>
    <t>Assegurar a informação e os recursos necessários para atingir os objetivos e as metas energéticas, incluindo a medição dos usos significativos.</t>
  </si>
  <si>
    <t>POL-E-03</t>
  </si>
  <si>
    <t>Cumprir os requisitos legais aplicáveis e outros requisitos subscritos relacionados com a eficiência, o uso e o consumo de energia (incluindo o SGCIE).</t>
  </si>
  <si>
    <t>POL-E-04</t>
  </si>
  <si>
    <t>Apoiar a aquisição de produtos e serviços energeticamente eficientes com impacto no desempenho energético, avaliados pelo custo do ciclo de vida.</t>
  </si>
  <si>
    <t>POL-E-05</t>
  </si>
  <si>
    <t>Apoiar atividades de projeto que considerem a melhoria do desempenho energético em instalações, equipamentos, sistemas e processos novos ou modificados.</t>
  </si>
  <si>
    <t>POL-E-06</t>
  </si>
  <si>
    <t>Contribuir para a descarbonização aumentando a eletricidade renovável e envolvendo trabalhadores, fornecedores e clientes.</t>
  </si>
  <si>
    <t>Esta política é o enquadramento dos objetivos e metas energéticas (RG-SGE-05), é comunicada a todas as pessoas que trabalham para a Plasticom, está disponível às partes interessadas (site e a pedido) e é revista anualmente na revisão pela gestão.</t>
  </si>
  <si>
    <t>ID_Politica</t>
  </si>
  <si>
    <t>Alineas_5_2</t>
  </si>
  <si>
    <t>N_Objetivos</t>
  </si>
  <si>
    <t>a) b) e)</t>
  </si>
  <si>
    <t>(contexto)</t>
  </si>
  <si>
    <t>Requisito_5_2</t>
  </si>
  <si>
    <t>Texto_Norma</t>
  </si>
  <si>
    <t>Onde_Na_Politica</t>
  </si>
  <si>
    <t>Cumpre</t>
  </si>
  <si>
    <t>5.2 a)</t>
  </si>
  <si>
    <t>Apropriada ao propósito da organização</t>
  </si>
  <si>
    <t>Introdução</t>
  </si>
  <si>
    <t>5.2 b)</t>
  </si>
  <si>
    <t>Enquadramento para objetivos e metas energéticas</t>
  </si>
  <si>
    <t>5.2 c)</t>
  </si>
  <si>
    <t>Compromisso com a disponibilidade de informação e recursos</t>
  </si>
  <si>
    <t>5.2 d)</t>
  </si>
  <si>
    <t>Compromisso de cumprir requisitos legais e outros</t>
  </si>
  <si>
    <t>5.2 e)</t>
  </si>
  <si>
    <t>Compromisso com a melhoria contínua do desempenho energético e do SGE</t>
  </si>
  <si>
    <t>5.2 f)</t>
  </si>
  <si>
    <t>Apoiar a aquisição de produtos e serviços eficientes</t>
  </si>
  <si>
    <t>5.2 g)</t>
  </si>
  <si>
    <t>Apoiar atividades de projeto que considerem a melhoria do desempenho energético</t>
  </si>
  <si>
    <t>5.2 (final)</t>
  </si>
  <si>
    <t>Disponível, comunicada, disponível às partes interessadas, revista periodicamente</t>
  </si>
  <si>
    <t>Parágrafo final; COME-01</t>
  </si>
  <si>
    <t>EQUIPA DE GESTÃO DE ENERGIA (5.3)</t>
  </si>
  <si>
    <t>Reúne mensalmente (2.ª quinta-feira) · Reporta à gestão de topo trimestralmente e na revisão pela gestão (5.3 d)</t>
  </si>
  <si>
    <t>ID_Membro</t>
  </si>
  <si>
    <t>Funcao</t>
  </si>
  <si>
    <t>Papel_na_Equipa</t>
  </si>
  <si>
    <t>Pct_Tempo</t>
  </si>
  <si>
    <t>Competencias</t>
  </si>
  <si>
    <t>Responsabilidades_5_3</t>
  </si>
  <si>
    <t>FTE</t>
  </si>
  <si>
    <t>EGE-01</t>
  </si>
  <si>
    <t>Gestor(a) de Energia (líder da equipa de gestão de energia)</t>
  </si>
  <si>
    <t>Líder da equipa; representante do SGE junto da gestão de topo; dono do IDE-01/05</t>
  </si>
  <si>
    <t>Curso ISO 50001 (lead implementer); M&amp;V (IPMVP)</t>
  </si>
  <si>
    <t>5.3 a) b) d) e)</t>
  </si>
  <si>
    <t>EGE-02</t>
  </si>
  <si>
    <t>Gerente de Manutenção</t>
  </si>
  <si>
    <t>Manutenção dos USE, compressores e chiller; dono do IDE-02</t>
  </si>
  <si>
    <t>Eletromecânica; ISO 11011</t>
  </si>
  <si>
    <t>5.3 c) e)</t>
  </si>
  <si>
    <t>EGE-03</t>
  </si>
  <si>
    <t>Gerente de Produção</t>
  </si>
  <si>
    <t>Controlo operacional da injeção e do sopro; donos dos IDE-03/04</t>
  </si>
  <si>
    <t>Processo de moldação; standby</t>
  </si>
  <si>
    <t>5.3 c)</t>
  </si>
  <si>
    <t>EGE-04</t>
  </si>
  <si>
    <t>Técnico de Utilidades</t>
  </si>
  <si>
    <t>Ar comprimido e frio; rondas; donos dos IDE-06/08</t>
  </si>
  <si>
    <t>ISO 11011; sistemas de frio</t>
  </si>
  <si>
    <t>EGE-05</t>
  </si>
  <si>
    <t>Diretor Financeiro</t>
  </si>
  <si>
    <t>Compra de energia, tarifas, financiamento; dono do IDE-10</t>
  </si>
  <si>
    <t>Mercado elétrico; LCC</t>
  </si>
  <si>
    <t>EGE-06</t>
  </si>
  <si>
    <t>Gerente de Dados / TI</t>
  </si>
  <si>
    <t>Dados, analisadores e BI (IDE mensais automáticos)</t>
  </si>
  <si>
    <t>Integração de dados; EN 17267</t>
  </si>
  <si>
    <t>5.3 e)</t>
  </si>
  <si>
    <t>EGE-07</t>
  </si>
  <si>
    <t>Gestor do SGA / EHS (Responsável Ambiental)</t>
  </si>
  <si>
    <t>Ligação ao SGA (aspetos, GEE, requisitos legais) e à auditoria integrada</t>
  </si>
  <si>
    <t>ISO 14001; GHG Protocol</t>
  </si>
  <si>
    <t>5.3 b)</t>
  </si>
  <si>
    <t>Total FTE</t>
  </si>
  <si>
    <t>MATRIZ RACI DO SGE (5.3)</t>
  </si>
  <si>
    <t>R executa · A aprova (um por processo) · C consultado · I informado</t>
  </si>
  <si>
    <t>ID_Processo</t>
  </si>
  <si>
    <t>Processo_SGE</t>
  </si>
  <si>
    <t>Clausula</t>
  </si>
  <si>
    <t>Diretor_Geral</t>
  </si>
  <si>
    <t>Diretor_Industrial</t>
  </si>
  <si>
    <t>Gestor_Energia</t>
  </si>
  <si>
    <t>Gerente_Manutencao</t>
  </si>
  <si>
    <t>Gerente_Producao</t>
  </si>
  <si>
    <t>Tecnico_Utilidades</t>
  </si>
  <si>
    <t>Gestor_SGA</t>
  </si>
  <si>
    <t>Diretor_Financeiro</t>
  </si>
  <si>
    <t>Resp_Compras</t>
  </si>
  <si>
    <t>Resp_RD</t>
  </si>
  <si>
    <t>Resp_RH</t>
  </si>
  <si>
    <t>Gerente_Dados_TI</t>
  </si>
  <si>
    <t>Chefes_Turno</t>
  </si>
  <si>
    <t>Operadores</t>
  </si>
  <si>
    <t>N_Aprovadores</t>
  </si>
  <si>
    <t>Controlo_RACI</t>
  </si>
  <si>
    <t>PE-01</t>
  </si>
  <si>
    <t>Contexto, âmbito e fronteiras</t>
  </si>
  <si>
    <t>4.1–4.3</t>
  </si>
  <si>
    <t>A</t>
  </si>
  <si>
    <t>C</t>
  </si>
  <si>
    <t>R</t>
  </si>
  <si>
    <t>I</t>
  </si>
  <si>
    <t>PE-02</t>
  </si>
  <si>
    <t>Política energética e objetivos</t>
  </si>
  <si>
    <t>5.2; 6.2</t>
  </si>
  <si>
    <t>PE-03</t>
  </si>
  <si>
    <t>Revisão energética e USE</t>
  </si>
  <si>
    <t>6.3</t>
  </si>
  <si>
    <t>PE-04</t>
  </si>
  <si>
    <t>IDE e LBE</t>
  </si>
  <si>
    <t>6.4; 6.5</t>
  </si>
  <si>
    <t>PE-05</t>
  </si>
  <si>
    <t>Plano de recolha de dados e medição</t>
  </si>
  <si>
    <t>6.6; 9.1</t>
  </si>
  <si>
    <t>PE-06</t>
  </si>
  <si>
    <t>Competência e consciencialização</t>
  </si>
  <si>
    <t>7.2; 7.3</t>
  </si>
  <si>
    <t>PE-07</t>
  </si>
  <si>
    <t>Controlo operacional dos USE</t>
  </si>
  <si>
    <t>8.1</t>
  </si>
  <si>
    <t>PE-08</t>
  </si>
  <si>
    <t>Projeto e aquisições</t>
  </si>
  <si>
    <t>8.2; 8.3</t>
  </si>
  <si>
    <t>PE-09</t>
  </si>
  <si>
    <t>Compra de energia</t>
  </si>
  <si>
    <t>8.3 b)</t>
  </si>
  <si>
    <t>PE-10</t>
  </si>
  <si>
    <t>Conformidade legal e SGCIE</t>
  </si>
  <si>
    <t>9.1.2</t>
  </si>
  <si>
    <t>PE-11</t>
  </si>
  <si>
    <t>Desvios significativos e M&amp;V</t>
  </si>
  <si>
    <t>9.1.1</t>
  </si>
  <si>
    <t>PE-12</t>
  </si>
  <si>
    <t>Auditoria interna do SGE</t>
  </si>
  <si>
    <t>9.2</t>
  </si>
  <si>
    <t>PE-13</t>
  </si>
  <si>
    <t>Revisão pela gestão</t>
  </si>
  <si>
    <t>9.3</t>
  </si>
  <si>
    <t>PE-14</t>
  </si>
  <si>
    <t>NC, ação corretiva e melhoria</t>
  </si>
  <si>
    <t>10</t>
  </si>
  <si>
    <t>LISTAS CONTROLADAS (domínios de validação de dados) — editar aqui para alterar opções</t>
  </si>
  <si>
    <t>DataReferencia</t>
  </si>
  <si>
    <t>Lacuna</t>
  </si>
  <si>
    <t>Gerente da Qualidade</t>
  </si>
  <si>
    <t>Responsável de Compras</t>
  </si>
  <si>
    <t>Responsável de R&amp;D</t>
  </si>
  <si>
    <t>Responsável de Recursos Humanos</t>
  </si>
  <si>
    <t>Engenheiro(a) de Processo</t>
  </si>
  <si>
    <t>Chefe de Turno</t>
  </si>
  <si>
    <t>Operador de Injeção</t>
  </si>
  <si>
    <t>Operador de Sopro (ISBM)</t>
  </si>
  <si>
    <t>Operador de Serigrafia</t>
  </si>
  <si>
    <t>Operador de Hot Foil</t>
  </si>
  <si>
    <t>Técnico de Manutenção</t>
  </si>
  <si>
    <t>Auditor(a) Interno(a) do SGE</t>
  </si>
  <si>
    <t>Responsável de Armazém e Logística</t>
  </si>
  <si>
    <t>Folha</t>
  </si>
  <si>
    <t>Tabela</t>
  </si>
  <si>
    <t>Coluna</t>
  </si>
  <si>
    <t>Tipo</t>
  </si>
  <si>
    <t>Origem</t>
  </si>
  <si>
    <t>Descricao</t>
  </si>
  <si>
    <t>Dominio_Unidade</t>
  </si>
  <si>
    <t>Obrigatorio</t>
  </si>
  <si>
    <t>Chave</t>
  </si>
  <si>
    <t>tbl_lideranca</t>
  </si>
  <si>
    <t>Texto</t>
  </si>
  <si>
    <t>Entrada</t>
  </si>
  <si>
    <t>Compromisso.</t>
  </si>
  <si>
    <t>Sim</t>
  </si>
  <si>
    <t>PK</t>
  </si>
  <si>
    <t>Alínea de 5.1.</t>
  </si>
  <si>
    <t>Requisito 5.1.</t>
  </si>
  <si>
    <t>Como a gestão de topo demonstra.</t>
  </si>
  <si>
    <t>Evidência.</t>
  </si>
  <si>
    <t>Responsável.</t>
  </si>
  <si>
    <t>Lista lst_Funcao</t>
  </si>
  <si>
    <t>Conforme / parcial / lacuna.</t>
  </si>
  <si>
    <t>Lista lst_Estado</t>
  </si>
  <si>
    <t>Frequência.</t>
  </si>
  <si>
    <t>tbl_politica</t>
  </si>
  <si>
    <t>Compromisso da política.</t>
  </si>
  <si>
    <t>Alíneas de 5.2 a que responde.</t>
  </si>
  <si>
    <t>Texto do compromisso.</t>
  </si>
  <si>
    <t>Inteiro</t>
  </si>
  <si>
    <t>N.º de objetivos energéticos que lhe dão corpo (RG-SGE-05, à data de referência).</t>
  </si>
  <si>
    <t>tbl_verif_politica</t>
  </si>
  <si>
    <t>tbl_equipa_energia</t>
  </si>
  <si>
    <t>Membro da equipa.</t>
  </si>
  <si>
    <t>Função.</t>
  </si>
  <si>
    <t>Papel e IDE de que é dono.</t>
  </si>
  <si>
    <t>Percentagem (fração 0-1)</t>
  </si>
  <si>
    <t>Tempo alocado ao SGE.</t>
  </si>
  <si>
    <t>Competências-chave (RG-SGE-07).</t>
  </si>
  <si>
    <t>Alíneas de 5.3.</t>
  </si>
  <si>
    <t>Decimal</t>
  </si>
  <si>
    <t>Calculado (fórmula)</t>
  </si>
  <si>
    <t>Equivalente a tempo inteiro.</t>
  </si>
  <si>
    <t>Processo do SGE.</t>
  </si>
  <si>
    <t>Processo (posição equivalente a Processo_SGA).</t>
  </si>
  <si>
    <t>Cláusula.</t>
  </si>
  <si>
    <t>RACI da função Diretor Geral.</t>
  </si>
  <si>
    <t>Lista lst_RACI</t>
  </si>
  <si>
    <t>Não</t>
  </si>
  <si>
    <t>RACI da função Diretor Industrial.</t>
  </si>
  <si>
    <t>RACI da função Gestor Energia.</t>
  </si>
  <si>
    <t>RACI da função Gerente Manutencao.</t>
  </si>
  <si>
    <t>RACI da função Gerente Producao.</t>
  </si>
  <si>
    <t>RACI da função Tecnico Utilidades.</t>
  </si>
  <si>
    <t>RACI da função Gestor SGA.</t>
  </si>
  <si>
    <t>RACI da função Diretor Financeiro.</t>
  </si>
  <si>
    <t>RACI da função Resp Compras.</t>
  </si>
  <si>
    <t>RACI da função Resp RD.</t>
  </si>
  <si>
    <t>RACI da função Resp RH.</t>
  </si>
  <si>
    <t>RACI da função Gerente Dados TI.</t>
  </si>
  <si>
    <t>RACI da função Chefes Turno.</t>
  </si>
  <si>
    <t>RACI da função Operadores.</t>
  </si>
  <si>
    <t>N.º de 'A'.</t>
  </si>
  <si>
    <t>Exatamente um aprovador por processo.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</si>
</sst>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b/>
      <sz val="10"/>
      <color rgb="FFFFFFFF"/>
      <name val="Arial"/>
    </font>
    <font>
      <sz val="10"/>
      <name val="Arial"/>
    </font>
    <font>
      <i/>
      <sz val="10"/>
      <color rgb="FF4A5A6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4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49" fontId="3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9" fontId="3" fillId="0" borderId="1" xfId="0" applyNumberFormat="1" applyFont="1" applyBorder="1" applyAlignment="1">
      <alignment vertical="top" wrapText="1"/>
    </xf>
    <xf numFmtId="4" fontId="3" fillId="4" borderId="1" xfId="0" applyNumberFormat="1" applyFont="1" applyFill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1" fontId="3" fillId="4" borderId="1" xfId="0" applyNumberFormat="1" applyFont="1" applyFill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2" fillId="2" borderId="0" xfId="0" applyFont="1" applyFill="1" applyAlignment="1">
      <alignment horizontal="center" vertical="top" wrapText="1"/>
    </xf>
    <xf numFmtId="16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7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ideranca" displayName="tbl_lideranca" ref="A4:H17">
  <autoFilter ref="A4:H17" xr:uid="{00000000-0009-0000-0100-000001000000}"/>
  <tableColumns count="8">
    <tableColumn id="1" xr3:uid="{00000000-0010-0000-0000-000001000000}" name="ID"/>
    <tableColumn id="2" xr3:uid="{00000000-0010-0000-0000-000002000000}" name="Alinea"/>
    <tableColumn id="3" xr3:uid="{00000000-0010-0000-0000-000003000000}" name="Compromisso"/>
    <tableColumn id="4" xr3:uid="{00000000-0010-0000-0000-000004000000}" name="Como_Demonstra"/>
    <tableColumn id="5" xr3:uid="{00000000-0010-0000-0000-000005000000}" name="Evidencia"/>
    <tableColumn id="6" xr3:uid="{00000000-0010-0000-0000-000006000000}" name="Responsavel"/>
    <tableColumn id="7" xr3:uid="{00000000-0010-0000-0000-000007000000}" name="Estado"/>
    <tableColumn id="8" xr3:uid="{00000000-0010-0000-0000-000008000000}" name="Frequenci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olitica" displayName="tbl_politica" ref="A1:D7">
  <autoFilter ref="A1:D7" xr:uid="{00000000-0009-0000-0100-000002000000}"/>
  <tableColumns count="4">
    <tableColumn id="1" xr3:uid="{00000000-0010-0000-0100-000001000000}" name="ID_Politica"/>
    <tableColumn id="2" xr3:uid="{00000000-0010-0000-0100-000002000000}" name="Alineas_5_2"/>
    <tableColumn id="3" xr3:uid="{00000000-0010-0000-0100-000003000000}" name="Compromisso"/>
    <tableColumn id="4" xr3:uid="{00000000-0010-0000-0100-000004000000}" name="N_Objetivo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verif_politica" displayName="tbl_verif_politica" ref="A1:D9">
  <autoFilter ref="A1:D9" xr:uid="{00000000-0009-0000-0100-000003000000}"/>
  <tableColumns count="4">
    <tableColumn id="1" xr3:uid="{00000000-0010-0000-0200-000001000000}" name="Requisito_5_2"/>
    <tableColumn id="2" xr3:uid="{00000000-0010-0000-0200-000002000000}" name="Texto_Norma"/>
    <tableColumn id="3" xr3:uid="{00000000-0010-0000-0200-000003000000}" name="Onde_Na_Politica"/>
    <tableColumn id="4" xr3:uid="{00000000-0010-0000-0200-000004000000}" name="Cumpr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equipa_energia" displayName="tbl_equipa_energia" ref="A4:G11">
  <autoFilter ref="A4:G11" xr:uid="{00000000-0009-0000-0100-000004000000}"/>
  <tableColumns count="7">
    <tableColumn id="1" xr3:uid="{00000000-0010-0000-0300-000001000000}" name="ID_Membro"/>
    <tableColumn id="2" xr3:uid="{00000000-0010-0000-0300-000002000000}" name="Funcao"/>
    <tableColumn id="3" xr3:uid="{00000000-0010-0000-0300-000003000000}" name="Papel_na_Equipa"/>
    <tableColumn id="4" xr3:uid="{00000000-0010-0000-0300-000004000000}" name="Pct_Tempo"/>
    <tableColumn id="5" xr3:uid="{00000000-0010-0000-0300-000005000000}" name="Competencias"/>
    <tableColumn id="6" xr3:uid="{00000000-0010-0000-0300-000006000000}" name="Responsabilidades_5_3"/>
    <tableColumn id="7" xr3:uid="{00000000-0010-0000-0300-000007000000}" name="FT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raci" displayName="tbl_raci" ref="A4:S18">
  <autoFilter ref="A4:S18" xr:uid="{00000000-0009-0000-0100-000005000000}"/>
  <tableColumns count="19">
    <tableColumn id="1" xr3:uid="{00000000-0010-0000-0400-000001000000}" name="ID_Processo"/>
    <tableColumn id="2" xr3:uid="{00000000-0010-0000-0400-000002000000}" name="Processo_SGE"/>
    <tableColumn id="3" xr3:uid="{00000000-0010-0000-0400-000003000000}" name="Clausula"/>
    <tableColumn id="4" xr3:uid="{00000000-0010-0000-0400-000004000000}" name="Diretor_Geral"/>
    <tableColumn id="5" xr3:uid="{00000000-0010-0000-0400-000005000000}" name="Diretor_Industrial"/>
    <tableColumn id="6" xr3:uid="{00000000-0010-0000-0400-000006000000}" name="Gestor_Energia"/>
    <tableColumn id="7" xr3:uid="{00000000-0010-0000-0400-000007000000}" name="Gerente_Manutencao"/>
    <tableColumn id="8" xr3:uid="{00000000-0010-0000-0400-000008000000}" name="Gerente_Producao"/>
    <tableColumn id="9" xr3:uid="{00000000-0010-0000-0400-000009000000}" name="Tecnico_Utilidades"/>
    <tableColumn id="10" xr3:uid="{00000000-0010-0000-0400-00000A000000}" name="Gestor_SGA"/>
    <tableColumn id="11" xr3:uid="{00000000-0010-0000-0400-00000B000000}" name="Diretor_Financeiro"/>
    <tableColumn id="12" xr3:uid="{00000000-0010-0000-0400-00000C000000}" name="Resp_Compras"/>
    <tableColumn id="13" xr3:uid="{00000000-0010-0000-0400-00000D000000}" name="Resp_RD"/>
    <tableColumn id="14" xr3:uid="{00000000-0010-0000-0400-00000E000000}" name="Resp_RH"/>
    <tableColumn id="15" xr3:uid="{00000000-0010-0000-0400-00000F000000}" name="Gerente_Dados_TI"/>
    <tableColumn id="16" xr3:uid="{00000000-0010-0000-0400-000010000000}" name="Chefes_Turno"/>
    <tableColumn id="17" xr3:uid="{00000000-0010-0000-0400-000011000000}" name="Operadores"/>
    <tableColumn id="18" xr3:uid="{00000000-0010-0000-0400-000012000000}" name="N_Aprovadores"/>
    <tableColumn id="19" xr3:uid="{00000000-0010-0000-0400-000013000000}" name="Controlo_RACI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icionario" displayName="tbl_dicionario" ref="A1:I43">
  <autoFilter ref="A1:I43" xr:uid="{00000000-0009-0000-0100-000006000000}"/>
  <tableColumns count="9">
    <tableColumn id="1" xr3:uid="{00000000-0010-0000-0500-000001000000}" name="Folha"/>
    <tableColumn id="2" xr3:uid="{00000000-0010-0000-0500-000002000000}" name="Tabela"/>
    <tableColumn id="3" xr3:uid="{00000000-0010-0000-0500-000003000000}" name="Coluna"/>
    <tableColumn id="4" xr3:uid="{00000000-0010-0000-0500-000004000000}" name="Tipo"/>
    <tableColumn id="5" xr3:uid="{00000000-0010-0000-0500-000005000000}" name="Origem"/>
    <tableColumn id="6" xr3:uid="{00000000-0010-0000-0500-000006000000}" name="Descricao"/>
    <tableColumn id="7" xr3:uid="{00000000-0010-0000-0500-000007000000}" name="Dominio_Unidade"/>
    <tableColumn id="8" xr3:uid="{00000000-0010-0000-0500-000008000000}" name="Obrigatorio"/>
    <tableColumn id="9" xr3:uid="{00000000-0010-0000-05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9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26.4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x14ac:dyDescent="0.3">
      <c r="A26" s="5" t="s">
        <v>35</v>
      </c>
      <c r="B26" s="6" t="s">
        <v>36</v>
      </c>
    </row>
    <row r="28" spans="1:2" x14ac:dyDescent="0.3">
      <c r="A28" s="3" t="s">
        <v>37</v>
      </c>
      <c r="B28" s="4"/>
    </row>
    <row r="29" spans="1:2" x14ac:dyDescent="0.3">
      <c r="A29" s="5" t="s">
        <v>38</v>
      </c>
      <c r="B29" s="6" t="s">
        <v>39</v>
      </c>
    </row>
    <row r="30" spans="1:2" x14ac:dyDescent="0.3">
      <c r="A30" s="5" t="s">
        <v>40</v>
      </c>
      <c r="B30" s="6" t="s">
        <v>41</v>
      </c>
    </row>
    <row r="31" spans="1:2" x14ac:dyDescent="0.3">
      <c r="A31" s="5" t="s">
        <v>42</v>
      </c>
      <c r="B31" s="6" t="s">
        <v>43</v>
      </c>
    </row>
    <row r="32" spans="1:2" x14ac:dyDescent="0.3">
      <c r="A32" s="5" t="s">
        <v>44</v>
      </c>
      <c r="B32" s="6" t="s">
        <v>45</v>
      </c>
    </row>
    <row r="33" spans="1:2" x14ac:dyDescent="0.3">
      <c r="A33" s="5" t="s">
        <v>46</v>
      </c>
      <c r="B33" s="6" t="s">
        <v>47</v>
      </c>
    </row>
    <row r="34" spans="1:2" x14ac:dyDescent="0.3">
      <c r="A34" s="5" t="s">
        <v>48</v>
      </c>
      <c r="B34" s="6" t="s">
        <v>49</v>
      </c>
    </row>
    <row r="35" spans="1:2" x14ac:dyDescent="0.3">
      <c r="A35" s="5" t="s">
        <v>50</v>
      </c>
      <c r="B35" s="6" t="s">
        <v>51</v>
      </c>
    </row>
    <row r="36" spans="1:2" x14ac:dyDescent="0.3">
      <c r="A36" s="5" t="s">
        <v>52</v>
      </c>
      <c r="B36" s="6" t="s">
        <v>53</v>
      </c>
    </row>
    <row r="38" spans="1:2" x14ac:dyDescent="0.3">
      <c r="A38" s="3" t="s">
        <v>54</v>
      </c>
      <c r="B38" s="4"/>
    </row>
    <row r="39" spans="1:2" ht="26.4" x14ac:dyDescent="0.3">
      <c r="A39" s="5" t="s">
        <v>55</v>
      </c>
      <c r="B39" s="6" t="s">
        <v>56</v>
      </c>
    </row>
    <row r="40" spans="1:2" x14ac:dyDescent="0.3">
      <c r="A40" s="5" t="s">
        <v>57</v>
      </c>
      <c r="B40" s="6" t="s">
        <v>58</v>
      </c>
    </row>
    <row r="41" spans="1:2" x14ac:dyDescent="0.3">
      <c r="A41" s="5" t="s">
        <v>59</v>
      </c>
      <c r="B41" s="6" t="s">
        <v>60</v>
      </c>
    </row>
    <row r="42" spans="1:2" ht="26.4" x14ac:dyDescent="0.3">
      <c r="A42" s="5" t="s">
        <v>61</v>
      </c>
      <c r="B42" s="6" t="s">
        <v>62</v>
      </c>
    </row>
    <row r="43" spans="1:2" ht="26.4" x14ac:dyDescent="0.3">
      <c r="A43" s="5" t="s">
        <v>63</v>
      </c>
      <c r="B43" s="6" t="s">
        <v>64</v>
      </c>
    </row>
    <row r="44" spans="1:2" ht="52.8" x14ac:dyDescent="0.3">
      <c r="A44" s="5" t="s">
        <v>65</v>
      </c>
      <c r="B44" s="6" t="s">
        <v>66</v>
      </c>
    </row>
    <row r="46" spans="1:2" x14ac:dyDescent="0.3">
      <c r="A46" s="3" t="s">
        <v>67</v>
      </c>
      <c r="B46" s="4"/>
    </row>
    <row r="47" spans="1:2" x14ac:dyDescent="0.3">
      <c r="A47" s="5" t="s">
        <v>68</v>
      </c>
      <c r="B47" s="6" t="s">
        <v>69</v>
      </c>
    </row>
    <row r="48" spans="1:2" x14ac:dyDescent="0.3">
      <c r="A48" s="5" t="s">
        <v>70</v>
      </c>
      <c r="B48" s="6" t="s">
        <v>71</v>
      </c>
    </row>
    <row r="49" spans="1:2" x14ac:dyDescent="0.3">
      <c r="A49" s="5" t="s">
        <v>72</v>
      </c>
      <c r="B49" s="6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7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6" customWidth="1"/>
    <col min="3" max="4" width="44" customWidth="1"/>
    <col min="5" max="5" width="30" customWidth="1"/>
    <col min="6" max="6" width="22" customWidth="1"/>
    <col min="7" max="7" width="9" customWidth="1"/>
    <col min="8" max="8" width="11" customWidth="1"/>
  </cols>
  <sheetData>
    <row r="1" spans="1:8" ht="17.399999999999999" x14ac:dyDescent="0.3">
      <c r="A1" s="1" t="s">
        <v>74</v>
      </c>
    </row>
    <row r="4" spans="1:8" ht="26.4" x14ac:dyDescent="0.3">
      <c r="A4" s="8" t="s">
        <v>75</v>
      </c>
      <c r="B4" s="8" t="s">
        <v>76</v>
      </c>
      <c r="C4" s="8" t="s">
        <v>77</v>
      </c>
      <c r="D4" s="8" t="s">
        <v>78</v>
      </c>
      <c r="E4" s="8" t="s">
        <v>79</v>
      </c>
      <c r="F4" s="8" t="s">
        <v>80</v>
      </c>
      <c r="G4" s="8" t="s">
        <v>14</v>
      </c>
      <c r="H4" s="8" t="s">
        <v>81</v>
      </c>
    </row>
    <row r="5" spans="1:8" ht="36" customHeight="1" x14ac:dyDescent="0.3">
      <c r="A5" s="9" t="s">
        <v>82</v>
      </c>
      <c r="B5" s="9" t="s">
        <v>83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88</v>
      </c>
      <c r="H5" s="9" t="s">
        <v>89</v>
      </c>
    </row>
    <row r="6" spans="1:8" ht="36" customHeight="1" x14ac:dyDescent="0.3">
      <c r="A6" s="9" t="s">
        <v>90</v>
      </c>
      <c r="B6" s="9" t="s">
        <v>91</v>
      </c>
      <c r="C6" s="9" t="s">
        <v>92</v>
      </c>
      <c r="D6" s="9" t="s">
        <v>93</v>
      </c>
      <c r="E6" s="9" t="s">
        <v>94</v>
      </c>
      <c r="F6" s="9" t="s">
        <v>87</v>
      </c>
      <c r="G6" s="9" t="s">
        <v>88</v>
      </c>
      <c r="H6" s="9" t="s">
        <v>89</v>
      </c>
    </row>
    <row r="7" spans="1:8" ht="36" customHeight="1" x14ac:dyDescent="0.3">
      <c r="A7" s="9" t="s">
        <v>95</v>
      </c>
      <c r="B7" s="9" t="s">
        <v>96</v>
      </c>
      <c r="C7" s="9" t="s">
        <v>97</v>
      </c>
      <c r="D7" s="9" t="s">
        <v>98</v>
      </c>
      <c r="E7" s="9" t="s">
        <v>99</v>
      </c>
      <c r="F7" s="9" t="s">
        <v>100</v>
      </c>
      <c r="G7" s="9" t="s">
        <v>101</v>
      </c>
      <c r="H7" s="9" t="s">
        <v>102</v>
      </c>
    </row>
    <row r="8" spans="1:8" ht="36" customHeight="1" x14ac:dyDescent="0.3">
      <c r="A8" s="9" t="s">
        <v>103</v>
      </c>
      <c r="B8" s="9" t="s">
        <v>104</v>
      </c>
      <c r="C8" s="9" t="s">
        <v>105</v>
      </c>
      <c r="D8" s="9" t="s">
        <v>106</v>
      </c>
      <c r="E8" s="9" t="s">
        <v>107</v>
      </c>
      <c r="F8" s="9" t="s">
        <v>87</v>
      </c>
      <c r="G8" s="9" t="s">
        <v>88</v>
      </c>
      <c r="H8" s="9" t="s">
        <v>108</v>
      </c>
    </row>
    <row r="9" spans="1:8" ht="36" customHeight="1" x14ac:dyDescent="0.3">
      <c r="A9" s="9" t="s">
        <v>109</v>
      </c>
      <c r="B9" s="9" t="s">
        <v>110</v>
      </c>
      <c r="C9" s="9" t="s">
        <v>111</v>
      </c>
      <c r="D9" s="9" t="s">
        <v>112</v>
      </c>
      <c r="E9" s="9" t="s">
        <v>113</v>
      </c>
      <c r="F9" s="9" t="s">
        <v>87</v>
      </c>
      <c r="G9" s="9" t="s">
        <v>88</v>
      </c>
      <c r="H9" s="9" t="s">
        <v>89</v>
      </c>
    </row>
    <row r="10" spans="1:8" ht="36" customHeight="1" x14ac:dyDescent="0.3">
      <c r="A10" s="9" t="s">
        <v>114</v>
      </c>
      <c r="B10" s="9" t="s">
        <v>115</v>
      </c>
      <c r="C10" s="9" t="s">
        <v>116</v>
      </c>
      <c r="D10" s="9" t="s">
        <v>117</v>
      </c>
      <c r="E10" s="9" t="s">
        <v>118</v>
      </c>
      <c r="F10" s="9" t="s">
        <v>87</v>
      </c>
      <c r="G10" s="9" t="s">
        <v>88</v>
      </c>
      <c r="H10" s="9" t="s">
        <v>119</v>
      </c>
    </row>
    <row r="11" spans="1:8" ht="36" customHeight="1" x14ac:dyDescent="0.3">
      <c r="A11" s="9" t="s">
        <v>120</v>
      </c>
      <c r="B11" s="9" t="s">
        <v>121</v>
      </c>
      <c r="C11" s="9" t="s">
        <v>122</v>
      </c>
      <c r="D11" s="9" t="s">
        <v>123</v>
      </c>
      <c r="E11" s="9" t="s">
        <v>72</v>
      </c>
      <c r="F11" s="9" t="s">
        <v>87</v>
      </c>
      <c r="G11" s="9" t="s">
        <v>101</v>
      </c>
      <c r="H11" s="9" t="s">
        <v>89</v>
      </c>
    </row>
    <row r="12" spans="1:8" ht="36" customHeight="1" x14ac:dyDescent="0.3">
      <c r="A12" s="9" t="s">
        <v>124</v>
      </c>
      <c r="B12" s="9" t="s">
        <v>125</v>
      </c>
      <c r="C12" s="9" t="s">
        <v>126</v>
      </c>
      <c r="D12" s="9" t="s">
        <v>127</v>
      </c>
      <c r="E12" s="9" t="s">
        <v>128</v>
      </c>
      <c r="F12" s="9" t="s">
        <v>100</v>
      </c>
      <c r="G12" s="9" t="s">
        <v>88</v>
      </c>
      <c r="H12" s="9" t="s">
        <v>102</v>
      </c>
    </row>
    <row r="13" spans="1:8" ht="36" customHeight="1" x14ac:dyDescent="0.3">
      <c r="A13" s="9" t="s">
        <v>129</v>
      </c>
      <c r="B13" s="9" t="s">
        <v>130</v>
      </c>
      <c r="C13" s="9" t="s">
        <v>131</v>
      </c>
      <c r="D13" s="9" t="s">
        <v>132</v>
      </c>
      <c r="E13" s="9" t="s">
        <v>133</v>
      </c>
      <c r="F13" s="9" t="s">
        <v>87</v>
      </c>
      <c r="G13" s="9" t="s">
        <v>88</v>
      </c>
      <c r="H13" s="9" t="s">
        <v>89</v>
      </c>
    </row>
    <row r="14" spans="1:8" ht="36" customHeight="1" x14ac:dyDescent="0.3">
      <c r="A14" s="9" t="s">
        <v>134</v>
      </c>
      <c r="B14" s="9" t="s">
        <v>135</v>
      </c>
      <c r="C14" s="9" t="s">
        <v>136</v>
      </c>
      <c r="D14" s="9" t="s">
        <v>137</v>
      </c>
      <c r="E14" s="9" t="s">
        <v>138</v>
      </c>
      <c r="F14" s="9" t="s">
        <v>100</v>
      </c>
      <c r="G14" s="9" t="s">
        <v>101</v>
      </c>
      <c r="H14" s="9" t="s">
        <v>102</v>
      </c>
    </row>
    <row r="15" spans="1:8" ht="36" customHeight="1" x14ac:dyDescent="0.3">
      <c r="A15" s="9" t="s">
        <v>139</v>
      </c>
      <c r="B15" s="9" t="s">
        <v>140</v>
      </c>
      <c r="C15" s="9" t="s">
        <v>141</v>
      </c>
      <c r="D15" s="9" t="s">
        <v>142</v>
      </c>
      <c r="E15" s="9" t="s">
        <v>143</v>
      </c>
      <c r="F15" s="9" t="s">
        <v>100</v>
      </c>
      <c r="G15" s="9" t="s">
        <v>88</v>
      </c>
      <c r="H15" s="9" t="s">
        <v>89</v>
      </c>
    </row>
    <row r="16" spans="1:8" ht="36" customHeight="1" x14ac:dyDescent="0.3">
      <c r="A16" s="9" t="s">
        <v>144</v>
      </c>
      <c r="B16" s="9" t="s">
        <v>145</v>
      </c>
      <c r="C16" s="9" t="s">
        <v>146</v>
      </c>
      <c r="D16" s="9" t="s">
        <v>147</v>
      </c>
      <c r="E16" s="9" t="s">
        <v>148</v>
      </c>
      <c r="F16" s="9" t="s">
        <v>87</v>
      </c>
      <c r="G16" s="9" t="s">
        <v>101</v>
      </c>
      <c r="H16" s="9" t="s">
        <v>89</v>
      </c>
    </row>
    <row r="17" spans="1:8" ht="36" customHeight="1" x14ac:dyDescent="0.3">
      <c r="A17" s="9" t="s">
        <v>149</v>
      </c>
      <c r="B17" s="9" t="s">
        <v>150</v>
      </c>
      <c r="C17" s="9" t="s">
        <v>151</v>
      </c>
      <c r="D17" s="9" t="s">
        <v>152</v>
      </c>
      <c r="E17" s="9" t="s">
        <v>153</v>
      </c>
      <c r="F17" s="9" t="s">
        <v>100</v>
      </c>
      <c r="G17" s="9" t="s">
        <v>101</v>
      </c>
      <c r="H17" s="9" t="s">
        <v>154</v>
      </c>
    </row>
  </sheetData>
  <conditionalFormatting sqref="G5:G217">
    <cfRule type="expression" dxfId="6" priority="1">
      <formula>ISNUMBER(SEARCH("Conforme",G5))</formula>
    </cfRule>
    <cfRule type="expression" dxfId="5" priority="2">
      <formula>ISNUMBER(SEARCH("Parcial",G5))</formula>
    </cfRule>
    <cfRule type="expression" dxfId="4" priority="3">
      <formula>ISNUMBER(SEARCH("Lacuna",G5))</formula>
    </cfRule>
  </conditionalFormatting>
  <dataValidations count="2">
    <dataValidation type="list" allowBlank="1" showErrorMessage="1" errorTitle="Valor inválido" error="Valor fora da lista controlada (ver folha Listas)." sqref="F5:F217" xr:uid="{00000000-0002-0000-0100-000000000000}">
      <formula1>lst_Funcao</formula1>
    </dataValidation>
    <dataValidation type="list" allowBlank="1" showErrorMessage="1" errorTitle="Valor inválido" error="Valor fora da lista controlada (ver folha Listas)." sqref="G5:G217" xr:uid="{00000000-0002-0000-0100-000001000000}">
      <formula1>lst_Estado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5F"/>
    <pageSetUpPr fitToPage="1"/>
  </sheetPr>
  <dimension ref="A1:B12"/>
  <sheetViews>
    <sheetView showGridLines="0" workbookViewId="0"/>
  </sheetViews>
  <sheetFormatPr defaultRowHeight="14.4" x14ac:dyDescent="0.3"/>
  <cols>
    <col min="1" max="1" width="12" customWidth="1"/>
    <col min="2" max="2" width="120" customWidth="1"/>
  </cols>
  <sheetData>
    <row r="1" spans="1:2" ht="17.399999999999999" x14ac:dyDescent="0.3">
      <c r="A1" s="1" t="s">
        <v>155</v>
      </c>
    </row>
    <row r="2" spans="1:2" x14ac:dyDescent="0.3">
      <c r="A2" s="2" t="s">
        <v>156</v>
      </c>
    </row>
    <row r="4" spans="1:2" ht="31.95" customHeight="1" x14ac:dyDescent="0.3">
      <c r="A4" s="6"/>
      <c r="B4" s="6" t="s">
        <v>157</v>
      </c>
    </row>
    <row r="5" spans="1:2" ht="31.95" customHeight="1" x14ac:dyDescent="0.3">
      <c r="A5" s="10" t="s">
        <v>158</v>
      </c>
      <c r="B5" s="11" t="s">
        <v>159</v>
      </c>
    </row>
    <row r="6" spans="1:2" ht="31.95" customHeight="1" x14ac:dyDescent="0.3">
      <c r="A6" s="10" t="s">
        <v>160</v>
      </c>
      <c r="B6" s="11" t="s">
        <v>161</v>
      </c>
    </row>
    <row r="7" spans="1:2" ht="31.95" customHeight="1" x14ac:dyDescent="0.3">
      <c r="A7" s="10" t="s">
        <v>162</v>
      </c>
      <c r="B7" s="11" t="s">
        <v>163</v>
      </c>
    </row>
    <row r="8" spans="1:2" ht="31.95" customHeight="1" x14ac:dyDescent="0.3">
      <c r="A8" s="10" t="s">
        <v>164</v>
      </c>
      <c r="B8" s="11" t="s">
        <v>165</v>
      </c>
    </row>
    <row r="9" spans="1:2" ht="31.95" customHeight="1" x14ac:dyDescent="0.3">
      <c r="A9" s="10" t="s">
        <v>166</v>
      </c>
      <c r="B9" s="11" t="s">
        <v>167</v>
      </c>
    </row>
    <row r="10" spans="1:2" ht="31.95" customHeight="1" x14ac:dyDescent="0.3">
      <c r="A10" s="10" t="s">
        <v>168</v>
      </c>
      <c r="B10" s="11" t="s">
        <v>169</v>
      </c>
    </row>
    <row r="11" spans="1:2" ht="31.95" customHeight="1" x14ac:dyDescent="0.3"/>
    <row r="12" spans="1:2" ht="31.95" customHeight="1" x14ac:dyDescent="0.3">
      <c r="B12" s="6" t="s">
        <v>170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7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0" customWidth="1"/>
    <col min="3" max="3" width="90" customWidth="1"/>
    <col min="4" max="4" width="9" customWidth="1"/>
  </cols>
  <sheetData>
    <row r="1" spans="1:4" ht="26.4" x14ac:dyDescent="0.3">
      <c r="A1" s="8" t="s">
        <v>171</v>
      </c>
      <c r="B1" s="8" t="s">
        <v>172</v>
      </c>
      <c r="C1" s="8" t="s">
        <v>77</v>
      </c>
      <c r="D1" s="8" t="s">
        <v>173</v>
      </c>
    </row>
    <row r="2" spans="1:4" ht="30" customHeight="1" x14ac:dyDescent="0.3">
      <c r="A2" s="9" t="s">
        <v>158</v>
      </c>
      <c r="B2" s="9" t="s">
        <v>174</v>
      </c>
      <c r="C2" s="9" t="s">
        <v>159</v>
      </c>
      <c r="D2" s="12">
        <v>3</v>
      </c>
    </row>
    <row r="3" spans="1:4" ht="30" customHeight="1" x14ac:dyDescent="0.3">
      <c r="A3" s="9" t="s">
        <v>160</v>
      </c>
      <c r="B3" s="9" t="s">
        <v>96</v>
      </c>
      <c r="C3" s="9" t="s">
        <v>161</v>
      </c>
      <c r="D3" s="12">
        <v>1</v>
      </c>
    </row>
    <row r="4" spans="1:4" ht="30" customHeight="1" x14ac:dyDescent="0.3">
      <c r="A4" s="9" t="s">
        <v>162</v>
      </c>
      <c r="B4" s="9" t="s">
        <v>104</v>
      </c>
      <c r="C4" s="9" t="s">
        <v>163</v>
      </c>
      <c r="D4" s="12">
        <v>1</v>
      </c>
    </row>
    <row r="5" spans="1:4" ht="30" customHeight="1" x14ac:dyDescent="0.3">
      <c r="A5" s="9" t="s">
        <v>164</v>
      </c>
      <c r="B5" s="9" t="s">
        <v>115</v>
      </c>
      <c r="C5" s="9" t="s">
        <v>165</v>
      </c>
      <c r="D5" s="12">
        <v>1</v>
      </c>
    </row>
    <row r="6" spans="1:4" ht="30" customHeight="1" x14ac:dyDescent="0.3">
      <c r="A6" s="9" t="s">
        <v>166</v>
      </c>
      <c r="B6" s="9" t="s">
        <v>121</v>
      </c>
      <c r="C6" s="9" t="s">
        <v>167</v>
      </c>
      <c r="D6" s="12">
        <v>0</v>
      </c>
    </row>
    <row r="7" spans="1:4" ht="30" customHeight="1" x14ac:dyDescent="0.3">
      <c r="A7" s="9" t="s">
        <v>168</v>
      </c>
      <c r="B7" s="9" t="s">
        <v>175</v>
      </c>
      <c r="C7" s="9" t="s">
        <v>169</v>
      </c>
      <c r="D7" s="12">
        <v>0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9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60" customWidth="1"/>
    <col min="3" max="3" width="20" customWidth="1"/>
    <col min="4" max="4" width="8" customWidth="1"/>
  </cols>
  <sheetData>
    <row r="1" spans="1:4" ht="26.4" x14ac:dyDescent="0.3">
      <c r="A1" s="8" t="s">
        <v>176</v>
      </c>
      <c r="B1" s="8" t="s">
        <v>177</v>
      </c>
      <c r="C1" s="8" t="s">
        <v>178</v>
      </c>
      <c r="D1" s="8" t="s">
        <v>179</v>
      </c>
    </row>
    <row r="2" spans="1:4" ht="19.95" customHeight="1" x14ac:dyDescent="0.3">
      <c r="A2" s="9" t="s">
        <v>180</v>
      </c>
      <c r="B2" s="9" t="s">
        <v>181</v>
      </c>
      <c r="C2" s="9" t="s">
        <v>182</v>
      </c>
      <c r="D2" s="9" t="s">
        <v>88</v>
      </c>
    </row>
    <row r="3" spans="1:4" ht="19.95" customHeight="1" x14ac:dyDescent="0.3">
      <c r="A3" s="9" t="s">
        <v>183</v>
      </c>
      <c r="B3" s="9" t="s">
        <v>184</v>
      </c>
      <c r="C3" s="9" t="s">
        <v>158</v>
      </c>
      <c r="D3" s="9" t="s">
        <v>88</v>
      </c>
    </row>
    <row r="4" spans="1:4" ht="19.95" customHeight="1" x14ac:dyDescent="0.3">
      <c r="A4" s="9" t="s">
        <v>185</v>
      </c>
      <c r="B4" s="9" t="s">
        <v>186</v>
      </c>
      <c r="C4" s="9" t="s">
        <v>160</v>
      </c>
      <c r="D4" s="9" t="s">
        <v>88</v>
      </c>
    </row>
    <row r="5" spans="1:4" ht="19.95" customHeight="1" x14ac:dyDescent="0.3">
      <c r="A5" s="9" t="s">
        <v>187</v>
      </c>
      <c r="B5" s="9" t="s">
        <v>188</v>
      </c>
      <c r="C5" s="9" t="s">
        <v>162</v>
      </c>
      <c r="D5" s="9" t="s">
        <v>88</v>
      </c>
    </row>
    <row r="6" spans="1:4" ht="19.95" customHeight="1" x14ac:dyDescent="0.3">
      <c r="A6" s="9" t="s">
        <v>189</v>
      </c>
      <c r="B6" s="9" t="s">
        <v>190</v>
      </c>
      <c r="C6" s="9" t="s">
        <v>158</v>
      </c>
      <c r="D6" s="9" t="s">
        <v>88</v>
      </c>
    </row>
    <row r="7" spans="1:4" ht="19.95" customHeight="1" x14ac:dyDescent="0.3">
      <c r="A7" s="9" t="s">
        <v>191</v>
      </c>
      <c r="B7" s="9" t="s">
        <v>192</v>
      </c>
      <c r="C7" s="9" t="s">
        <v>164</v>
      </c>
      <c r="D7" s="9" t="s">
        <v>88</v>
      </c>
    </row>
    <row r="8" spans="1:4" ht="19.95" customHeight="1" x14ac:dyDescent="0.3">
      <c r="A8" s="9" t="s">
        <v>193</v>
      </c>
      <c r="B8" s="9" t="s">
        <v>194</v>
      </c>
      <c r="C8" s="9" t="s">
        <v>166</v>
      </c>
      <c r="D8" s="9" t="s">
        <v>88</v>
      </c>
    </row>
    <row r="9" spans="1:4" ht="19.95" customHeight="1" x14ac:dyDescent="0.3">
      <c r="A9" s="9" t="s">
        <v>195</v>
      </c>
      <c r="B9" s="9" t="s">
        <v>196</v>
      </c>
      <c r="C9" s="9" t="s">
        <v>197</v>
      </c>
      <c r="D9" s="9" t="s">
        <v>101</v>
      </c>
    </row>
  </sheetData>
  <conditionalFormatting sqref="D2:D209">
    <cfRule type="expression" dxfId="3" priority="1">
      <formula>ISNUMBER(SEARCH("Conforme",D2))</formula>
    </cfRule>
    <cfRule type="expression" dxfId="2" priority="2">
      <formula>ISNUMBER(SEARCH("Parcial",D2))</formula>
    </cfRule>
  </conditionalFormatting>
  <dataValidations count="1">
    <dataValidation type="list" allowBlank="1" showErrorMessage="1" errorTitle="Valor inválido" error="Valor fora da lista controlada (ver folha Listas)." sqref="D2:D209" xr:uid="{00000000-0002-0000-0400-000000000000}">
      <formula1>lst_Estado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4" customWidth="1"/>
    <col min="3" max="3" width="50" customWidth="1"/>
    <col min="4" max="4" width="8" customWidth="1"/>
    <col min="5" max="5" width="30" customWidth="1"/>
    <col min="6" max="6" width="14" customWidth="1"/>
    <col min="7" max="7" width="7" customWidth="1"/>
  </cols>
  <sheetData>
    <row r="1" spans="1:7" ht="17.399999999999999" x14ac:dyDescent="0.3">
      <c r="A1" s="1" t="s">
        <v>198</v>
      </c>
    </row>
    <row r="2" spans="1:7" x14ac:dyDescent="0.3">
      <c r="A2" s="2" t="s">
        <v>199</v>
      </c>
    </row>
    <row r="4" spans="1:7" ht="26.4" x14ac:dyDescent="0.3">
      <c r="A4" s="8" t="s">
        <v>200</v>
      </c>
      <c r="B4" s="8" t="s">
        <v>201</v>
      </c>
      <c r="C4" s="8" t="s">
        <v>202</v>
      </c>
      <c r="D4" s="8" t="s">
        <v>203</v>
      </c>
      <c r="E4" s="8" t="s">
        <v>204</v>
      </c>
      <c r="F4" s="8" t="s">
        <v>205</v>
      </c>
      <c r="G4" s="13" t="s">
        <v>206</v>
      </c>
    </row>
    <row r="5" spans="1:7" ht="30" customHeight="1" x14ac:dyDescent="0.3">
      <c r="A5" s="9" t="s">
        <v>207</v>
      </c>
      <c r="B5" s="9" t="s">
        <v>208</v>
      </c>
      <c r="C5" s="9" t="s">
        <v>209</v>
      </c>
      <c r="D5" s="14">
        <v>0.5</v>
      </c>
      <c r="E5" s="9" t="s">
        <v>210</v>
      </c>
      <c r="F5" s="9" t="s">
        <v>211</v>
      </c>
      <c r="G5" s="15">
        <f t="shared" ref="G5:G11" si="0">IF(A5="","",D5)</f>
        <v>0.5</v>
      </c>
    </row>
    <row r="6" spans="1:7" ht="30" customHeight="1" x14ac:dyDescent="0.3">
      <c r="A6" s="9" t="s">
        <v>212</v>
      </c>
      <c r="B6" s="9" t="s">
        <v>213</v>
      </c>
      <c r="C6" s="9" t="s">
        <v>214</v>
      </c>
      <c r="D6" s="14">
        <v>0.1</v>
      </c>
      <c r="E6" s="9" t="s">
        <v>215</v>
      </c>
      <c r="F6" s="9" t="s">
        <v>216</v>
      </c>
      <c r="G6" s="15">
        <f t="shared" si="0"/>
        <v>0.1</v>
      </c>
    </row>
    <row r="7" spans="1:7" ht="30" customHeight="1" x14ac:dyDescent="0.3">
      <c r="A7" s="9" t="s">
        <v>217</v>
      </c>
      <c r="B7" s="9" t="s">
        <v>218</v>
      </c>
      <c r="C7" s="9" t="s">
        <v>219</v>
      </c>
      <c r="D7" s="14">
        <v>0.1</v>
      </c>
      <c r="E7" s="9" t="s">
        <v>220</v>
      </c>
      <c r="F7" s="9" t="s">
        <v>221</v>
      </c>
      <c r="G7" s="15">
        <f t="shared" si="0"/>
        <v>0.1</v>
      </c>
    </row>
    <row r="8" spans="1:7" ht="30" customHeight="1" x14ac:dyDescent="0.3">
      <c r="A8" s="9" t="s">
        <v>222</v>
      </c>
      <c r="B8" s="9" t="s">
        <v>223</v>
      </c>
      <c r="C8" s="9" t="s">
        <v>224</v>
      </c>
      <c r="D8" s="14">
        <v>0.3</v>
      </c>
      <c r="E8" s="9" t="s">
        <v>225</v>
      </c>
      <c r="F8" s="9" t="s">
        <v>216</v>
      </c>
      <c r="G8" s="15">
        <f t="shared" si="0"/>
        <v>0.3</v>
      </c>
    </row>
    <row r="9" spans="1:7" ht="30" customHeight="1" x14ac:dyDescent="0.3">
      <c r="A9" s="9" t="s">
        <v>226</v>
      </c>
      <c r="B9" s="9" t="s">
        <v>227</v>
      </c>
      <c r="C9" s="9" t="s">
        <v>228</v>
      </c>
      <c r="D9" s="14">
        <v>0.05</v>
      </c>
      <c r="E9" s="9" t="s">
        <v>229</v>
      </c>
      <c r="F9" s="9" t="s">
        <v>221</v>
      </c>
      <c r="G9" s="15">
        <f t="shared" si="0"/>
        <v>0.05</v>
      </c>
    </row>
    <row r="10" spans="1:7" ht="30" customHeight="1" x14ac:dyDescent="0.3">
      <c r="A10" s="9" t="s">
        <v>230</v>
      </c>
      <c r="B10" s="9" t="s">
        <v>231</v>
      </c>
      <c r="C10" s="9" t="s">
        <v>232</v>
      </c>
      <c r="D10" s="14">
        <v>0.1</v>
      </c>
      <c r="E10" s="9" t="s">
        <v>233</v>
      </c>
      <c r="F10" s="9" t="s">
        <v>234</v>
      </c>
      <c r="G10" s="15">
        <f t="shared" si="0"/>
        <v>0.1</v>
      </c>
    </row>
    <row r="11" spans="1:7" ht="30" customHeight="1" x14ac:dyDescent="0.3">
      <c r="A11" s="9" t="s">
        <v>235</v>
      </c>
      <c r="B11" s="9" t="s">
        <v>236</v>
      </c>
      <c r="C11" s="9" t="s">
        <v>237</v>
      </c>
      <c r="D11" s="14">
        <v>0.05</v>
      </c>
      <c r="E11" s="9" t="s">
        <v>238</v>
      </c>
      <c r="F11" s="9" t="s">
        <v>239</v>
      </c>
      <c r="G11" s="15">
        <f t="shared" si="0"/>
        <v>0.05</v>
      </c>
    </row>
    <row r="12" spans="1:7" ht="26.4" x14ac:dyDescent="0.3">
      <c r="A12" s="10" t="s">
        <v>240</v>
      </c>
      <c r="G12" s="16">
        <f>SUM(G5:G11)</f>
        <v>1.2000000000000002</v>
      </c>
    </row>
  </sheetData>
  <dataValidations count="1">
    <dataValidation type="list" allowBlank="1" showErrorMessage="1" errorTitle="Valor inválido" error="Valor fora da lista controlada (ver folha Listas)." sqref="B5:B211" xr:uid="{00000000-0002-0000-05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8"/>
  <sheetViews>
    <sheetView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4" customWidth="1"/>
    <col min="3" max="3" width="10" customWidth="1"/>
    <col min="4" max="17" width="9" customWidth="1"/>
    <col min="18" max="18" width="8" customWidth="1"/>
    <col min="19" max="19" width="12" customWidth="1"/>
  </cols>
  <sheetData>
    <row r="1" spans="1:19" ht="17.399999999999999" x14ac:dyDescent="0.3">
      <c r="A1" s="1" t="s">
        <v>241</v>
      </c>
    </row>
    <row r="2" spans="1:19" x14ac:dyDescent="0.3">
      <c r="A2" s="2" t="s">
        <v>242</v>
      </c>
    </row>
    <row r="4" spans="1:19" ht="39.6" x14ac:dyDescent="0.3">
      <c r="A4" s="8" t="s">
        <v>243</v>
      </c>
      <c r="B4" s="8" t="s">
        <v>244</v>
      </c>
      <c r="C4" s="8" t="s">
        <v>245</v>
      </c>
      <c r="D4" s="8" t="s">
        <v>246</v>
      </c>
      <c r="E4" s="8" t="s">
        <v>247</v>
      </c>
      <c r="F4" s="8" t="s">
        <v>248</v>
      </c>
      <c r="G4" s="8" t="s">
        <v>249</v>
      </c>
      <c r="H4" s="8" t="s">
        <v>250</v>
      </c>
      <c r="I4" s="8" t="s">
        <v>251</v>
      </c>
      <c r="J4" s="8" t="s">
        <v>252</v>
      </c>
      <c r="K4" s="8" t="s">
        <v>253</v>
      </c>
      <c r="L4" s="8" t="s">
        <v>254</v>
      </c>
      <c r="M4" s="8" t="s">
        <v>255</v>
      </c>
      <c r="N4" s="8" t="s">
        <v>256</v>
      </c>
      <c r="O4" s="8" t="s">
        <v>257</v>
      </c>
      <c r="P4" s="8" t="s">
        <v>258</v>
      </c>
      <c r="Q4" s="8" t="s">
        <v>259</v>
      </c>
      <c r="R4" s="13" t="s">
        <v>260</v>
      </c>
      <c r="S4" s="13" t="s">
        <v>261</v>
      </c>
    </row>
    <row r="5" spans="1:19" ht="18" customHeight="1" x14ac:dyDescent="0.3">
      <c r="A5" s="9" t="s">
        <v>262</v>
      </c>
      <c r="B5" s="9" t="s">
        <v>263</v>
      </c>
      <c r="C5" s="9" t="s">
        <v>264</v>
      </c>
      <c r="D5" s="9" t="s">
        <v>265</v>
      </c>
      <c r="E5" s="9" t="s">
        <v>266</v>
      </c>
      <c r="F5" s="9" t="s">
        <v>267</v>
      </c>
      <c r="G5" s="9" t="s">
        <v>268</v>
      </c>
      <c r="H5" s="9" t="s">
        <v>268</v>
      </c>
      <c r="I5" s="9" t="s">
        <v>268</v>
      </c>
      <c r="J5" s="9" t="s">
        <v>266</v>
      </c>
      <c r="K5" s="9" t="s">
        <v>266</v>
      </c>
      <c r="L5" s="9"/>
      <c r="M5" s="9"/>
      <c r="N5" s="9"/>
      <c r="O5" s="9"/>
      <c r="P5" s="9"/>
      <c r="Q5" s="9"/>
      <c r="R5" s="17">
        <f t="shared" ref="R5:R18" si="0">IF(A5="","",COUNTIF(D5:Q5,"A"))</f>
        <v>1</v>
      </c>
      <c r="S5" s="18" t="str">
        <f t="shared" ref="S5:S18" si="1">IF(A5="","",IF(R5=1,"OK","Rever: 1 aprovador"))</f>
        <v>OK</v>
      </c>
    </row>
    <row r="6" spans="1:19" ht="18" customHeight="1" x14ac:dyDescent="0.3">
      <c r="A6" s="9" t="s">
        <v>269</v>
      </c>
      <c r="B6" s="9" t="s">
        <v>270</v>
      </c>
      <c r="C6" s="9" t="s">
        <v>271</v>
      </c>
      <c r="D6" s="9" t="s">
        <v>265</v>
      </c>
      <c r="E6" s="9" t="s">
        <v>266</v>
      </c>
      <c r="F6" s="9" t="s">
        <v>267</v>
      </c>
      <c r="G6" s="9" t="s">
        <v>266</v>
      </c>
      <c r="H6" s="9" t="s">
        <v>266</v>
      </c>
      <c r="I6" s="9" t="s">
        <v>266</v>
      </c>
      <c r="J6" s="9" t="s">
        <v>266</v>
      </c>
      <c r="K6" s="9" t="s">
        <v>266</v>
      </c>
      <c r="L6" s="9"/>
      <c r="M6" s="9"/>
      <c r="N6" s="9"/>
      <c r="O6" s="9"/>
      <c r="P6" s="9" t="s">
        <v>268</v>
      </c>
      <c r="Q6" s="9" t="s">
        <v>268</v>
      </c>
      <c r="R6" s="17">
        <f t="shared" si="0"/>
        <v>1</v>
      </c>
      <c r="S6" s="18" t="str">
        <f t="shared" si="1"/>
        <v>OK</v>
      </c>
    </row>
    <row r="7" spans="1:19" ht="18" customHeight="1" x14ac:dyDescent="0.3">
      <c r="A7" s="9" t="s">
        <v>272</v>
      </c>
      <c r="B7" s="9" t="s">
        <v>273</v>
      </c>
      <c r="C7" s="9" t="s">
        <v>274</v>
      </c>
      <c r="D7" s="9" t="s">
        <v>268</v>
      </c>
      <c r="E7" s="9" t="s">
        <v>265</v>
      </c>
      <c r="F7" s="9" t="s">
        <v>267</v>
      </c>
      <c r="G7" s="9" t="s">
        <v>266</v>
      </c>
      <c r="H7" s="9" t="s">
        <v>266</v>
      </c>
      <c r="I7" s="9" t="s">
        <v>267</v>
      </c>
      <c r="J7" s="9" t="s">
        <v>266</v>
      </c>
      <c r="K7" s="9"/>
      <c r="L7" s="9"/>
      <c r="M7" s="9"/>
      <c r="N7" s="9"/>
      <c r="O7" s="9" t="s">
        <v>266</v>
      </c>
      <c r="P7" s="9"/>
      <c r="Q7" s="9"/>
      <c r="R7" s="17">
        <f t="shared" si="0"/>
        <v>1</v>
      </c>
      <c r="S7" s="18" t="str">
        <f t="shared" si="1"/>
        <v>OK</v>
      </c>
    </row>
    <row r="8" spans="1:19" ht="18" customHeight="1" x14ac:dyDescent="0.3">
      <c r="A8" s="9" t="s">
        <v>275</v>
      </c>
      <c r="B8" s="9" t="s">
        <v>276</v>
      </c>
      <c r="C8" s="9" t="s">
        <v>277</v>
      </c>
      <c r="D8" s="9" t="s">
        <v>268</v>
      </c>
      <c r="E8" s="9" t="s">
        <v>265</v>
      </c>
      <c r="F8" s="9" t="s">
        <v>267</v>
      </c>
      <c r="G8" s="9" t="s">
        <v>266</v>
      </c>
      <c r="H8" s="9" t="s">
        <v>266</v>
      </c>
      <c r="I8" s="9" t="s">
        <v>266</v>
      </c>
      <c r="J8" s="9"/>
      <c r="K8" s="9" t="s">
        <v>266</v>
      </c>
      <c r="L8" s="9"/>
      <c r="M8" s="9"/>
      <c r="N8" s="9"/>
      <c r="O8" s="9" t="s">
        <v>267</v>
      </c>
      <c r="P8" s="9"/>
      <c r="Q8" s="9"/>
      <c r="R8" s="17">
        <f t="shared" si="0"/>
        <v>1</v>
      </c>
      <c r="S8" s="18" t="str">
        <f t="shared" si="1"/>
        <v>OK</v>
      </c>
    </row>
    <row r="9" spans="1:19" ht="18" customHeight="1" x14ac:dyDescent="0.3">
      <c r="A9" s="9" t="s">
        <v>278</v>
      </c>
      <c r="B9" s="9" t="s">
        <v>279</v>
      </c>
      <c r="C9" s="9" t="s">
        <v>280</v>
      </c>
      <c r="D9" s="9"/>
      <c r="E9" s="9" t="s">
        <v>265</v>
      </c>
      <c r="F9" s="9" t="s">
        <v>267</v>
      </c>
      <c r="G9" s="9" t="s">
        <v>267</v>
      </c>
      <c r="H9" s="9"/>
      <c r="I9" s="9" t="s">
        <v>267</v>
      </c>
      <c r="J9" s="9"/>
      <c r="K9" s="9"/>
      <c r="L9" s="9"/>
      <c r="M9" s="9"/>
      <c r="N9" s="9"/>
      <c r="O9" s="9" t="s">
        <v>267</v>
      </c>
      <c r="P9" s="9"/>
      <c r="Q9" s="9"/>
      <c r="R9" s="17">
        <f t="shared" si="0"/>
        <v>1</v>
      </c>
      <c r="S9" s="18" t="str">
        <f t="shared" si="1"/>
        <v>OK</v>
      </c>
    </row>
    <row r="10" spans="1:19" ht="18" customHeight="1" x14ac:dyDescent="0.3">
      <c r="A10" s="9" t="s">
        <v>281</v>
      </c>
      <c r="B10" s="9" t="s">
        <v>282</v>
      </c>
      <c r="C10" s="9" t="s">
        <v>283</v>
      </c>
      <c r="D10" s="9" t="s">
        <v>268</v>
      </c>
      <c r="E10" s="9" t="s">
        <v>265</v>
      </c>
      <c r="F10" s="9" t="s">
        <v>266</v>
      </c>
      <c r="G10" s="9" t="s">
        <v>266</v>
      </c>
      <c r="H10" s="9" t="s">
        <v>266</v>
      </c>
      <c r="I10" s="9" t="s">
        <v>266</v>
      </c>
      <c r="J10" s="9"/>
      <c r="K10" s="9"/>
      <c r="L10" s="9"/>
      <c r="M10" s="9"/>
      <c r="N10" s="9" t="s">
        <v>267</v>
      </c>
      <c r="O10" s="9"/>
      <c r="P10" s="9" t="s">
        <v>267</v>
      </c>
      <c r="Q10" s="9" t="s">
        <v>268</v>
      </c>
      <c r="R10" s="17">
        <f t="shared" si="0"/>
        <v>1</v>
      </c>
      <c r="S10" s="18" t="str">
        <f t="shared" si="1"/>
        <v>OK</v>
      </c>
    </row>
    <row r="11" spans="1:19" ht="18" customHeight="1" x14ac:dyDescent="0.3">
      <c r="A11" s="9" t="s">
        <v>284</v>
      </c>
      <c r="B11" s="9" t="s">
        <v>285</v>
      </c>
      <c r="C11" s="9" t="s">
        <v>286</v>
      </c>
      <c r="D11" s="9"/>
      <c r="E11" s="9" t="s">
        <v>265</v>
      </c>
      <c r="F11" s="9" t="s">
        <v>266</v>
      </c>
      <c r="G11" s="9" t="s">
        <v>267</v>
      </c>
      <c r="H11" s="9" t="s">
        <v>267</v>
      </c>
      <c r="I11" s="9" t="s">
        <v>267</v>
      </c>
      <c r="J11" s="9"/>
      <c r="K11" s="9"/>
      <c r="L11" s="9"/>
      <c r="M11" s="9"/>
      <c r="N11" s="9"/>
      <c r="O11" s="9"/>
      <c r="P11" s="9" t="s">
        <v>267</v>
      </c>
      <c r="Q11" s="9" t="s">
        <v>267</v>
      </c>
      <c r="R11" s="17">
        <f t="shared" si="0"/>
        <v>1</v>
      </c>
      <c r="S11" s="18" t="str">
        <f t="shared" si="1"/>
        <v>OK</v>
      </c>
    </row>
    <row r="12" spans="1:19" ht="18" customHeight="1" x14ac:dyDescent="0.3">
      <c r="A12" s="9" t="s">
        <v>287</v>
      </c>
      <c r="B12" s="9" t="s">
        <v>288</v>
      </c>
      <c r="C12" s="9" t="s">
        <v>289</v>
      </c>
      <c r="D12" s="9" t="s">
        <v>268</v>
      </c>
      <c r="E12" s="9" t="s">
        <v>265</v>
      </c>
      <c r="F12" s="9" t="s">
        <v>266</v>
      </c>
      <c r="G12" s="9" t="s">
        <v>266</v>
      </c>
      <c r="H12" s="9"/>
      <c r="I12" s="9"/>
      <c r="J12" s="9"/>
      <c r="K12" s="9" t="s">
        <v>266</v>
      </c>
      <c r="L12" s="9" t="s">
        <v>267</v>
      </c>
      <c r="M12" s="9" t="s">
        <v>267</v>
      </c>
      <c r="N12" s="9"/>
      <c r="O12" s="9"/>
      <c r="P12" s="9"/>
      <c r="Q12" s="9"/>
      <c r="R12" s="17">
        <f t="shared" si="0"/>
        <v>1</v>
      </c>
      <c r="S12" s="18" t="str">
        <f t="shared" si="1"/>
        <v>OK</v>
      </c>
    </row>
    <row r="13" spans="1:19" ht="18" customHeight="1" x14ac:dyDescent="0.3">
      <c r="A13" s="9" t="s">
        <v>290</v>
      </c>
      <c r="B13" s="9" t="s">
        <v>291</v>
      </c>
      <c r="C13" s="9" t="s">
        <v>292</v>
      </c>
      <c r="D13" s="9" t="s">
        <v>265</v>
      </c>
      <c r="E13" s="9" t="s">
        <v>266</v>
      </c>
      <c r="F13" s="9" t="s">
        <v>266</v>
      </c>
      <c r="G13" s="9"/>
      <c r="H13" s="9"/>
      <c r="I13" s="9"/>
      <c r="J13" s="9"/>
      <c r="K13" s="9" t="s">
        <v>267</v>
      </c>
      <c r="L13" s="9" t="s">
        <v>267</v>
      </c>
      <c r="M13" s="9"/>
      <c r="N13" s="9"/>
      <c r="O13" s="9"/>
      <c r="P13" s="9"/>
      <c r="Q13" s="9"/>
      <c r="R13" s="17">
        <f t="shared" si="0"/>
        <v>1</v>
      </c>
      <c r="S13" s="18" t="str">
        <f t="shared" si="1"/>
        <v>OK</v>
      </c>
    </row>
    <row r="14" spans="1:19" ht="18" customHeight="1" x14ac:dyDescent="0.3">
      <c r="A14" s="9" t="s">
        <v>293</v>
      </c>
      <c r="B14" s="9" t="s">
        <v>294</v>
      </c>
      <c r="C14" s="9" t="s">
        <v>295</v>
      </c>
      <c r="D14" s="9" t="s">
        <v>268</v>
      </c>
      <c r="E14" s="9" t="s">
        <v>265</v>
      </c>
      <c r="F14" s="9" t="s">
        <v>267</v>
      </c>
      <c r="G14" s="9"/>
      <c r="H14" s="9"/>
      <c r="I14" s="9"/>
      <c r="J14" s="9" t="s">
        <v>266</v>
      </c>
      <c r="K14" s="9" t="s">
        <v>266</v>
      </c>
      <c r="L14" s="9"/>
      <c r="M14" s="9"/>
      <c r="N14" s="9"/>
      <c r="O14" s="9"/>
      <c r="P14" s="9"/>
      <c r="Q14" s="9"/>
      <c r="R14" s="17">
        <f t="shared" si="0"/>
        <v>1</v>
      </c>
      <c r="S14" s="18" t="str">
        <f t="shared" si="1"/>
        <v>OK</v>
      </c>
    </row>
    <row r="15" spans="1:19" ht="18" customHeight="1" x14ac:dyDescent="0.3">
      <c r="A15" s="9" t="s">
        <v>296</v>
      </c>
      <c r="B15" s="9" t="s">
        <v>297</v>
      </c>
      <c r="C15" s="9" t="s">
        <v>298</v>
      </c>
      <c r="D15" s="9" t="s">
        <v>268</v>
      </c>
      <c r="E15" s="9" t="s">
        <v>265</v>
      </c>
      <c r="F15" s="9" t="s">
        <v>267</v>
      </c>
      <c r="G15" s="9" t="s">
        <v>267</v>
      </c>
      <c r="H15" s="9" t="s">
        <v>266</v>
      </c>
      <c r="I15" s="9" t="s">
        <v>267</v>
      </c>
      <c r="J15" s="9"/>
      <c r="K15" s="9"/>
      <c r="L15" s="9"/>
      <c r="M15" s="9"/>
      <c r="N15" s="9"/>
      <c r="O15" s="9" t="s">
        <v>266</v>
      </c>
      <c r="P15" s="9"/>
      <c r="Q15" s="9"/>
      <c r="R15" s="17">
        <f t="shared" si="0"/>
        <v>1</v>
      </c>
      <c r="S15" s="18" t="str">
        <f t="shared" si="1"/>
        <v>OK</v>
      </c>
    </row>
    <row r="16" spans="1:19" ht="18" customHeight="1" x14ac:dyDescent="0.3">
      <c r="A16" s="9" t="s">
        <v>299</v>
      </c>
      <c r="B16" s="9" t="s">
        <v>300</v>
      </c>
      <c r="C16" s="9" t="s">
        <v>301</v>
      </c>
      <c r="D16" s="9" t="s">
        <v>268</v>
      </c>
      <c r="E16" s="9" t="s">
        <v>265</v>
      </c>
      <c r="F16" s="9" t="s">
        <v>266</v>
      </c>
      <c r="G16" s="9"/>
      <c r="H16" s="9"/>
      <c r="I16" s="9"/>
      <c r="J16" s="9" t="s">
        <v>267</v>
      </c>
      <c r="K16" s="9"/>
      <c r="L16" s="9"/>
      <c r="M16" s="9"/>
      <c r="N16" s="9"/>
      <c r="O16" s="9"/>
      <c r="P16" s="9"/>
      <c r="Q16" s="9"/>
      <c r="R16" s="17">
        <f t="shared" si="0"/>
        <v>1</v>
      </c>
      <c r="S16" s="18" t="str">
        <f t="shared" si="1"/>
        <v>OK</v>
      </c>
    </row>
    <row r="17" spans="1:19" ht="18" customHeight="1" x14ac:dyDescent="0.3">
      <c r="A17" s="9" t="s">
        <v>302</v>
      </c>
      <c r="B17" s="9" t="s">
        <v>303</v>
      </c>
      <c r="C17" s="9" t="s">
        <v>304</v>
      </c>
      <c r="D17" s="9" t="s">
        <v>265</v>
      </c>
      <c r="E17" s="9" t="s">
        <v>267</v>
      </c>
      <c r="F17" s="9" t="s">
        <v>267</v>
      </c>
      <c r="G17" s="9" t="s">
        <v>266</v>
      </c>
      <c r="H17" s="9" t="s">
        <v>266</v>
      </c>
      <c r="I17" s="9"/>
      <c r="J17" s="9" t="s">
        <v>266</v>
      </c>
      <c r="K17" s="9" t="s">
        <v>266</v>
      </c>
      <c r="L17" s="9"/>
      <c r="M17" s="9"/>
      <c r="N17" s="9"/>
      <c r="O17" s="9"/>
      <c r="P17" s="9"/>
      <c r="Q17" s="9"/>
      <c r="R17" s="17">
        <f t="shared" si="0"/>
        <v>1</v>
      </c>
      <c r="S17" s="18" t="str">
        <f t="shared" si="1"/>
        <v>OK</v>
      </c>
    </row>
    <row r="18" spans="1:19" ht="18" customHeight="1" x14ac:dyDescent="0.3">
      <c r="A18" s="9" t="s">
        <v>305</v>
      </c>
      <c r="B18" s="9" t="s">
        <v>306</v>
      </c>
      <c r="C18" s="9" t="s">
        <v>307</v>
      </c>
      <c r="D18" s="9" t="s">
        <v>268</v>
      </c>
      <c r="E18" s="9" t="s">
        <v>265</v>
      </c>
      <c r="F18" s="9" t="s">
        <v>267</v>
      </c>
      <c r="G18" s="9" t="s">
        <v>267</v>
      </c>
      <c r="H18" s="9" t="s">
        <v>267</v>
      </c>
      <c r="I18" s="9" t="s">
        <v>267</v>
      </c>
      <c r="J18" s="9" t="s">
        <v>266</v>
      </c>
      <c r="K18" s="9"/>
      <c r="L18" s="9"/>
      <c r="M18" s="9"/>
      <c r="N18" s="9"/>
      <c r="O18" s="9"/>
      <c r="P18" s="9" t="s">
        <v>266</v>
      </c>
      <c r="Q18" s="9"/>
      <c r="R18" s="17">
        <f t="shared" si="0"/>
        <v>1</v>
      </c>
      <c r="S18" s="18" t="str">
        <f t="shared" si="1"/>
        <v>OK</v>
      </c>
    </row>
  </sheetData>
  <conditionalFormatting sqref="S5:S218">
    <cfRule type="expression" dxfId="1" priority="1">
      <formula>ISNUMBER(SEARCH("Rever",S5))</formula>
    </cfRule>
    <cfRule type="expression" dxfId="0" priority="2">
      <formula>ISNUMBER(SEARCH("OK",S5))</formula>
    </cfRule>
  </conditionalFormatting>
  <dataValidations count="1">
    <dataValidation type="list" allowBlank="1" showErrorMessage="1" errorTitle="Valor inválido" error="Valor fora da lista controlada (ver folha Listas)." sqref="D5:Q218" xr:uid="{00000000-0002-0000-0600-000000000000}">
      <formula1>lst_RACI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  <col min="3" max="4" width="16" customWidth="1"/>
  </cols>
  <sheetData>
    <row r="1" spans="1:4" x14ac:dyDescent="0.3">
      <c r="A1" s="19" t="s">
        <v>308</v>
      </c>
    </row>
    <row r="2" spans="1:4" x14ac:dyDescent="0.3">
      <c r="A2" s="20" t="s">
        <v>309</v>
      </c>
      <c r="B2" s="20" t="s">
        <v>201</v>
      </c>
      <c r="C2" s="20" t="s">
        <v>14</v>
      </c>
      <c r="D2" s="20" t="s">
        <v>48</v>
      </c>
    </row>
    <row r="3" spans="1:4" x14ac:dyDescent="0.3">
      <c r="A3" s="21">
        <v>46387</v>
      </c>
      <c r="B3" s="6" t="s">
        <v>87</v>
      </c>
      <c r="C3" s="6" t="s">
        <v>88</v>
      </c>
      <c r="D3" s="6" t="s">
        <v>267</v>
      </c>
    </row>
    <row r="4" spans="1:4" x14ac:dyDescent="0.3">
      <c r="B4" s="6" t="s">
        <v>100</v>
      </c>
      <c r="C4" s="6" t="s">
        <v>101</v>
      </c>
      <c r="D4" s="6" t="s">
        <v>265</v>
      </c>
    </row>
    <row r="5" spans="1:4" ht="26.4" x14ac:dyDescent="0.3">
      <c r="B5" s="6" t="s">
        <v>208</v>
      </c>
      <c r="C5" s="6" t="s">
        <v>310</v>
      </c>
      <c r="D5" s="6" t="s">
        <v>266</v>
      </c>
    </row>
    <row r="6" spans="1:4" x14ac:dyDescent="0.3">
      <c r="B6" s="6" t="s">
        <v>213</v>
      </c>
      <c r="D6" s="6" t="s">
        <v>268</v>
      </c>
    </row>
    <row r="7" spans="1:4" x14ac:dyDescent="0.3">
      <c r="B7" s="6" t="s">
        <v>218</v>
      </c>
    </row>
    <row r="8" spans="1:4" x14ac:dyDescent="0.3">
      <c r="B8" s="6" t="s">
        <v>223</v>
      </c>
    </row>
    <row r="9" spans="1:4" x14ac:dyDescent="0.3">
      <c r="B9" s="6" t="s">
        <v>236</v>
      </c>
    </row>
    <row r="10" spans="1:4" x14ac:dyDescent="0.3">
      <c r="B10" s="6" t="s">
        <v>311</v>
      </c>
    </row>
    <row r="11" spans="1:4" x14ac:dyDescent="0.3">
      <c r="B11" s="6" t="s">
        <v>227</v>
      </c>
    </row>
    <row r="12" spans="1:4" x14ac:dyDescent="0.3">
      <c r="B12" s="6" t="s">
        <v>312</v>
      </c>
    </row>
    <row r="13" spans="1:4" x14ac:dyDescent="0.3">
      <c r="B13" s="6" t="s">
        <v>313</v>
      </c>
    </row>
    <row r="14" spans="1:4" x14ac:dyDescent="0.3">
      <c r="B14" s="6" t="s">
        <v>314</v>
      </c>
    </row>
    <row r="15" spans="1:4" x14ac:dyDescent="0.3">
      <c r="B15" s="6" t="s">
        <v>231</v>
      </c>
    </row>
    <row r="16" spans="1:4" x14ac:dyDescent="0.3">
      <c r="B16" s="6" t="s">
        <v>315</v>
      </c>
    </row>
    <row r="17" spans="2:2" x14ac:dyDescent="0.3">
      <c r="B17" s="6" t="s">
        <v>316</v>
      </c>
    </row>
    <row r="18" spans="2:2" x14ac:dyDescent="0.3">
      <c r="B18" s="6" t="s">
        <v>317</v>
      </c>
    </row>
    <row r="19" spans="2:2" x14ac:dyDescent="0.3">
      <c r="B19" s="6" t="s">
        <v>318</v>
      </c>
    </row>
    <row r="20" spans="2:2" x14ac:dyDescent="0.3">
      <c r="B20" s="6" t="s">
        <v>319</v>
      </c>
    </row>
    <row r="21" spans="2:2" x14ac:dyDescent="0.3">
      <c r="B21" s="6" t="s">
        <v>320</v>
      </c>
    </row>
    <row r="22" spans="2:2" x14ac:dyDescent="0.3">
      <c r="B22" s="6" t="s">
        <v>321</v>
      </c>
    </row>
    <row r="23" spans="2:2" x14ac:dyDescent="0.3">
      <c r="B23" s="6" t="s">
        <v>322</v>
      </c>
    </row>
    <row r="24" spans="2:2" x14ac:dyDescent="0.3">
      <c r="B24" s="6" t="s">
        <v>323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324</v>
      </c>
      <c r="B1" s="8" t="s">
        <v>325</v>
      </c>
      <c r="C1" s="8" t="s">
        <v>326</v>
      </c>
      <c r="D1" s="8" t="s">
        <v>327</v>
      </c>
      <c r="E1" s="8" t="s">
        <v>328</v>
      </c>
      <c r="F1" s="8" t="s">
        <v>329</v>
      </c>
      <c r="G1" s="8" t="s">
        <v>330</v>
      </c>
      <c r="H1" s="8" t="s">
        <v>331</v>
      </c>
      <c r="I1" s="8" t="s">
        <v>332</v>
      </c>
    </row>
    <row r="2" spans="1:9" x14ac:dyDescent="0.3">
      <c r="A2" s="11" t="s">
        <v>38</v>
      </c>
      <c r="B2" s="11" t="s">
        <v>333</v>
      </c>
      <c r="C2" s="11" t="s">
        <v>75</v>
      </c>
      <c r="D2" s="11" t="s">
        <v>334</v>
      </c>
      <c r="E2" s="11" t="s">
        <v>335</v>
      </c>
      <c r="F2" s="11" t="s">
        <v>336</v>
      </c>
      <c r="G2" s="11"/>
      <c r="H2" s="11" t="s">
        <v>337</v>
      </c>
      <c r="I2" s="11" t="s">
        <v>338</v>
      </c>
    </row>
    <row r="3" spans="1:9" x14ac:dyDescent="0.3">
      <c r="A3" s="11" t="s">
        <v>38</v>
      </c>
      <c r="B3" s="11" t="s">
        <v>333</v>
      </c>
      <c r="C3" s="11" t="s">
        <v>76</v>
      </c>
      <c r="D3" s="11" t="s">
        <v>334</v>
      </c>
      <c r="E3" s="11" t="s">
        <v>335</v>
      </c>
      <c r="F3" s="11" t="s">
        <v>339</v>
      </c>
      <c r="G3" s="11"/>
      <c r="H3" s="11" t="s">
        <v>337</v>
      </c>
      <c r="I3" s="11"/>
    </row>
    <row r="4" spans="1:9" x14ac:dyDescent="0.3">
      <c r="A4" s="11" t="s">
        <v>38</v>
      </c>
      <c r="B4" s="11" t="s">
        <v>333</v>
      </c>
      <c r="C4" s="11" t="s">
        <v>77</v>
      </c>
      <c r="D4" s="11" t="s">
        <v>334</v>
      </c>
      <c r="E4" s="11" t="s">
        <v>335</v>
      </c>
      <c r="F4" s="11" t="s">
        <v>340</v>
      </c>
      <c r="G4" s="11"/>
      <c r="H4" s="11" t="s">
        <v>337</v>
      </c>
      <c r="I4" s="11"/>
    </row>
    <row r="5" spans="1:9" x14ac:dyDescent="0.3">
      <c r="A5" s="11" t="s">
        <v>38</v>
      </c>
      <c r="B5" s="11" t="s">
        <v>333</v>
      </c>
      <c r="C5" s="11" t="s">
        <v>78</v>
      </c>
      <c r="D5" s="11" t="s">
        <v>334</v>
      </c>
      <c r="E5" s="11" t="s">
        <v>335</v>
      </c>
      <c r="F5" s="11" t="s">
        <v>341</v>
      </c>
      <c r="G5" s="11"/>
      <c r="H5" s="11" t="s">
        <v>337</v>
      </c>
      <c r="I5" s="11"/>
    </row>
    <row r="6" spans="1:9" x14ac:dyDescent="0.3">
      <c r="A6" s="11" t="s">
        <v>38</v>
      </c>
      <c r="B6" s="11" t="s">
        <v>333</v>
      </c>
      <c r="C6" s="11" t="s">
        <v>79</v>
      </c>
      <c r="D6" s="11" t="s">
        <v>334</v>
      </c>
      <c r="E6" s="11" t="s">
        <v>335</v>
      </c>
      <c r="F6" s="11" t="s">
        <v>342</v>
      </c>
      <c r="G6" s="11"/>
      <c r="H6" s="11" t="s">
        <v>337</v>
      </c>
      <c r="I6" s="11"/>
    </row>
    <row r="7" spans="1:9" x14ac:dyDescent="0.3">
      <c r="A7" s="11" t="s">
        <v>38</v>
      </c>
      <c r="B7" s="11" t="s">
        <v>333</v>
      </c>
      <c r="C7" s="11" t="s">
        <v>80</v>
      </c>
      <c r="D7" s="11" t="s">
        <v>334</v>
      </c>
      <c r="E7" s="11" t="s">
        <v>335</v>
      </c>
      <c r="F7" s="11" t="s">
        <v>343</v>
      </c>
      <c r="G7" s="11" t="s">
        <v>344</v>
      </c>
      <c r="H7" s="11" t="s">
        <v>337</v>
      </c>
      <c r="I7" s="11"/>
    </row>
    <row r="8" spans="1:9" x14ac:dyDescent="0.3">
      <c r="A8" s="11" t="s">
        <v>38</v>
      </c>
      <c r="B8" s="11" t="s">
        <v>333</v>
      </c>
      <c r="C8" s="11" t="s">
        <v>14</v>
      </c>
      <c r="D8" s="11" t="s">
        <v>334</v>
      </c>
      <c r="E8" s="11" t="s">
        <v>335</v>
      </c>
      <c r="F8" s="11" t="s">
        <v>345</v>
      </c>
      <c r="G8" s="11" t="s">
        <v>346</v>
      </c>
      <c r="H8" s="11" t="s">
        <v>337</v>
      </c>
      <c r="I8" s="11"/>
    </row>
    <row r="9" spans="1:9" x14ac:dyDescent="0.3">
      <c r="A9" s="11" t="s">
        <v>38</v>
      </c>
      <c r="B9" s="11" t="s">
        <v>333</v>
      </c>
      <c r="C9" s="11" t="s">
        <v>81</v>
      </c>
      <c r="D9" s="11" t="s">
        <v>334</v>
      </c>
      <c r="E9" s="11" t="s">
        <v>335</v>
      </c>
      <c r="F9" s="11" t="s">
        <v>347</v>
      </c>
      <c r="G9" s="11"/>
      <c r="H9" s="11" t="s">
        <v>337</v>
      </c>
      <c r="I9" s="11"/>
    </row>
    <row r="10" spans="1:9" x14ac:dyDescent="0.3">
      <c r="A10" s="11" t="s">
        <v>42</v>
      </c>
      <c r="B10" s="11" t="s">
        <v>348</v>
      </c>
      <c r="C10" s="11" t="s">
        <v>171</v>
      </c>
      <c r="D10" s="11" t="s">
        <v>334</v>
      </c>
      <c r="E10" s="11" t="s">
        <v>335</v>
      </c>
      <c r="F10" s="11" t="s">
        <v>349</v>
      </c>
      <c r="G10" s="11"/>
      <c r="H10" s="11" t="s">
        <v>337</v>
      </c>
      <c r="I10" s="11" t="s">
        <v>338</v>
      </c>
    </row>
    <row r="11" spans="1:9" x14ac:dyDescent="0.3">
      <c r="A11" s="11" t="s">
        <v>42</v>
      </c>
      <c r="B11" s="11" t="s">
        <v>348</v>
      </c>
      <c r="C11" s="11" t="s">
        <v>172</v>
      </c>
      <c r="D11" s="11" t="s">
        <v>334</v>
      </c>
      <c r="E11" s="11" t="s">
        <v>335</v>
      </c>
      <c r="F11" s="11" t="s">
        <v>350</v>
      </c>
      <c r="G11" s="11"/>
      <c r="H11" s="11" t="s">
        <v>337</v>
      </c>
      <c r="I11" s="11"/>
    </row>
    <row r="12" spans="1:9" x14ac:dyDescent="0.3">
      <c r="A12" s="11" t="s">
        <v>42</v>
      </c>
      <c r="B12" s="11" t="s">
        <v>348</v>
      </c>
      <c r="C12" s="11" t="s">
        <v>77</v>
      </c>
      <c r="D12" s="11" t="s">
        <v>334</v>
      </c>
      <c r="E12" s="11" t="s">
        <v>335</v>
      </c>
      <c r="F12" s="11" t="s">
        <v>351</v>
      </c>
      <c r="G12" s="11"/>
      <c r="H12" s="11" t="s">
        <v>337</v>
      </c>
      <c r="I12" s="11"/>
    </row>
    <row r="13" spans="1:9" x14ac:dyDescent="0.3">
      <c r="A13" s="11" t="s">
        <v>42</v>
      </c>
      <c r="B13" s="11" t="s">
        <v>348</v>
      </c>
      <c r="C13" s="11" t="s">
        <v>173</v>
      </c>
      <c r="D13" s="11" t="s">
        <v>352</v>
      </c>
      <c r="E13" s="11" t="s">
        <v>335</v>
      </c>
      <c r="F13" s="11" t="s">
        <v>353</v>
      </c>
      <c r="G13" s="11"/>
      <c r="H13" s="11" t="s">
        <v>337</v>
      </c>
      <c r="I13" s="11"/>
    </row>
    <row r="14" spans="1:9" x14ac:dyDescent="0.3">
      <c r="A14" s="11" t="s">
        <v>44</v>
      </c>
      <c r="B14" s="11" t="s">
        <v>354</v>
      </c>
      <c r="C14" s="11" t="s">
        <v>176</v>
      </c>
      <c r="D14" s="11" t="s">
        <v>334</v>
      </c>
      <c r="E14" s="11" t="s">
        <v>335</v>
      </c>
      <c r="F14" s="11"/>
      <c r="G14" s="11"/>
      <c r="H14" s="11" t="s">
        <v>337</v>
      </c>
      <c r="I14" s="11" t="s">
        <v>338</v>
      </c>
    </row>
    <row r="15" spans="1:9" x14ac:dyDescent="0.3">
      <c r="A15" s="11" t="s">
        <v>44</v>
      </c>
      <c r="B15" s="11" t="s">
        <v>354</v>
      </c>
      <c r="C15" s="11" t="s">
        <v>177</v>
      </c>
      <c r="D15" s="11" t="s">
        <v>334</v>
      </c>
      <c r="E15" s="11" t="s">
        <v>335</v>
      </c>
      <c r="F15" s="11"/>
      <c r="G15" s="11"/>
      <c r="H15" s="11" t="s">
        <v>337</v>
      </c>
      <c r="I15" s="11"/>
    </row>
    <row r="16" spans="1:9" x14ac:dyDescent="0.3">
      <c r="A16" s="11" t="s">
        <v>44</v>
      </c>
      <c r="B16" s="11" t="s">
        <v>354</v>
      </c>
      <c r="C16" s="11" t="s">
        <v>178</v>
      </c>
      <c r="D16" s="11" t="s">
        <v>334</v>
      </c>
      <c r="E16" s="11" t="s">
        <v>335</v>
      </c>
      <c r="F16" s="11"/>
      <c r="G16" s="11"/>
      <c r="H16" s="11" t="s">
        <v>337</v>
      </c>
      <c r="I16" s="11"/>
    </row>
    <row r="17" spans="1:9" x14ac:dyDescent="0.3">
      <c r="A17" s="11" t="s">
        <v>44</v>
      </c>
      <c r="B17" s="11" t="s">
        <v>354</v>
      </c>
      <c r="C17" s="11" t="s">
        <v>179</v>
      </c>
      <c r="D17" s="11" t="s">
        <v>334</v>
      </c>
      <c r="E17" s="11" t="s">
        <v>335</v>
      </c>
      <c r="F17" s="11"/>
      <c r="G17" s="11" t="s">
        <v>346</v>
      </c>
      <c r="H17" s="11" t="s">
        <v>337</v>
      </c>
      <c r="I17" s="11"/>
    </row>
    <row r="18" spans="1:9" x14ac:dyDescent="0.3">
      <c r="A18" s="11" t="s">
        <v>46</v>
      </c>
      <c r="B18" s="11" t="s">
        <v>355</v>
      </c>
      <c r="C18" s="11" t="s">
        <v>200</v>
      </c>
      <c r="D18" s="11" t="s">
        <v>334</v>
      </c>
      <c r="E18" s="11" t="s">
        <v>335</v>
      </c>
      <c r="F18" s="11" t="s">
        <v>356</v>
      </c>
      <c r="G18" s="11"/>
      <c r="H18" s="11" t="s">
        <v>337</v>
      </c>
      <c r="I18" s="11" t="s">
        <v>338</v>
      </c>
    </row>
    <row r="19" spans="1:9" x14ac:dyDescent="0.3">
      <c r="A19" s="11" t="s">
        <v>46</v>
      </c>
      <c r="B19" s="11" t="s">
        <v>355</v>
      </c>
      <c r="C19" s="11" t="s">
        <v>201</v>
      </c>
      <c r="D19" s="11" t="s">
        <v>334</v>
      </c>
      <c r="E19" s="11" t="s">
        <v>335</v>
      </c>
      <c r="F19" s="11" t="s">
        <v>357</v>
      </c>
      <c r="G19" s="11" t="s">
        <v>344</v>
      </c>
      <c r="H19" s="11" t="s">
        <v>337</v>
      </c>
      <c r="I19" s="11"/>
    </row>
    <row r="20" spans="1:9" x14ac:dyDescent="0.3">
      <c r="A20" s="11" t="s">
        <v>46</v>
      </c>
      <c r="B20" s="11" t="s">
        <v>355</v>
      </c>
      <c r="C20" s="11" t="s">
        <v>202</v>
      </c>
      <c r="D20" s="11" t="s">
        <v>334</v>
      </c>
      <c r="E20" s="11" t="s">
        <v>335</v>
      </c>
      <c r="F20" s="11" t="s">
        <v>358</v>
      </c>
      <c r="G20" s="11"/>
      <c r="H20" s="11" t="s">
        <v>337</v>
      </c>
      <c r="I20" s="11"/>
    </row>
    <row r="21" spans="1:9" ht="26.4" x14ac:dyDescent="0.3">
      <c r="A21" s="11" t="s">
        <v>46</v>
      </c>
      <c r="B21" s="11" t="s">
        <v>355</v>
      </c>
      <c r="C21" s="11" t="s">
        <v>203</v>
      </c>
      <c r="D21" s="11" t="s">
        <v>359</v>
      </c>
      <c r="E21" s="11" t="s">
        <v>335</v>
      </c>
      <c r="F21" s="11" t="s">
        <v>360</v>
      </c>
      <c r="G21" s="11"/>
      <c r="H21" s="11" t="s">
        <v>337</v>
      </c>
      <c r="I21" s="11"/>
    </row>
    <row r="22" spans="1:9" x14ac:dyDescent="0.3">
      <c r="A22" s="11" t="s">
        <v>46</v>
      </c>
      <c r="B22" s="11" t="s">
        <v>355</v>
      </c>
      <c r="C22" s="11" t="s">
        <v>204</v>
      </c>
      <c r="D22" s="11" t="s">
        <v>334</v>
      </c>
      <c r="E22" s="11" t="s">
        <v>335</v>
      </c>
      <c r="F22" s="11" t="s">
        <v>361</v>
      </c>
      <c r="G22" s="11"/>
      <c r="H22" s="11" t="s">
        <v>337</v>
      </c>
      <c r="I22" s="11"/>
    </row>
    <row r="23" spans="1:9" x14ac:dyDescent="0.3">
      <c r="A23" s="11" t="s">
        <v>46</v>
      </c>
      <c r="B23" s="11" t="s">
        <v>355</v>
      </c>
      <c r="C23" s="11" t="s">
        <v>205</v>
      </c>
      <c r="D23" s="11" t="s">
        <v>334</v>
      </c>
      <c r="E23" s="11" t="s">
        <v>335</v>
      </c>
      <c r="F23" s="11" t="s">
        <v>362</v>
      </c>
      <c r="G23" s="11"/>
      <c r="H23" s="11" t="s">
        <v>337</v>
      </c>
      <c r="I23" s="11"/>
    </row>
    <row r="24" spans="1:9" x14ac:dyDescent="0.3">
      <c r="A24" s="11" t="s">
        <v>46</v>
      </c>
      <c r="B24" s="11" t="s">
        <v>355</v>
      </c>
      <c r="C24" s="11" t="s">
        <v>206</v>
      </c>
      <c r="D24" s="11" t="s">
        <v>363</v>
      </c>
      <c r="E24" s="11" t="s">
        <v>364</v>
      </c>
      <c r="F24" s="11" t="s">
        <v>365</v>
      </c>
      <c r="G24" s="11"/>
      <c r="H24" s="11" t="s">
        <v>337</v>
      </c>
      <c r="I24" s="11"/>
    </row>
    <row r="25" spans="1:9" x14ac:dyDescent="0.3">
      <c r="A25" s="11" t="s">
        <v>48</v>
      </c>
      <c r="B25" s="11" t="s">
        <v>143</v>
      </c>
      <c r="C25" s="11" t="s">
        <v>243</v>
      </c>
      <c r="D25" s="11" t="s">
        <v>334</v>
      </c>
      <c r="E25" s="11" t="s">
        <v>335</v>
      </c>
      <c r="F25" s="11" t="s">
        <v>366</v>
      </c>
      <c r="G25" s="11"/>
      <c r="H25" s="11" t="s">
        <v>337</v>
      </c>
      <c r="I25" s="11" t="s">
        <v>338</v>
      </c>
    </row>
    <row r="26" spans="1:9" x14ac:dyDescent="0.3">
      <c r="A26" s="11" t="s">
        <v>48</v>
      </c>
      <c r="B26" s="11" t="s">
        <v>143</v>
      </c>
      <c r="C26" s="11" t="s">
        <v>244</v>
      </c>
      <c r="D26" s="11" t="s">
        <v>334</v>
      </c>
      <c r="E26" s="11" t="s">
        <v>335</v>
      </c>
      <c r="F26" s="11" t="s">
        <v>367</v>
      </c>
      <c r="G26" s="11"/>
      <c r="H26" s="11" t="s">
        <v>337</v>
      </c>
      <c r="I26" s="11"/>
    </row>
    <row r="27" spans="1:9" x14ac:dyDescent="0.3">
      <c r="A27" s="11" t="s">
        <v>48</v>
      </c>
      <c r="B27" s="11" t="s">
        <v>143</v>
      </c>
      <c r="C27" s="11" t="s">
        <v>245</v>
      </c>
      <c r="D27" s="11" t="s">
        <v>334</v>
      </c>
      <c r="E27" s="11" t="s">
        <v>335</v>
      </c>
      <c r="F27" s="11" t="s">
        <v>368</v>
      </c>
      <c r="G27" s="11"/>
      <c r="H27" s="11" t="s">
        <v>337</v>
      </c>
      <c r="I27" s="11"/>
    </row>
    <row r="28" spans="1:9" x14ac:dyDescent="0.3">
      <c r="A28" s="11" t="s">
        <v>48</v>
      </c>
      <c r="B28" s="11" t="s">
        <v>143</v>
      </c>
      <c r="C28" s="11" t="s">
        <v>246</v>
      </c>
      <c r="D28" s="11" t="s">
        <v>334</v>
      </c>
      <c r="E28" s="11" t="s">
        <v>335</v>
      </c>
      <c r="F28" s="11" t="s">
        <v>369</v>
      </c>
      <c r="G28" s="11" t="s">
        <v>370</v>
      </c>
      <c r="H28" s="11" t="s">
        <v>371</v>
      </c>
      <c r="I28" s="11"/>
    </row>
    <row r="29" spans="1:9" x14ac:dyDescent="0.3">
      <c r="A29" s="11" t="s">
        <v>48</v>
      </c>
      <c r="B29" s="11" t="s">
        <v>143</v>
      </c>
      <c r="C29" s="11" t="s">
        <v>247</v>
      </c>
      <c r="D29" s="11" t="s">
        <v>334</v>
      </c>
      <c r="E29" s="11" t="s">
        <v>335</v>
      </c>
      <c r="F29" s="11" t="s">
        <v>372</v>
      </c>
      <c r="G29" s="11" t="s">
        <v>370</v>
      </c>
      <c r="H29" s="11" t="s">
        <v>371</v>
      </c>
      <c r="I29" s="11"/>
    </row>
    <row r="30" spans="1:9" x14ac:dyDescent="0.3">
      <c r="A30" s="11" t="s">
        <v>48</v>
      </c>
      <c r="B30" s="11" t="s">
        <v>143</v>
      </c>
      <c r="C30" s="11" t="s">
        <v>248</v>
      </c>
      <c r="D30" s="11" t="s">
        <v>334</v>
      </c>
      <c r="E30" s="11" t="s">
        <v>335</v>
      </c>
      <c r="F30" s="11" t="s">
        <v>373</v>
      </c>
      <c r="G30" s="11" t="s">
        <v>370</v>
      </c>
      <c r="H30" s="11" t="s">
        <v>371</v>
      </c>
      <c r="I30" s="11"/>
    </row>
    <row r="31" spans="1:9" x14ac:dyDescent="0.3">
      <c r="A31" s="11" t="s">
        <v>48</v>
      </c>
      <c r="B31" s="11" t="s">
        <v>143</v>
      </c>
      <c r="C31" s="11" t="s">
        <v>249</v>
      </c>
      <c r="D31" s="11" t="s">
        <v>334</v>
      </c>
      <c r="E31" s="11" t="s">
        <v>335</v>
      </c>
      <c r="F31" s="11" t="s">
        <v>374</v>
      </c>
      <c r="G31" s="11" t="s">
        <v>370</v>
      </c>
      <c r="H31" s="11" t="s">
        <v>371</v>
      </c>
      <c r="I31" s="11"/>
    </row>
    <row r="32" spans="1:9" x14ac:dyDescent="0.3">
      <c r="A32" s="11" t="s">
        <v>48</v>
      </c>
      <c r="B32" s="11" t="s">
        <v>143</v>
      </c>
      <c r="C32" s="11" t="s">
        <v>250</v>
      </c>
      <c r="D32" s="11" t="s">
        <v>334</v>
      </c>
      <c r="E32" s="11" t="s">
        <v>335</v>
      </c>
      <c r="F32" s="11" t="s">
        <v>375</v>
      </c>
      <c r="G32" s="11" t="s">
        <v>370</v>
      </c>
      <c r="H32" s="11" t="s">
        <v>371</v>
      </c>
      <c r="I32" s="11"/>
    </row>
    <row r="33" spans="1:9" x14ac:dyDescent="0.3">
      <c r="A33" s="11" t="s">
        <v>48</v>
      </c>
      <c r="B33" s="11" t="s">
        <v>143</v>
      </c>
      <c r="C33" s="11" t="s">
        <v>251</v>
      </c>
      <c r="D33" s="11" t="s">
        <v>334</v>
      </c>
      <c r="E33" s="11" t="s">
        <v>335</v>
      </c>
      <c r="F33" s="11" t="s">
        <v>376</v>
      </c>
      <c r="G33" s="11" t="s">
        <v>370</v>
      </c>
      <c r="H33" s="11" t="s">
        <v>371</v>
      </c>
      <c r="I33" s="11"/>
    </row>
    <row r="34" spans="1:9" x14ac:dyDescent="0.3">
      <c r="A34" s="11" t="s">
        <v>48</v>
      </c>
      <c r="B34" s="11" t="s">
        <v>143</v>
      </c>
      <c r="C34" s="11" t="s">
        <v>252</v>
      </c>
      <c r="D34" s="11" t="s">
        <v>334</v>
      </c>
      <c r="E34" s="11" t="s">
        <v>335</v>
      </c>
      <c r="F34" s="11" t="s">
        <v>377</v>
      </c>
      <c r="G34" s="11" t="s">
        <v>370</v>
      </c>
      <c r="H34" s="11" t="s">
        <v>371</v>
      </c>
      <c r="I34" s="11"/>
    </row>
    <row r="35" spans="1:9" x14ac:dyDescent="0.3">
      <c r="A35" s="11" t="s">
        <v>48</v>
      </c>
      <c r="B35" s="11" t="s">
        <v>143</v>
      </c>
      <c r="C35" s="11" t="s">
        <v>253</v>
      </c>
      <c r="D35" s="11" t="s">
        <v>334</v>
      </c>
      <c r="E35" s="11" t="s">
        <v>335</v>
      </c>
      <c r="F35" s="11" t="s">
        <v>378</v>
      </c>
      <c r="G35" s="11" t="s">
        <v>370</v>
      </c>
      <c r="H35" s="11" t="s">
        <v>371</v>
      </c>
      <c r="I35" s="11"/>
    </row>
    <row r="36" spans="1:9" x14ac:dyDescent="0.3">
      <c r="A36" s="11" t="s">
        <v>48</v>
      </c>
      <c r="B36" s="11" t="s">
        <v>143</v>
      </c>
      <c r="C36" s="11" t="s">
        <v>254</v>
      </c>
      <c r="D36" s="11" t="s">
        <v>334</v>
      </c>
      <c r="E36" s="11" t="s">
        <v>335</v>
      </c>
      <c r="F36" s="11" t="s">
        <v>379</v>
      </c>
      <c r="G36" s="11" t="s">
        <v>370</v>
      </c>
      <c r="H36" s="11" t="s">
        <v>371</v>
      </c>
      <c r="I36" s="11"/>
    </row>
    <row r="37" spans="1:9" x14ac:dyDescent="0.3">
      <c r="A37" s="11" t="s">
        <v>48</v>
      </c>
      <c r="B37" s="11" t="s">
        <v>143</v>
      </c>
      <c r="C37" s="11" t="s">
        <v>255</v>
      </c>
      <c r="D37" s="11" t="s">
        <v>334</v>
      </c>
      <c r="E37" s="11" t="s">
        <v>335</v>
      </c>
      <c r="F37" s="11" t="s">
        <v>380</v>
      </c>
      <c r="G37" s="11" t="s">
        <v>370</v>
      </c>
      <c r="H37" s="11" t="s">
        <v>371</v>
      </c>
      <c r="I37" s="11"/>
    </row>
    <row r="38" spans="1:9" x14ac:dyDescent="0.3">
      <c r="A38" s="11" t="s">
        <v>48</v>
      </c>
      <c r="B38" s="11" t="s">
        <v>143</v>
      </c>
      <c r="C38" s="11" t="s">
        <v>256</v>
      </c>
      <c r="D38" s="11" t="s">
        <v>334</v>
      </c>
      <c r="E38" s="11" t="s">
        <v>335</v>
      </c>
      <c r="F38" s="11" t="s">
        <v>381</v>
      </c>
      <c r="G38" s="11" t="s">
        <v>370</v>
      </c>
      <c r="H38" s="11" t="s">
        <v>371</v>
      </c>
      <c r="I38" s="11"/>
    </row>
    <row r="39" spans="1:9" x14ac:dyDescent="0.3">
      <c r="A39" s="11" t="s">
        <v>48</v>
      </c>
      <c r="B39" s="11" t="s">
        <v>143</v>
      </c>
      <c r="C39" s="11" t="s">
        <v>257</v>
      </c>
      <c r="D39" s="11" t="s">
        <v>334</v>
      </c>
      <c r="E39" s="11" t="s">
        <v>335</v>
      </c>
      <c r="F39" s="11" t="s">
        <v>382</v>
      </c>
      <c r="G39" s="11" t="s">
        <v>370</v>
      </c>
      <c r="H39" s="11" t="s">
        <v>371</v>
      </c>
      <c r="I39" s="11"/>
    </row>
    <row r="40" spans="1:9" x14ac:dyDescent="0.3">
      <c r="A40" s="11" t="s">
        <v>48</v>
      </c>
      <c r="B40" s="11" t="s">
        <v>143</v>
      </c>
      <c r="C40" s="11" t="s">
        <v>258</v>
      </c>
      <c r="D40" s="11" t="s">
        <v>334</v>
      </c>
      <c r="E40" s="11" t="s">
        <v>335</v>
      </c>
      <c r="F40" s="11" t="s">
        <v>383</v>
      </c>
      <c r="G40" s="11" t="s">
        <v>370</v>
      </c>
      <c r="H40" s="11" t="s">
        <v>371</v>
      </c>
      <c r="I40" s="11"/>
    </row>
    <row r="41" spans="1:9" x14ac:dyDescent="0.3">
      <c r="A41" s="11" t="s">
        <v>48</v>
      </c>
      <c r="B41" s="11" t="s">
        <v>143</v>
      </c>
      <c r="C41" s="11" t="s">
        <v>259</v>
      </c>
      <c r="D41" s="11" t="s">
        <v>334</v>
      </c>
      <c r="E41" s="11" t="s">
        <v>335</v>
      </c>
      <c r="F41" s="11" t="s">
        <v>384</v>
      </c>
      <c r="G41" s="11" t="s">
        <v>370</v>
      </c>
      <c r="H41" s="11" t="s">
        <v>371</v>
      </c>
      <c r="I41" s="11"/>
    </row>
    <row r="42" spans="1:9" x14ac:dyDescent="0.3">
      <c r="A42" s="11" t="s">
        <v>48</v>
      </c>
      <c r="B42" s="11" t="s">
        <v>143</v>
      </c>
      <c r="C42" s="11" t="s">
        <v>260</v>
      </c>
      <c r="D42" s="11" t="s">
        <v>352</v>
      </c>
      <c r="E42" s="11" t="s">
        <v>364</v>
      </c>
      <c r="F42" s="11" t="s">
        <v>385</v>
      </c>
      <c r="G42" s="11"/>
      <c r="H42" s="11" t="s">
        <v>337</v>
      </c>
      <c r="I42" s="11"/>
    </row>
    <row r="43" spans="1:9" x14ac:dyDescent="0.3">
      <c r="A43" s="11" t="s">
        <v>48</v>
      </c>
      <c r="B43" s="11" t="s">
        <v>143</v>
      </c>
      <c r="C43" s="11" t="s">
        <v>261</v>
      </c>
      <c r="D43" s="11" t="s">
        <v>334</v>
      </c>
      <c r="E43" s="11" t="s">
        <v>364</v>
      </c>
      <c r="F43" s="11" t="s">
        <v>386</v>
      </c>
      <c r="G43" s="11"/>
      <c r="H43" s="11" t="s">
        <v>337</v>
      </c>
      <c r="I43" s="1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9</vt:i4>
      </vt:variant>
      <vt:variant>
        <vt:lpstr>Intervalos com Nome</vt:lpstr>
      </vt:variant>
      <vt:variant>
        <vt:i4>10</vt:i4>
      </vt:variant>
    </vt:vector>
  </HeadingPairs>
  <TitlesOfParts>
    <vt:vector size="19" baseType="lpstr">
      <vt:lpstr>00_LEIA-ME</vt:lpstr>
      <vt:lpstr>Lideranca</vt:lpstr>
      <vt:lpstr>Politica_Energetica</vt:lpstr>
      <vt:lpstr>Compromissos</vt:lpstr>
      <vt:lpstr>Verificacao_5_2</vt:lpstr>
      <vt:lpstr>Equipa_Gestao_Energia</vt:lpstr>
      <vt:lpstr>RACI</vt:lpstr>
      <vt:lpstr>Listas</vt:lpstr>
      <vt:lpstr>Dicionario_Dados</vt:lpstr>
      <vt:lpstr>DataRef</vt:lpstr>
      <vt:lpstr>lst_DataReferencia</vt:lpstr>
      <vt:lpstr>lst_Estado</vt:lpstr>
      <vt:lpstr>lst_Funcao</vt:lpstr>
      <vt:lpstr>lst_RACI</vt:lpstr>
      <vt:lpstr>Compromissos!Títulos_de_Impressão</vt:lpstr>
      <vt:lpstr>Equipa_Gestao_Energia!Títulos_de_Impressão</vt:lpstr>
      <vt:lpstr>Lideranca!Títulos_de_Impressão</vt:lpstr>
      <vt:lpstr>RACI!Títulos_de_Impressão</vt:lpstr>
      <vt:lpstr>Verificacao_5_2!Títulos_de_Impressão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RG-SGE-02 Liderança, Política Energética, Equipa de Gestão de Energia e Responsabilidades</dc:title>
  <dc:subject>SGE NP EN ISO 50001:2019 (ISO 50001:2018 + Amd 1:2024) — Plasticom</dc:subject>
  <dc:creator>Gestor(a) de Energia</dc:creator>
  <cp:lastModifiedBy>Aline Meireles</cp:lastModifiedBy>
  <dcterms:created xsi:type="dcterms:W3CDTF">2026-09-30T16:50:17Z</dcterms:created>
  <dcterms:modified xsi:type="dcterms:W3CDTF">2026-09-30T16:50:24Z</dcterms:modified>
</cp:coreProperties>
</file>